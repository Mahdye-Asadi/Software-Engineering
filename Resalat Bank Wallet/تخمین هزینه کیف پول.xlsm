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27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m\Desktop\Resalat Bank Wallet\"/>
    </mc:Choice>
  </mc:AlternateContent>
  <xr:revisionPtr revIDLastSave="0" documentId="8_{0EE49D76-D116-4F2B-8C05-A4CC20D2AA66}" xr6:coauthVersionLast="47" xr6:coauthVersionMax="47" xr10:uidLastSave="{00000000-0000-0000-0000-000000000000}"/>
  <bookViews>
    <workbookView xWindow="-98" yWindow="-98" windowWidth="21795" windowHeight="11625" tabRatio="778" xr2:uid="{00000000-000D-0000-FFFF-FFFF00000000}"/>
  </bookViews>
  <sheets>
    <sheet name="Scope" sheetId="1" r:id="rId1"/>
    <sheet name="Elements" sheetId="2" r:id="rId2"/>
    <sheet name="Elements_F" sheetId="3" state="hidden" r:id="rId3"/>
    <sheet name="ProjectDef" sheetId="4" state="hidden" r:id="rId4"/>
    <sheet name="HR" sheetId="5" state="hidden" r:id="rId5"/>
    <sheet name="OtherCost" sheetId="6" r:id="rId6"/>
    <sheet name="Profilers" sheetId="7" state="hidden" r:id="rId7"/>
    <sheet name="Shifter" sheetId="8" state="hidden" r:id="rId8"/>
    <sheet name="Risks" sheetId="9" r:id="rId9"/>
    <sheet name="Summary" sheetId="10" r:id="rId10"/>
    <sheet name="LifeCycle" sheetId="11" state="hidden" r:id="rId11"/>
    <sheet name="CL" sheetId="12" state="hidden" r:id="rId12"/>
    <sheet name="CLMin" sheetId="13" state="hidden" r:id="rId13"/>
    <sheet name="Constants" sheetId="14" state="hidden" r:id="rId14"/>
    <sheet name="Pricing" sheetId="15" state="hidden" r:id="rId15"/>
  </sheets>
  <definedNames>
    <definedName name="CompWorkType">Constants!$C$3:$C$5</definedName>
    <definedName name="Contracts">Constants!$D$3:$D$4</definedName>
    <definedName name="DevItem">Constants!$A$3:$A$6</definedName>
    <definedName name="Effects">Constants!$G$4:$M$8</definedName>
    <definedName name="EMRange">Constants!$G$5:$G$7</definedName>
    <definedName name="Expert">Constants!$E$10:$E$21</definedName>
    <definedName name="FinancialStatus">Constants!$E$3:$E$4</definedName>
    <definedName name="FiveValueTarrifs">Constants!$W$3:$AA$3</definedName>
    <definedName name="FreeElements">Constants!$A$3:$A$10</definedName>
    <definedName name="Group">Constants!$E$10:$R$10</definedName>
    <definedName name="GroupExpert">Constants!$E$10:$R$21</definedName>
    <definedName name="Least">Constants!$W$3</definedName>
    <definedName name="Most">Constants!$AA$3</definedName>
    <definedName name="OtherCost_type">Constants!$A$31:$A$38</definedName>
    <definedName name="_xlnm.Print_Titles" localSheetId="1">Elements!$1:$6</definedName>
    <definedName name="_xlnm.Print_Titles" localSheetId="2">Elements_F!$1:$6</definedName>
    <definedName name="_xlnm.Print_Titles" localSheetId="5">OtherCost!$1:$7</definedName>
    <definedName name="_xlnm.Print_Titles" localSheetId="8">Risks!$1:$7</definedName>
    <definedName name="project_class">Constants!$E$31:$E$35</definedName>
    <definedName name="project_group">Profilers!$C$4:$C$17</definedName>
    <definedName name="project_methodology">Profilers!$C$46:$C$47</definedName>
    <definedName name="project_status">Profilers!$C$37:$C$38</definedName>
    <definedName name="project_type">Profilers!$C$25:$C$29</definedName>
    <definedName name="Quantity5">Constants!$E$3:$E$7</definedName>
    <definedName name="Systems">Constants!$B$44:$B$115</definedName>
    <definedName name="SystemShortName">OFFSET(Scope!$C$12,0,0,COUNTA(Scope!$C$12:$C$61))</definedName>
    <definedName name="SysWorkType">Constants!$D$3:$D$5</definedName>
    <definedName name="TarrifTable">Constants!$W$4:$AA$7</definedName>
    <definedName name="WorkingGroups">Constants!$B$3:$B$15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2" l="1"/>
  <c r="M29" i="15"/>
  <c r="H28" i="15"/>
  <c r="D28" i="15"/>
  <c r="H27" i="15"/>
  <c r="D27" i="15"/>
  <c r="H26" i="15"/>
  <c r="D26" i="15"/>
  <c r="H25" i="15"/>
  <c r="D25" i="15"/>
  <c r="H24" i="15"/>
  <c r="D24" i="15"/>
  <c r="H23" i="15"/>
  <c r="D23" i="15"/>
  <c r="H22" i="15"/>
  <c r="D22" i="15"/>
  <c r="H21" i="15"/>
  <c r="D21" i="15"/>
  <c r="L20" i="15"/>
  <c r="H20" i="15"/>
  <c r="D20" i="15"/>
  <c r="L19" i="15"/>
  <c r="H19" i="15"/>
  <c r="D19" i="15"/>
  <c r="L18" i="15"/>
  <c r="C16" i="15"/>
  <c r="C15" i="15"/>
  <c r="C14" i="15"/>
  <c r="C13" i="15"/>
  <c r="B9" i="15"/>
  <c r="B8" i="15"/>
  <c r="B7" i="15"/>
  <c r="B6" i="15"/>
  <c r="G5" i="15"/>
  <c r="F5" i="15"/>
  <c r="E5" i="15"/>
  <c r="D5" i="15"/>
  <c r="C5" i="15"/>
  <c r="A2" i="15"/>
  <c r="E36" i="14"/>
  <c r="H36" i="14" s="1"/>
  <c r="I25" i="4" s="1"/>
  <c r="V31" i="14"/>
  <c r="V30" i="14"/>
  <c r="V29" i="14"/>
  <c r="V28" i="14"/>
  <c r="V27" i="14"/>
  <c r="U27" i="14"/>
  <c r="V26" i="14"/>
  <c r="V25" i="14"/>
  <c r="V24" i="14"/>
  <c r="V23" i="14"/>
  <c r="V22" i="14"/>
  <c r="U22" i="14"/>
  <c r="V21" i="14"/>
  <c r="V20" i="14"/>
  <c r="V19" i="14"/>
  <c r="V18" i="14"/>
  <c r="V17" i="14"/>
  <c r="U17" i="14"/>
  <c r="V16" i="14"/>
  <c r="V15" i="14"/>
  <c r="V14" i="14"/>
  <c r="V13" i="14"/>
  <c r="V12" i="14"/>
  <c r="U12" i="14"/>
  <c r="V7" i="14"/>
  <c r="V6" i="14"/>
  <c r="K1923" i="2" s="1"/>
  <c r="V5" i="14"/>
  <c r="V4" i="14"/>
  <c r="AA3" i="14"/>
  <c r="I2016" i="3" s="1"/>
  <c r="I2017" i="3" s="1"/>
  <c r="Z3" i="14"/>
  <c r="H2016" i="3" s="1"/>
  <c r="H2017" i="3" s="1"/>
  <c r="Y3" i="14"/>
  <c r="G2010" i="2" s="1"/>
  <c r="X3" i="14"/>
  <c r="W3" i="14"/>
  <c r="D163" i="13"/>
  <c r="C163" i="13"/>
  <c r="D162" i="13"/>
  <c r="C162" i="13"/>
  <c r="D161" i="13"/>
  <c r="C161" i="13"/>
  <c r="D160" i="13"/>
  <c r="C160" i="13"/>
  <c r="D159" i="13"/>
  <c r="C159" i="13"/>
  <c r="D158" i="13"/>
  <c r="C158" i="13"/>
  <c r="D157" i="13"/>
  <c r="C157" i="13"/>
  <c r="D156" i="13"/>
  <c r="C156" i="13"/>
  <c r="D155" i="13"/>
  <c r="C155" i="13"/>
  <c r="D154" i="13"/>
  <c r="C154" i="13"/>
  <c r="D153" i="13"/>
  <c r="C153" i="13"/>
  <c r="D152" i="13"/>
  <c r="C152" i="13"/>
  <c r="D151" i="13"/>
  <c r="C151" i="13"/>
  <c r="D150" i="13"/>
  <c r="C150" i="13"/>
  <c r="D149" i="13"/>
  <c r="C149" i="13"/>
  <c r="D148" i="13"/>
  <c r="C148" i="13"/>
  <c r="D147" i="13"/>
  <c r="C147" i="13"/>
  <c r="D146" i="13"/>
  <c r="C146" i="13"/>
  <c r="D145" i="13"/>
  <c r="C145" i="13"/>
  <c r="D144" i="13"/>
  <c r="C144" i="13"/>
  <c r="D143" i="13"/>
  <c r="C143" i="13"/>
  <c r="D142" i="13"/>
  <c r="C142" i="13"/>
  <c r="D141" i="13"/>
  <c r="C141" i="13"/>
  <c r="D140" i="13"/>
  <c r="C140" i="13"/>
  <c r="D139" i="13"/>
  <c r="C139" i="13"/>
  <c r="D138" i="13"/>
  <c r="C138" i="13"/>
  <c r="D137" i="13"/>
  <c r="C137" i="13"/>
  <c r="D136" i="13"/>
  <c r="C136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I47" i="13"/>
  <c r="H47" i="13"/>
  <c r="G47" i="13"/>
  <c r="D45" i="13"/>
  <c r="E41" i="13"/>
  <c r="E40" i="13"/>
  <c r="E39" i="13"/>
  <c r="E38" i="13"/>
  <c r="E37" i="13"/>
  <c r="D37" i="13"/>
  <c r="E36" i="13"/>
  <c r="E35" i="13"/>
  <c r="E34" i="13"/>
  <c r="E33" i="13"/>
  <c r="E32" i="13"/>
  <c r="D32" i="13"/>
  <c r="E31" i="13"/>
  <c r="E30" i="13"/>
  <c r="E29" i="13"/>
  <c r="E28" i="13"/>
  <c r="E27" i="13"/>
  <c r="D27" i="13"/>
  <c r="E26" i="13"/>
  <c r="E25" i="13"/>
  <c r="E24" i="13"/>
  <c r="E23" i="13"/>
  <c r="E22" i="13"/>
  <c r="D22" i="13"/>
  <c r="I21" i="13"/>
  <c r="H21" i="13"/>
  <c r="G21" i="13"/>
  <c r="K9" i="13"/>
  <c r="J9" i="13"/>
  <c r="I9" i="13"/>
  <c r="H9" i="13"/>
  <c r="G9" i="13"/>
  <c r="F9" i="13"/>
  <c r="E9" i="13"/>
  <c r="D9" i="13"/>
  <c r="D163" i="12"/>
  <c r="C163" i="12"/>
  <c r="D162" i="12"/>
  <c r="C162" i="12"/>
  <c r="D161" i="12"/>
  <c r="C161" i="12"/>
  <c r="D160" i="12"/>
  <c r="C160" i="12"/>
  <c r="D159" i="12"/>
  <c r="C159" i="12"/>
  <c r="D158" i="12"/>
  <c r="C158" i="12"/>
  <c r="D157" i="12"/>
  <c r="C157" i="12"/>
  <c r="D156" i="12"/>
  <c r="C156" i="12"/>
  <c r="D155" i="12"/>
  <c r="C155" i="12"/>
  <c r="D154" i="12"/>
  <c r="C154" i="12"/>
  <c r="D153" i="12"/>
  <c r="C153" i="12"/>
  <c r="D152" i="12"/>
  <c r="C152" i="12"/>
  <c r="D151" i="12"/>
  <c r="C151" i="12"/>
  <c r="D150" i="12"/>
  <c r="C150" i="12"/>
  <c r="D149" i="12"/>
  <c r="C149" i="12"/>
  <c r="D148" i="12"/>
  <c r="C148" i="12"/>
  <c r="D147" i="12"/>
  <c r="C147" i="12"/>
  <c r="D146" i="12"/>
  <c r="C146" i="12"/>
  <c r="D145" i="12"/>
  <c r="C145" i="12"/>
  <c r="D144" i="12"/>
  <c r="C144" i="12"/>
  <c r="D143" i="12"/>
  <c r="C143" i="12"/>
  <c r="D142" i="12"/>
  <c r="C142" i="12"/>
  <c r="D141" i="12"/>
  <c r="C141" i="12"/>
  <c r="D140" i="12"/>
  <c r="C140" i="12"/>
  <c r="D139" i="12"/>
  <c r="C139" i="12"/>
  <c r="D138" i="12"/>
  <c r="C138" i="12"/>
  <c r="D137" i="12"/>
  <c r="C137" i="12"/>
  <c r="D136" i="12"/>
  <c r="C136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I47" i="12"/>
  <c r="H47" i="12"/>
  <c r="G47" i="12"/>
  <c r="D45" i="12"/>
  <c r="E41" i="12"/>
  <c r="E40" i="12"/>
  <c r="E39" i="12"/>
  <c r="E38" i="12"/>
  <c r="E37" i="12"/>
  <c r="D37" i="12"/>
  <c r="E36" i="12"/>
  <c r="E35" i="12"/>
  <c r="E34" i="12"/>
  <c r="E33" i="12"/>
  <c r="E32" i="12"/>
  <c r="D32" i="12"/>
  <c r="E31" i="12"/>
  <c r="E30" i="12"/>
  <c r="E29" i="12"/>
  <c r="E28" i="12"/>
  <c r="E27" i="12"/>
  <c r="D27" i="12"/>
  <c r="E26" i="12"/>
  <c r="E25" i="12"/>
  <c r="E24" i="12"/>
  <c r="E23" i="12"/>
  <c r="E22" i="12"/>
  <c r="D22" i="12"/>
  <c r="I21" i="12"/>
  <c r="H21" i="12"/>
  <c r="G21" i="12"/>
  <c r="J31" i="11"/>
  <c r="I31" i="11"/>
  <c r="H31" i="11"/>
  <c r="G31" i="11"/>
  <c r="E31" i="11"/>
  <c r="D31" i="11"/>
  <c r="C31" i="11"/>
  <c r="K30" i="11"/>
  <c r="L30" i="11" s="1"/>
  <c r="K29" i="11"/>
  <c r="L29" i="11" s="1"/>
  <c r="K28" i="11"/>
  <c r="L28" i="11" s="1"/>
  <c r="K27" i="11"/>
  <c r="L27" i="11" s="1"/>
  <c r="K26" i="11"/>
  <c r="L26" i="11" s="1"/>
  <c r="K25" i="11"/>
  <c r="L25" i="11" s="1"/>
  <c r="K24" i="11"/>
  <c r="L24" i="11" s="1"/>
  <c r="K23" i="11"/>
  <c r="L23" i="11" s="1"/>
  <c r="K22" i="11"/>
  <c r="L22" i="11" s="1"/>
  <c r="K21" i="11"/>
  <c r="L21" i="11" s="1"/>
  <c r="K20" i="11"/>
  <c r="L20" i="11" s="1"/>
  <c r="K19" i="11"/>
  <c r="L19" i="11" s="1"/>
  <c r="K18" i="11"/>
  <c r="L18" i="11" s="1"/>
  <c r="K17" i="11"/>
  <c r="L17" i="11" s="1"/>
  <c r="K16" i="11"/>
  <c r="L16" i="11" s="1"/>
  <c r="K15" i="11"/>
  <c r="L15" i="11" s="1"/>
  <c r="K14" i="11"/>
  <c r="L14" i="11" s="1"/>
  <c r="K13" i="11"/>
  <c r="L13" i="11" s="1"/>
  <c r="K12" i="11"/>
  <c r="L12" i="11" s="1"/>
  <c r="K11" i="11"/>
  <c r="L11" i="11" s="1"/>
  <c r="K10" i="11"/>
  <c r="L10" i="11" s="1"/>
  <c r="K9" i="11"/>
  <c r="L9" i="11" s="1"/>
  <c r="K5" i="11"/>
  <c r="L5" i="11" s="1"/>
  <c r="L4" i="11"/>
  <c r="K4" i="11"/>
  <c r="K3" i="11"/>
  <c r="L3" i="11" s="1"/>
  <c r="M28" i="10"/>
  <c r="H28" i="10"/>
  <c r="D28" i="10"/>
  <c r="H27" i="10"/>
  <c r="D27" i="10"/>
  <c r="H26" i="10"/>
  <c r="D26" i="10"/>
  <c r="H25" i="10"/>
  <c r="D25" i="10"/>
  <c r="H24" i="10"/>
  <c r="D24" i="10"/>
  <c r="H23" i="10"/>
  <c r="D23" i="10"/>
  <c r="H22" i="10"/>
  <c r="D22" i="10"/>
  <c r="H21" i="10"/>
  <c r="D21" i="10"/>
  <c r="L20" i="10"/>
  <c r="H20" i="10"/>
  <c r="D20" i="10"/>
  <c r="L19" i="10"/>
  <c r="H19" i="10"/>
  <c r="D19" i="10"/>
  <c r="L18" i="10"/>
  <c r="C16" i="10"/>
  <c r="C15" i="10"/>
  <c r="C14" i="10"/>
  <c r="C13" i="10"/>
  <c r="B9" i="10"/>
  <c r="B8" i="10"/>
  <c r="B7" i="10"/>
  <c r="B6" i="10"/>
  <c r="G5" i="10"/>
  <c r="F5" i="10"/>
  <c r="E5" i="10"/>
  <c r="D5" i="10"/>
  <c r="C5" i="10"/>
  <c r="A2" i="10"/>
  <c r="K31" i="8"/>
  <c r="D28" i="8"/>
  <c r="K22" i="8"/>
  <c r="K21" i="8"/>
  <c r="J21" i="8"/>
  <c r="E21" i="8"/>
  <c r="K16" i="8"/>
  <c r="J16" i="8"/>
  <c r="J15" i="8"/>
  <c r="G15" i="8"/>
  <c r="G14" i="8"/>
  <c r="L12" i="8"/>
  <c r="D37" i="8" s="1"/>
  <c r="L11" i="8"/>
  <c r="L10" i="8"/>
  <c r="G21" i="8" s="1"/>
  <c r="L9" i="8"/>
  <c r="L8" i="8"/>
  <c r="D33" i="8" s="1"/>
  <c r="L7" i="8"/>
  <c r="L6" i="8"/>
  <c r="L5" i="8"/>
  <c r="L4" i="8"/>
  <c r="D29" i="8" s="1"/>
  <c r="L3" i="8"/>
  <c r="K28" i="8" s="1"/>
  <c r="C48" i="7"/>
  <c r="E39" i="7"/>
  <c r="E5" i="12" s="1"/>
  <c r="D39" i="7"/>
  <c r="D5" i="12" s="1"/>
  <c r="C39" i="7"/>
  <c r="G30" i="7"/>
  <c r="G4" i="12" s="1"/>
  <c r="C30" i="7"/>
  <c r="J18" i="7"/>
  <c r="J3" i="12" s="1"/>
  <c r="I18" i="7"/>
  <c r="I3" i="12" s="1"/>
  <c r="H18" i="7"/>
  <c r="H3" i="12" s="1"/>
  <c r="G18" i="7"/>
  <c r="G3" i="12" s="1"/>
  <c r="G9" i="12" s="1"/>
  <c r="F18" i="7"/>
  <c r="F3" i="12" s="1"/>
  <c r="E18" i="7"/>
  <c r="E3" i="12" s="1"/>
  <c r="D18" i="7"/>
  <c r="D3" i="12" s="1"/>
  <c r="C18" i="7"/>
  <c r="C3" i="12" s="1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B4" i="6"/>
  <c r="M24" i="15" s="1"/>
  <c r="G18" i="5"/>
  <c r="F18" i="5"/>
  <c r="E18" i="5"/>
  <c r="D18" i="5"/>
  <c r="C18" i="5"/>
  <c r="B18" i="5"/>
  <c r="L15" i="5"/>
  <c r="M15" i="5" s="1"/>
  <c r="M12" i="5"/>
  <c r="L12" i="5"/>
  <c r="M11" i="5"/>
  <c r="L11" i="5"/>
  <c r="L10" i="5"/>
  <c r="M10" i="5" s="1"/>
  <c r="L9" i="5"/>
  <c r="M9" i="5" s="1"/>
  <c r="M8" i="5"/>
  <c r="L8" i="5"/>
  <c r="M7" i="5"/>
  <c r="L7" i="5"/>
  <c r="A1" i="5"/>
  <c r="D20" i="4"/>
  <c r="D19" i="4"/>
  <c r="D18" i="4"/>
  <c r="D17" i="4"/>
  <c r="D16" i="4"/>
  <c r="D15" i="4"/>
  <c r="D14" i="4"/>
  <c r="O13" i="4"/>
  <c r="D13" i="4"/>
  <c r="D12" i="4"/>
  <c r="D11" i="4"/>
  <c r="B1" i="4"/>
  <c r="D2020" i="3"/>
  <c r="I2020" i="3" s="1"/>
  <c r="D2019" i="3"/>
  <c r="H2018" i="3"/>
  <c r="D2018" i="3"/>
  <c r="D2017" i="3"/>
  <c r="G2016" i="3"/>
  <c r="G2017" i="3" s="1"/>
  <c r="D2013" i="3"/>
  <c r="D2012" i="3"/>
  <c r="D2011" i="3"/>
  <c r="D2010" i="3"/>
  <c r="I2009" i="3"/>
  <c r="I2010" i="3" s="1"/>
  <c r="H2009" i="3"/>
  <c r="G2009" i="3"/>
  <c r="G2012" i="3" s="1"/>
  <c r="K2006" i="3"/>
  <c r="J2006" i="3"/>
  <c r="K2005" i="3"/>
  <c r="J2005" i="3"/>
  <c r="K2004" i="3"/>
  <c r="J2004" i="3"/>
  <c r="K2003" i="3"/>
  <c r="J2003" i="3"/>
  <c r="K2002" i="3"/>
  <c r="J2002" i="3"/>
  <c r="L2002" i="3" s="1"/>
  <c r="K2001" i="3"/>
  <c r="J2001" i="3"/>
  <c r="K2000" i="3"/>
  <c r="J2000" i="3"/>
  <c r="L2000" i="3" s="1"/>
  <c r="K1999" i="3"/>
  <c r="J1999" i="3"/>
  <c r="L1999" i="3" s="1"/>
  <c r="K1998" i="3"/>
  <c r="L1998" i="3" s="1"/>
  <c r="J1998" i="3"/>
  <c r="K1997" i="3"/>
  <c r="J1997" i="3"/>
  <c r="K1996" i="3"/>
  <c r="J1996" i="3"/>
  <c r="K1995" i="3"/>
  <c r="L1995" i="3" s="1"/>
  <c r="J1995" i="3"/>
  <c r="K1994" i="3"/>
  <c r="L1994" i="3" s="1"/>
  <c r="J1994" i="3"/>
  <c r="K1993" i="3"/>
  <c r="L1993" i="3" s="1"/>
  <c r="J1993" i="3"/>
  <c r="K1992" i="3"/>
  <c r="J1992" i="3"/>
  <c r="L1992" i="3" s="1"/>
  <c r="K1991" i="3"/>
  <c r="J1991" i="3"/>
  <c r="L1991" i="3" s="1"/>
  <c r="K1990" i="3"/>
  <c r="J1990" i="3"/>
  <c r="L1990" i="3" s="1"/>
  <c r="K1989" i="3"/>
  <c r="J1989" i="3"/>
  <c r="K1988" i="3"/>
  <c r="J1988" i="3"/>
  <c r="L1988" i="3" s="1"/>
  <c r="K1987" i="3"/>
  <c r="L1987" i="3" s="1"/>
  <c r="J1987" i="3"/>
  <c r="L1986" i="3"/>
  <c r="K1986" i="3"/>
  <c r="J1986" i="3"/>
  <c r="K1985" i="3"/>
  <c r="L1985" i="3" s="1"/>
  <c r="J1985" i="3"/>
  <c r="K1984" i="3"/>
  <c r="J1984" i="3"/>
  <c r="K1983" i="3"/>
  <c r="J1983" i="3"/>
  <c r="L1983" i="3" s="1"/>
  <c r="K1982" i="3"/>
  <c r="J1982" i="3"/>
  <c r="K1981" i="3"/>
  <c r="J1981" i="3"/>
  <c r="L1981" i="3" s="1"/>
  <c r="K1980" i="3"/>
  <c r="J1980" i="3"/>
  <c r="K1979" i="3"/>
  <c r="L1979" i="3" s="1"/>
  <c r="J1979" i="3"/>
  <c r="L1978" i="3"/>
  <c r="K1978" i="3"/>
  <c r="J1978" i="3"/>
  <c r="K1977" i="3"/>
  <c r="L1977" i="3" s="1"/>
  <c r="J1977" i="3"/>
  <c r="K1976" i="3"/>
  <c r="J1976" i="3"/>
  <c r="K1975" i="3"/>
  <c r="J1975" i="3"/>
  <c r="L1975" i="3" s="1"/>
  <c r="K1974" i="3"/>
  <c r="L1974" i="3" s="1"/>
  <c r="J1974" i="3"/>
  <c r="K1973" i="3"/>
  <c r="J1973" i="3"/>
  <c r="K1972" i="3"/>
  <c r="J1972" i="3"/>
  <c r="L1972" i="3" s="1"/>
  <c r="K1971" i="3"/>
  <c r="L1971" i="3" s="1"/>
  <c r="J1971" i="3"/>
  <c r="L1970" i="3"/>
  <c r="K1970" i="3"/>
  <c r="J1970" i="3"/>
  <c r="K1969" i="3"/>
  <c r="L1969" i="3" s="1"/>
  <c r="J1969" i="3"/>
  <c r="K1968" i="3"/>
  <c r="J1968" i="3"/>
  <c r="K1967" i="3"/>
  <c r="J1967" i="3"/>
  <c r="K1966" i="3"/>
  <c r="J1966" i="3"/>
  <c r="L1966" i="3" s="1"/>
  <c r="K1965" i="3"/>
  <c r="J1965" i="3"/>
  <c r="K1964" i="3"/>
  <c r="J1964" i="3"/>
  <c r="K1963" i="3"/>
  <c r="J1963" i="3"/>
  <c r="K1962" i="3"/>
  <c r="J1962" i="3"/>
  <c r="L1962" i="3" s="1"/>
  <c r="K1961" i="3"/>
  <c r="L1961" i="3" s="1"/>
  <c r="J1961" i="3"/>
  <c r="K1960" i="3"/>
  <c r="J1960" i="3"/>
  <c r="K1959" i="3"/>
  <c r="J1959" i="3"/>
  <c r="K1958" i="3"/>
  <c r="J1958" i="3"/>
  <c r="L1958" i="3" s="1"/>
  <c r="K1957" i="3"/>
  <c r="J1957" i="3"/>
  <c r="L1957" i="3" s="1"/>
  <c r="K1956" i="3"/>
  <c r="J1956" i="3"/>
  <c r="K1955" i="3"/>
  <c r="J1955" i="3"/>
  <c r="K1954" i="3"/>
  <c r="J1954" i="3"/>
  <c r="K1953" i="3"/>
  <c r="J1953" i="3"/>
  <c r="K1952" i="3"/>
  <c r="J1952" i="3"/>
  <c r="L1952" i="3" s="1"/>
  <c r="K1951" i="3"/>
  <c r="J1951" i="3"/>
  <c r="K1950" i="3"/>
  <c r="J1950" i="3"/>
  <c r="L1950" i="3" s="1"/>
  <c r="K1949" i="3"/>
  <c r="J1949" i="3"/>
  <c r="L1949" i="3" s="1"/>
  <c r="K1948" i="3"/>
  <c r="J1948" i="3"/>
  <c r="L1948" i="3" s="1"/>
  <c r="K1947" i="3"/>
  <c r="L1947" i="3" s="1"/>
  <c r="J1947" i="3"/>
  <c r="L1946" i="3"/>
  <c r="K1946" i="3"/>
  <c r="J1946" i="3"/>
  <c r="K1945" i="3"/>
  <c r="J1945" i="3"/>
  <c r="K1944" i="3"/>
  <c r="J1944" i="3"/>
  <c r="L1944" i="3" s="1"/>
  <c r="K1943" i="3"/>
  <c r="J1943" i="3"/>
  <c r="L1943" i="3" s="1"/>
  <c r="L1942" i="3"/>
  <c r="K1942" i="3"/>
  <c r="J1942" i="3"/>
  <c r="K1941" i="3"/>
  <c r="J1941" i="3"/>
  <c r="L1941" i="3" s="1"/>
  <c r="K1940" i="3"/>
  <c r="J1940" i="3"/>
  <c r="L1940" i="3" s="1"/>
  <c r="K1939" i="3"/>
  <c r="J1939" i="3"/>
  <c r="K1938" i="3"/>
  <c r="J1938" i="3"/>
  <c r="L1938" i="3" s="1"/>
  <c r="K1937" i="3"/>
  <c r="J1937" i="3"/>
  <c r="K1936" i="3"/>
  <c r="J1936" i="3"/>
  <c r="L1936" i="3" s="1"/>
  <c r="K1935" i="3"/>
  <c r="J1935" i="3"/>
  <c r="L1935" i="3" s="1"/>
  <c r="K1934" i="3"/>
  <c r="J1934" i="3"/>
  <c r="L1934" i="3" s="1"/>
  <c r="K1933" i="3"/>
  <c r="J1933" i="3"/>
  <c r="K1932" i="3"/>
  <c r="J1932" i="3"/>
  <c r="L1932" i="3" s="1"/>
  <c r="K1931" i="3"/>
  <c r="J1931" i="3"/>
  <c r="K1930" i="3"/>
  <c r="J1930" i="3"/>
  <c r="L1930" i="3" s="1"/>
  <c r="K1929" i="3"/>
  <c r="J1929" i="3"/>
  <c r="K1928" i="3"/>
  <c r="J1928" i="3"/>
  <c r="K1927" i="3"/>
  <c r="J1927" i="3"/>
  <c r="L1927" i="3" s="1"/>
  <c r="K1926" i="3"/>
  <c r="J1926" i="3"/>
  <c r="K1925" i="3"/>
  <c r="J1925" i="3"/>
  <c r="K1924" i="3"/>
  <c r="J1924" i="3"/>
  <c r="K1923" i="3"/>
  <c r="J1923" i="3"/>
  <c r="K1922" i="3"/>
  <c r="J1922" i="3"/>
  <c r="K1921" i="3"/>
  <c r="J1921" i="3"/>
  <c r="K1920" i="3"/>
  <c r="J1920" i="3"/>
  <c r="L1920" i="3" s="1"/>
  <c r="K1919" i="3"/>
  <c r="J1919" i="3"/>
  <c r="L1919" i="3" s="1"/>
  <c r="L1918" i="3"/>
  <c r="K1918" i="3"/>
  <c r="J1918" i="3"/>
  <c r="K1917" i="3"/>
  <c r="J1917" i="3"/>
  <c r="L1917" i="3" s="1"/>
  <c r="K1916" i="3"/>
  <c r="J1916" i="3"/>
  <c r="L1916" i="3" s="1"/>
  <c r="K1915" i="3"/>
  <c r="L1915" i="3" s="1"/>
  <c r="J1915" i="3"/>
  <c r="K1914" i="3"/>
  <c r="L1914" i="3" s="1"/>
  <c r="J1914" i="3"/>
  <c r="K1913" i="3"/>
  <c r="J1913" i="3"/>
  <c r="K1912" i="3"/>
  <c r="J1912" i="3"/>
  <c r="K1911" i="3"/>
  <c r="J1911" i="3"/>
  <c r="L1911" i="3" s="1"/>
  <c r="K1910" i="3"/>
  <c r="J1910" i="3"/>
  <c r="L1910" i="3" s="1"/>
  <c r="K1909" i="3"/>
  <c r="J1909" i="3"/>
  <c r="K1908" i="3"/>
  <c r="J1908" i="3"/>
  <c r="L1908" i="3" s="1"/>
  <c r="K1907" i="3"/>
  <c r="L1907" i="3" s="1"/>
  <c r="J1907" i="3"/>
  <c r="L1906" i="3"/>
  <c r="K1906" i="3"/>
  <c r="J1906" i="3"/>
  <c r="K1905" i="3"/>
  <c r="L1905" i="3" s="1"/>
  <c r="J1905" i="3"/>
  <c r="K1904" i="3"/>
  <c r="J1904" i="3"/>
  <c r="L1904" i="3" s="1"/>
  <c r="K1903" i="3"/>
  <c r="J1903" i="3"/>
  <c r="K1902" i="3"/>
  <c r="J1902" i="3"/>
  <c r="L1902" i="3" s="1"/>
  <c r="K1901" i="3"/>
  <c r="J1901" i="3"/>
  <c r="K1900" i="3"/>
  <c r="J1900" i="3"/>
  <c r="K1899" i="3"/>
  <c r="L1899" i="3" s="1"/>
  <c r="J1899" i="3"/>
  <c r="K1898" i="3"/>
  <c r="L1898" i="3" s="1"/>
  <c r="J1898" i="3"/>
  <c r="K1897" i="3"/>
  <c r="L1897" i="3" s="1"/>
  <c r="J1897" i="3"/>
  <c r="K1896" i="3"/>
  <c r="J1896" i="3"/>
  <c r="K1895" i="3"/>
  <c r="J1895" i="3"/>
  <c r="L1894" i="3"/>
  <c r="K1894" i="3"/>
  <c r="J1894" i="3"/>
  <c r="K1893" i="3"/>
  <c r="J1893" i="3"/>
  <c r="K1892" i="3"/>
  <c r="J1892" i="3"/>
  <c r="L1892" i="3" s="1"/>
  <c r="K1891" i="3"/>
  <c r="L1891" i="3" s="1"/>
  <c r="J1891" i="3"/>
  <c r="K1890" i="3"/>
  <c r="J1890" i="3"/>
  <c r="L1890" i="3" s="1"/>
  <c r="K1889" i="3"/>
  <c r="L1889" i="3" s="1"/>
  <c r="J1889" i="3"/>
  <c r="K1888" i="3"/>
  <c r="J1888" i="3"/>
  <c r="K1887" i="3"/>
  <c r="J1887" i="3"/>
  <c r="L1886" i="3"/>
  <c r="K1886" i="3"/>
  <c r="J1886" i="3"/>
  <c r="K1885" i="3"/>
  <c r="L1885" i="3" s="1"/>
  <c r="J1885" i="3"/>
  <c r="K1884" i="3"/>
  <c r="J1884" i="3"/>
  <c r="L1884" i="3" s="1"/>
  <c r="K1883" i="3"/>
  <c r="J1883" i="3"/>
  <c r="L1882" i="3"/>
  <c r="K1882" i="3"/>
  <c r="J1882" i="3"/>
  <c r="K1881" i="3"/>
  <c r="J1881" i="3"/>
  <c r="K1880" i="3"/>
  <c r="J1880" i="3"/>
  <c r="K1879" i="3"/>
  <c r="J1879" i="3"/>
  <c r="K1878" i="3"/>
  <c r="J1878" i="3"/>
  <c r="L1878" i="3" s="1"/>
  <c r="K1877" i="3"/>
  <c r="L1877" i="3" s="1"/>
  <c r="J1877" i="3"/>
  <c r="K1876" i="3"/>
  <c r="J1876" i="3"/>
  <c r="K1875" i="3"/>
  <c r="J1875" i="3"/>
  <c r="K1874" i="3"/>
  <c r="J1874" i="3"/>
  <c r="L1874" i="3" s="1"/>
  <c r="K1873" i="3"/>
  <c r="J1873" i="3"/>
  <c r="K1872" i="3"/>
  <c r="J1872" i="3"/>
  <c r="K1871" i="3"/>
  <c r="J1871" i="3"/>
  <c r="L1871" i="3" s="1"/>
  <c r="K1870" i="3"/>
  <c r="J1870" i="3"/>
  <c r="L1870" i="3" s="1"/>
  <c r="K1869" i="3"/>
  <c r="J1869" i="3"/>
  <c r="K1868" i="3"/>
  <c r="J1868" i="3"/>
  <c r="L1868" i="3" s="1"/>
  <c r="K1867" i="3"/>
  <c r="L1867" i="3" s="1"/>
  <c r="J1867" i="3"/>
  <c r="L1866" i="3"/>
  <c r="K1866" i="3"/>
  <c r="J1866" i="3"/>
  <c r="K1865" i="3"/>
  <c r="J1865" i="3"/>
  <c r="K1864" i="3"/>
  <c r="J1864" i="3"/>
  <c r="L1864" i="3" s="1"/>
  <c r="K1863" i="3"/>
  <c r="J1863" i="3"/>
  <c r="L1863" i="3" s="1"/>
  <c r="K1862" i="3"/>
  <c r="L1862" i="3" s="1"/>
  <c r="J1862" i="3"/>
  <c r="K1861" i="3"/>
  <c r="J1861" i="3"/>
  <c r="K1860" i="3"/>
  <c r="J1860" i="3"/>
  <c r="L1860" i="3" s="1"/>
  <c r="K1859" i="3"/>
  <c r="J1859" i="3"/>
  <c r="L1858" i="3"/>
  <c r="K1858" i="3"/>
  <c r="J1858" i="3"/>
  <c r="K1857" i="3"/>
  <c r="J1857" i="3"/>
  <c r="K1856" i="3"/>
  <c r="J1856" i="3"/>
  <c r="L1856" i="3" s="1"/>
  <c r="K1855" i="3"/>
  <c r="J1855" i="3"/>
  <c r="L1855" i="3" s="1"/>
  <c r="K1854" i="3"/>
  <c r="L1854" i="3" s="1"/>
  <c r="J1854" i="3"/>
  <c r="K1853" i="3"/>
  <c r="L1853" i="3" s="1"/>
  <c r="J1853" i="3"/>
  <c r="K1852" i="3"/>
  <c r="J1852" i="3"/>
  <c r="L1852" i="3" s="1"/>
  <c r="K1851" i="3"/>
  <c r="J1851" i="3"/>
  <c r="K1850" i="3"/>
  <c r="J1850" i="3"/>
  <c r="L1850" i="3" s="1"/>
  <c r="K1849" i="3"/>
  <c r="J1849" i="3"/>
  <c r="K1848" i="3"/>
  <c r="J1848" i="3"/>
  <c r="L1848" i="3" s="1"/>
  <c r="K1847" i="3"/>
  <c r="J1847" i="3"/>
  <c r="L1847" i="3" s="1"/>
  <c r="L1846" i="3"/>
  <c r="K1846" i="3"/>
  <c r="J1846" i="3"/>
  <c r="K1845" i="3"/>
  <c r="L1845" i="3" s="1"/>
  <c r="J1845" i="3"/>
  <c r="K1844" i="3"/>
  <c r="J1844" i="3"/>
  <c r="K1843" i="3"/>
  <c r="J1843" i="3"/>
  <c r="K1842" i="3"/>
  <c r="J1842" i="3"/>
  <c r="L1842" i="3" s="1"/>
  <c r="K1841" i="3"/>
  <c r="J1841" i="3"/>
  <c r="L1841" i="3" s="1"/>
  <c r="K1840" i="3"/>
  <c r="J1840" i="3"/>
  <c r="L1840" i="3" s="1"/>
  <c r="K1839" i="3"/>
  <c r="J1839" i="3"/>
  <c r="K1838" i="3"/>
  <c r="J1838" i="3"/>
  <c r="L1838" i="3" s="1"/>
  <c r="K1837" i="3"/>
  <c r="L1837" i="3" s="1"/>
  <c r="J1837" i="3"/>
  <c r="K1836" i="3"/>
  <c r="J1836" i="3"/>
  <c r="L1836" i="3" s="1"/>
  <c r="K1835" i="3"/>
  <c r="L1835" i="3" s="1"/>
  <c r="J1835" i="3"/>
  <c r="K1834" i="3"/>
  <c r="L1834" i="3" s="1"/>
  <c r="J1834" i="3"/>
  <c r="K1833" i="3"/>
  <c r="J1833" i="3"/>
  <c r="K1832" i="3"/>
  <c r="J1832" i="3"/>
  <c r="L1832" i="3" s="1"/>
  <c r="K1831" i="3"/>
  <c r="J1831" i="3"/>
  <c r="L1831" i="3" s="1"/>
  <c r="K1830" i="3"/>
  <c r="L1830" i="3" s="1"/>
  <c r="J1830" i="3"/>
  <c r="K1829" i="3"/>
  <c r="J1829" i="3"/>
  <c r="K1828" i="3"/>
  <c r="J1828" i="3"/>
  <c r="L1828" i="3" s="1"/>
  <c r="K1827" i="3"/>
  <c r="L1827" i="3" s="1"/>
  <c r="J1827" i="3"/>
  <c r="L1826" i="3"/>
  <c r="K1826" i="3"/>
  <c r="J1826" i="3"/>
  <c r="K1825" i="3"/>
  <c r="J1825" i="3"/>
  <c r="K1824" i="3"/>
  <c r="J1824" i="3"/>
  <c r="K1823" i="3"/>
  <c r="J1823" i="3"/>
  <c r="L1823" i="3" s="1"/>
  <c r="K1822" i="3"/>
  <c r="J1822" i="3"/>
  <c r="L1822" i="3" s="1"/>
  <c r="K1821" i="3"/>
  <c r="J1821" i="3"/>
  <c r="K1820" i="3"/>
  <c r="J1820" i="3"/>
  <c r="L1820" i="3" s="1"/>
  <c r="K1819" i="3"/>
  <c r="J1819" i="3"/>
  <c r="L1818" i="3"/>
  <c r="K1818" i="3"/>
  <c r="J1818" i="3"/>
  <c r="K1817" i="3"/>
  <c r="J1817" i="3"/>
  <c r="K1816" i="3"/>
  <c r="J1816" i="3"/>
  <c r="K1815" i="3"/>
  <c r="J1815" i="3"/>
  <c r="L1815" i="3" s="1"/>
  <c r="L1814" i="3"/>
  <c r="K1814" i="3"/>
  <c r="J1814" i="3"/>
  <c r="K1813" i="3"/>
  <c r="J1813" i="3"/>
  <c r="K1812" i="3"/>
  <c r="J1812" i="3"/>
  <c r="L1812" i="3" s="1"/>
  <c r="K1811" i="3"/>
  <c r="J1811" i="3"/>
  <c r="K1810" i="3"/>
  <c r="J1810" i="3"/>
  <c r="K1809" i="3"/>
  <c r="J1809" i="3"/>
  <c r="K1808" i="3"/>
  <c r="J1808" i="3"/>
  <c r="K1807" i="3"/>
  <c r="J1807" i="3"/>
  <c r="K1806" i="3"/>
  <c r="J1806" i="3"/>
  <c r="L1806" i="3" s="1"/>
  <c r="K1805" i="3"/>
  <c r="L1805" i="3" s="1"/>
  <c r="J1805" i="3"/>
  <c r="K1804" i="3"/>
  <c r="J1804" i="3"/>
  <c r="K1803" i="3"/>
  <c r="J1803" i="3"/>
  <c r="K1802" i="3"/>
  <c r="J1802" i="3"/>
  <c r="L1802" i="3" s="1"/>
  <c r="K1801" i="3"/>
  <c r="J1801" i="3"/>
  <c r="K1800" i="3"/>
  <c r="J1800" i="3"/>
  <c r="L1800" i="3" s="1"/>
  <c r="K1799" i="3"/>
  <c r="J1799" i="3"/>
  <c r="K1798" i="3"/>
  <c r="J1798" i="3"/>
  <c r="L1798" i="3" s="1"/>
  <c r="K1797" i="3"/>
  <c r="L1797" i="3" s="1"/>
  <c r="J1797" i="3"/>
  <c r="K1796" i="3"/>
  <c r="J1796" i="3"/>
  <c r="K1795" i="3"/>
  <c r="L1795" i="3" s="1"/>
  <c r="J1795" i="3"/>
  <c r="K1794" i="3"/>
  <c r="J1794" i="3"/>
  <c r="L1794" i="3" s="1"/>
  <c r="K1793" i="3"/>
  <c r="J1793" i="3"/>
  <c r="K1792" i="3"/>
  <c r="J1792" i="3"/>
  <c r="L1792" i="3" s="1"/>
  <c r="K1791" i="3"/>
  <c r="J1791" i="3"/>
  <c r="K1790" i="3"/>
  <c r="J1790" i="3"/>
  <c r="L1790" i="3" s="1"/>
  <c r="K1789" i="3"/>
  <c r="J1789" i="3"/>
  <c r="K1788" i="3"/>
  <c r="J1788" i="3"/>
  <c r="L1788" i="3" s="1"/>
  <c r="K1787" i="3"/>
  <c r="L1787" i="3" s="1"/>
  <c r="J1787" i="3"/>
  <c r="K1786" i="3"/>
  <c r="L1786" i="3" s="1"/>
  <c r="J1786" i="3"/>
  <c r="K1785" i="3"/>
  <c r="J1785" i="3"/>
  <c r="K1784" i="3"/>
  <c r="J1784" i="3"/>
  <c r="K1783" i="3"/>
  <c r="J1783" i="3"/>
  <c r="L1783" i="3" s="1"/>
  <c r="L1782" i="3"/>
  <c r="K1782" i="3"/>
  <c r="J1782" i="3"/>
  <c r="K1781" i="3"/>
  <c r="J1781" i="3"/>
  <c r="K1780" i="3"/>
  <c r="J1780" i="3"/>
  <c r="L1780" i="3" s="1"/>
  <c r="K1779" i="3"/>
  <c r="J1779" i="3"/>
  <c r="K1778" i="3"/>
  <c r="J1778" i="3"/>
  <c r="L1778" i="3" s="1"/>
  <c r="K1777" i="3"/>
  <c r="J1777" i="3"/>
  <c r="K1776" i="3"/>
  <c r="J1776" i="3"/>
  <c r="L1776" i="3" s="1"/>
  <c r="K1775" i="3"/>
  <c r="J1775" i="3"/>
  <c r="K1774" i="3"/>
  <c r="J1774" i="3"/>
  <c r="L1774" i="3" s="1"/>
  <c r="K1773" i="3"/>
  <c r="L1773" i="3" s="1"/>
  <c r="J1773" i="3"/>
  <c r="K1772" i="3"/>
  <c r="J1772" i="3"/>
  <c r="L1772" i="3" s="1"/>
  <c r="K1771" i="3"/>
  <c r="J1771" i="3"/>
  <c r="L1770" i="3"/>
  <c r="K1770" i="3"/>
  <c r="J1770" i="3"/>
  <c r="K1769" i="3"/>
  <c r="J1769" i="3"/>
  <c r="L1769" i="3" s="1"/>
  <c r="K1768" i="3"/>
  <c r="J1768" i="3"/>
  <c r="K1767" i="3"/>
  <c r="J1767" i="3"/>
  <c r="L1767" i="3" s="1"/>
  <c r="L1766" i="3"/>
  <c r="K1766" i="3"/>
  <c r="J1766" i="3"/>
  <c r="K1765" i="3"/>
  <c r="J1765" i="3"/>
  <c r="K1764" i="3"/>
  <c r="J1764" i="3"/>
  <c r="K1763" i="3"/>
  <c r="J1763" i="3"/>
  <c r="K1762" i="3"/>
  <c r="J1762" i="3"/>
  <c r="L1762" i="3" s="1"/>
  <c r="K1761" i="3"/>
  <c r="J1761" i="3"/>
  <c r="K1760" i="3"/>
  <c r="J1760" i="3"/>
  <c r="L1760" i="3" s="1"/>
  <c r="K1759" i="3"/>
  <c r="J1759" i="3"/>
  <c r="L1759" i="3" s="1"/>
  <c r="L1758" i="3"/>
  <c r="K1758" i="3"/>
  <c r="J1758" i="3"/>
  <c r="K1757" i="3"/>
  <c r="L1757" i="3" s="1"/>
  <c r="J1757" i="3"/>
  <c r="K1756" i="3"/>
  <c r="J1756" i="3"/>
  <c r="L1756" i="3" s="1"/>
  <c r="K1755" i="3"/>
  <c r="L1755" i="3" s="1"/>
  <c r="J1755" i="3"/>
  <c r="K1754" i="3"/>
  <c r="L1754" i="3" s="1"/>
  <c r="J1754" i="3"/>
  <c r="K1753" i="3"/>
  <c r="J1753" i="3"/>
  <c r="K1752" i="3"/>
  <c r="J1752" i="3"/>
  <c r="L1752" i="3" s="1"/>
  <c r="K1751" i="3"/>
  <c r="J1751" i="3"/>
  <c r="L1751" i="3" s="1"/>
  <c r="K1750" i="3"/>
  <c r="J1750" i="3"/>
  <c r="L1750" i="3" s="1"/>
  <c r="K1749" i="3"/>
  <c r="L1749" i="3" s="1"/>
  <c r="J1749" i="3"/>
  <c r="K1748" i="3"/>
  <c r="J1748" i="3"/>
  <c r="K1747" i="3"/>
  <c r="J1747" i="3"/>
  <c r="L1746" i="3"/>
  <c r="K1746" i="3"/>
  <c r="J1746" i="3"/>
  <c r="K1745" i="3"/>
  <c r="J1745" i="3"/>
  <c r="K1744" i="3"/>
  <c r="J1744" i="3"/>
  <c r="K1743" i="3"/>
  <c r="J1743" i="3"/>
  <c r="L1743" i="3" s="1"/>
  <c r="K1742" i="3"/>
  <c r="J1742" i="3"/>
  <c r="K1741" i="3"/>
  <c r="J1741" i="3"/>
  <c r="K1740" i="3"/>
  <c r="J1740" i="3"/>
  <c r="L1740" i="3" s="1"/>
  <c r="K1739" i="3"/>
  <c r="J1739" i="3"/>
  <c r="L1738" i="3"/>
  <c r="K1738" i="3"/>
  <c r="J1738" i="3"/>
  <c r="K1737" i="3"/>
  <c r="L1737" i="3" s="1"/>
  <c r="J1737" i="3"/>
  <c r="K1736" i="3"/>
  <c r="J1736" i="3"/>
  <c r="K1735" i="3"/>
  <c r="J1735" i="3"/>
  <c r="L1735" i="3" s="1"/>
  <c r="K1734" i="3"/>
  <c r="L1734" i="3" s="1"/>
  <c r="J1734" i="3"/>
  <c r="K1733" i="3"/>
  <c r="J1733" i="3"/>
  <c r="K1732" i="3"/>
  <c r="J1732" i="3"/>
  <c r="K1731" i="3"/>
  <c r="J1731" i="3"/>
  <c r="K1730" i="3"/>
  <c r="J1730" i="3"/>
  <c r="L1730" i="3" s="1"/>
  <c r="K1729" i="3"/>
  <c r="J1729" i="3"/>
  <c r="K1728" i="3"/>
  <c r="J1728" i="3"/>
  <c r="K1727" i="3"/>
  <c r="J1727" i="3"/>
  <c r="L1726" i="3"/>
  <c r="K1726" i="3"/>
  <c r="J1726" i="3"/>
  <c r="K1725" i="3"/>
  <c r="L1725" i="3" s="1"/>
  <c r="J1725" i="3"/>
  <c r="K1724" i="3"/>
  <c r="J1724" i="3"/>
  <c r="L1724" i="3" s="1"/>
  <c r="K1723" i="3"/>
  <c r="L1723" i="3" s="1"/>
  <c r="J1723" i="3"/>
  <c r="K1722" i="3"/>
  <c r="J1722" i="3"/>
  <c r="L1722" i="3" s="1"/>
  <c r="K1721" i="3"/>
  <c r="J1721" i="3"/>
  <c r="K1720" i="3"/>
  <c r="J1720" i="3"/>
  <c r="L1720" i="3" s="1"/>
  <c r="K1719" i="3"/>
  <c r="J1719" i="3"/>
  <c r="K1718" i="3"/>
  <c r="J1718" i="3"/>
  <c r="L1718" i="3" s="1"/>
  <c r="K1717" i="3"/>
  <c r="L1717" i="3" s="1"/>
  <c r="J1717" i="3"/>
  <c r="K1716" i="3"/>
  <c r="J1716" i="3"/>
  <c r="K1715" i="3"/>
  <c r="L1715" i="3" s="1"/>
  <c r="J1715" i="3"/>
  <c r="K1714" i="3"/>
  <c r="L1714" i="3" s="1"/>
  <c r="J1714" i="3"/>
  <c r="K1713" i="3"/>
  <c r="J1713" i="3"/>
  <c r="K1712" i="3"/>
  <c r="J1712" i="3"/>
  <c r="K1711" i="3"/>
  <c r="J1711" i="3"/>
  <c r="K1710" i="3"/>
  <c r="J1710" i="3"/>
  <c r="L1710" i="3" s="1"/>
  <c r="K1709" i="3"/>
  <c r="J1709" i="3"/>
  <c r="K1708" i="3"/>
  <c r="J1708" i="3"/>
  <c r="K1707" i="3"/>
  <c r="L1707" i="3" s="1"/>
  <c r="J1707" i="3"/>
  <c r="K1706" i="3"/>
  <c r="L1706" i="3" s="1"/>
  <c r="J1706" i="3"/>
  <c r="K1705" i="3"/>
  <c r="J1705" i="3"/>
  <c r="K1704" i="3"/>
  <c r="J1704" i="3"/>
  <c r="L1704" i="3" s="1"/>
  <c r="K1703" i="3"/>
  <c r="J1703" i="3"/>
  <c r="L1703" i="3" s="1"/>
  <c r="K1702" i="3"/>
  <c r="L1702" i="3" s="1"/>
  <c r="J1702" i="3"/>
  <c r="K1701" i="3"/>
  <c r="J1701" i="3"/>
  <c r="K1700" i="3"/>
  <c r="J1700" i="3"/>
  <c r="L1700" i="3" s="1"/>
  <c r="K1699" i="3"/>
  <c r="L1699" i="3" s="1"/>
  <c r="J1699" i="3"/>
  <c r="K1698" i="3"/>
  <c r="J1698" i="3"/>
  <c r="L1698" i="3" s="1"/>
  <c r="L1697" i="3"/>
  <c r="K1697" i="3"/>
  <c r="J1697" i="3"/>
  <c r="K1696" i="3"/>
  <c r="J1696" i="3"/>
  <c r="L1696" i="3" s="1"/>
  <c r="K1695" i="3"/>
  <c r="J1695" i="3"/>
  <c r="K1694" i="3"/>
  <c r="J1694" i="3"/>
  <c r="L1694" i="3" s="1"/>
  <c r="K1693" i="3"/>
  <c r="L1693" i="3" s="1"/>
  <c r="J1693" i="3"/>
  <c r="K1692" i="3"/>
  <c r="J1692" i="3"/>
  <c r="K1691" i="3"/>
  <c r="J1691" i="3"/>
  <c r="L1690" i="3"/>
  <c r="K1690" i="3"/>
  <c r="J1690" i="3"/>
  <c r="K1689" i="3"/>
  <c r="J1689" i="3"/>
  <c r="L1689" i="3" s="1"/>
  <c r="K1688" i="3"/>
  <c r="J1688" i="3"/>
  <c r="K1687" i="3"/>
  <c r="J1687" i="3"/>
  <c r="K1686" i="3"/>
  <c r="L1686" i="3" s="1"/>
  <c r="J1686" i="3"/>
  <c r="K1685" i="3"/>
  <c r="L1685" i="3" s="1"/>
  <c r="J1685" i="3"/>
  <c r="K1684" i="3"/>
  <c r="J1684" i="3"/>
  <c r="L1684" i="3" s="1"/>
  <c r="K1683" i="3"/>
  <c r="J1683" i="3"/>
  <c r="L1682" i="3"/>
  <c r="K1682" i="3"/>
  <c r="J1682" i="3"/>
  <c r="K1681" i="3"/>
  <c r="J1681" i="3"/>
  <c r="L1681" i="3" s="1"/>
  <c r="K1680" i="3"/>
  <c r="J1680" i="3"/>
  <c r="L1680" i="3" s="1"/>
  <c r="K1679" i="3"/>
  <c r="J1679" i="3"/>
  <c r="L1679" i="3" s="1"/>
  <c r="K1678" i="3"/>
  <c r="L1678" i="3" s="1"/>
  <c r="J1678" i="3"/>
  <c r="K1677" i="3"/>
  <c r="L1677" i="3" s="1"/>
  <c r="J1677" i="3"/>
  <c r="K1676" i="3"/>
  <c r="J1676" i="3"/>
  <c r="K1675" i="3"/>
  <c r="L1675" i="3" s="1"/>
  <c r="J1675" i="3"/>
  <c r="K1674" i="3"/>
  <c r="J1674" i="3"/>
  <c r="L1674" i="3" s="1"/>
  <c r="K1673" i="3"/>
  <c r="L1673" i="3" s="1"/>
  <c r="J1673" i="3"/>
  <c r="K1672" i="3"/>
  <c r="J1672" i="3"/>
  <c r="L1672" i="3" s="1"/>
  <c r="K1671" i="3"/>
  <c r="J1671" i="3"/>
  <c r="L1671" i="3" s="1"/>
  <c r="K1670" i="3"/>
  <c r="J1670" i="3"/>
  <c r="L1670" i="3" s="1"/>
  <c r="K1669" i="3"/>
  <c r="L1669" i="3" s="1"/>
  <c r="J1669" i="3"/>
  <c r="K1668" i="3"/>
  <c r="J1668" i="3"/>
  <c r="K1667" i="3"/>
  <c r="L1667" i="3" s="1"/>
  <c r="J1667" i="3"/>
  <c r="K1666" i="3"/>
  <c r="J1666" i="3"/>
  <c r="L1666" i="3" s="1"/>
  <c r="K1665" i="3"/>
  <c r="L1665" i="3" s="1"/>
  <c r="J1665" i="3"/>
  <c r="K1664" i="3"/>
  <c r="J1664" i="3"/>
  <c r="K1663" i="3"/>
  <c r="J1663" i="3"/>
  <c r="K1662" i="3"/>
  <c r="J1662" i="3"/>
  <c r="L1662" i="3" s="1"/>
  <c r="K1661" i="3"/>
  <c r="J1661" i="3"/>
  <c r="K1660" i="3"/>
  <c r="J1660" i="3"/>
  <c r="K1659" i="3"/>
  <c r="J1659" i="3"/>
  <c r="K1658" i="3"/>
  <c r="J1658" i="3"/>
  <c r="L1658" i="3" s="1"/>
  <c r="K1657" i="3"/>
  <c r="J1657" i="3"/>
  <c r="K1656" i="3"/>
  <c r="J1656" i="3"/>
  <c r="L1656" i="3" s="1"/>
  <c r="K1655" i="3"/>
  <c r="J1655" i="3"/>
  <c r="L1654" i="3"/>
  <c r="K1654" i="3"/>
  <c r="J1654" i="3"/>
  <c r="K1653" i="3"/>
  <c r="J1653" i="3"/>
  <c r="K1652" i="3"/>
  <c r="J1652" i="3"/>
  <c r="K1651" i="3"/>
  <c r="J1651" i="3"/>
  <c r="L1650" i="3"/>
  <c r="K1650" i="3"/>
  <c r="J1650" i="3"/>
  <c r="K1649" i="3"/>
  <c r="J1649" i="3"/>
  <c r="K1648" i="3"/>
  <c r="J1648" i="3"/>
  <c r="L1648" i="3" s="1"/>
  <c r="K1647" i="3"/>
  <c r="J1647" i="3"/>
  <c r="L1647" i="3" s="1"/>
  <c r="K1646" i="3"/>
  <c r="J1646" i="3"/>
  <c r="L1646" i="3" s="1"/>
  <c r="K1645" i="3"/>
  <c r="L1645" i="3" s="1"/>
  <c r="J1645" i="3"/>
  <c r="K1644" i="3"/>
  <c r="J1644" i="3"/>
  <c r="K1643" i="3"/>
  <c r="J1643" i="3"/>
  <c r="K1642" i="3"/>
  <c r="J1642" i="3"/>
  <c r="L1642" i="3" s="1"/>
  <c r="K1641" i="3"/>
  <c r="L1641" i="3" s="1"/>
  <c r="J1641" i="3"/>
  <c r="K1640" i="3"/>
  <c r="J1640" i="3"/>
  <c r="L1640" i="3" s="1"/>
  <c r="K1639" i="3"/>
  <c r="J1639" i="3"/>
  <c r="L1639" i="3" s="1"/>
  <c r="K1638" i="3"/>
  <c r="J1638" i="3"/>
  <c r="L1638" i="3" s="1"/>
  <c r="K1637" i="3"/>
  <c r="J1637" i="3"/>
  <c r="K1636" i="3"/>
  <c r="J1636" i="3"/>
  <c r="K1635" i="3"/>
  <c r="L1635" i="3" s="1"/>
  <c r="J1635" i="3"/>
  <c r="K1634" i="3"/>
  <c r="J1634" i="3"/>
  <c r="L1634" i="3" s="1"/>
  <c r="K1633" i="3"/>
  <c r="J1633" i="3"/>
  <c r="L1633" i="3" s="1"/>
  <c r="K1632" i="3"/>
  <c r="J1632" i="3"/>
  <c r="L1632" i="3" s="1"/>
  <c r="K1631" i="3"/>
  <c r="J1631" i="3"/>
  <c r="K1630" i="3"/>
  <c r="J1630" i="3"/>
  <c r="L1630" i="3" s="1"/>
  <c r="K1629" i="3"/>
  <c r="L1629" i="3" s="1"/>
  <c r="J1629" i="3"/>
  <c r="K1628" i="3"/>
  <c r="J1628" i="3"/>
  <c r="L1628" i="3" s="1"/>
  <c r="K1627" i="3"/>
  <c r="J1627" i="3"/>
  <c r="K1626" i="3"/>
  <c r="J1626" i="3"/>
  <c r="L1626" i="3" s="1"/>
  <c r="K1625" i="3"/>
  <c r="J1625" i="3"/>
  <c r="K1624" i="3"/>
  <c r="J1624" i="3"/>
  <c r="K1623" i="3"/>
  <c r="J1623" i="3"/>
  <c r="L1623" i="3" s="1"/>
  <c r="K1622" i="3"/>
  <c r="J1622" i="3"/>
  <c r="L1622" i="3" s="1"/>
  <c r="K1621" i="3"/>
  <c r="J1621" i="3"/>
  <c r="K1620" i="3"/>
  <c r="J1620" i="3"/>
  <c r="L1620" i="3" s="1"/>
  <c r="K1619" i="3"/>
  <c r="J1619" i="3"/>
  <c r="K1618" i="3"/>
  <c r="J1618" i="3"/>
  <c r="K1617" i="3"/>
  <c r="J1617" i="3"/>
  <c r="L1617" i="3" s="1"/>
  <c r="K1616" i="3"/>
  <c r="J1616" i="3"/>
  <c r="L1616" i="3" s="1"/>
  <c r="K1615" i="3"/>
  <c r="J1615" i="3"/>
  <c r="L1615" i="3" s="1"/>
  <c r="K1614" i="3"/>
  <c r="J1614" i="3"/>
  <c r="L1614" i="3" s="1"/>
  <c r="K1613" i="3"/>
  <c r="J1613" i="3"/>
  <c r="K1612" i="3"/>
  <c r="J1612" i="3"/>
  <c r="K1611" i="3"/>
  <c r="L1611" i="3" s="1"/>
  <c r="J1611" i="3"/>
  <c r="L1610" i="3"/>
  <c r="K1610" i="3"/>
  <c r="J1610" i="3"/>
  <c r="K1609" i="3"/>
  <c r="L1609" i="3" s="1"/>
  <c r="J1609" i="3"/>
  <c r="K1608" i="3"/>
  <c r="J1608" i="3"/>
  <c r="K1607" i="3"/>
  <c r="J1607" i="3"/>
  <c r="K1606" i="3"/>
  <c r="J1606" i="3"/>
  <c r="L1606" i="3" s="1"/>
  <c r="K1605" i="3"/>
  <c r="J1605" i="3"/>
  <c r="K1604" i="3"/>
  <c r="J1604" i="3"/>
  <c r="K1603" i="3"/>
  <c r="L1603" i="3" s="1"/>
  <c r="J1603" i="3"/>
  <c r="K1602" i="3"/>
  <c r="L1602" i="3" s="1"/>
  <c r="J1602" i="3"/>
  <c r="K1601" i="3"/>
  <c r="L1601" i="3" s="1"/>
  <c r="J1601" i="3"/>
  <c r="K1600" i="3"/>
  <c r="J1600" i="3"/>
  <c r="L1600" i="3" s="1"/>
  <c r="K1599" i="3"/>
  <c r="J1599" i="3"/>
  <c r="L1599" i="3" s="1"/>
  <c r="K1598" i="3"/>
  <c r="L1598" i="3" s="1"/>
  <c r="J1598" i="3"/>
  <c r="K1597" i="3"/>
  <c r="J1597" i="3"/>
  <c r="K1596" i="3"/>
  <c r="J1596" i="3"/>
  <c r="K1595" i="3"/>
  <c r="L1595" i="3" s="1"/>
  <c r="J1595" i="3"/>
  <c r="K1594" i="3"/>
  <c r="J1594" i="3"/>
  <c r="L1594" i="3" s="1"/>
  <c r="K1593" i="3"/>
  <c r="J1593" i="3"/>
  <c r="K1592" i="3"/>
  <c r="J1592" i="3"/>
  <c r="K1591" i="3"/>
  <c r="J1591" i="3"/>
  <c r="L1591" i="3" s="1"/>
  <c r="K1590" i="3"/>
  <c r="J1590" i="3"/>
  <c r="L1590" i="3" s="1"/>
  <c r="K1589" i="3"/>
  <c r="L1589" i="3" s="1"/>
  <c r="J1589" i="3"/>
  <c r="K1588" i="3"/>
  <c r="J1588" i="3"/>
  <c r="K1587" i="3"/>
  <c r="J1587" i="3"/>
  <c r="L1586" i="3"/>
  <c r="K1586" i="3"/>
  <c r="J1586" i="3"/>
  <c r="K1585" i="3"/>
  <c r="J1585" i="3"/>
  <c r="K1584" i="3"/>
  <c r="J1584" i="3"/>
  <c r="K1583" i="3"/>
  <c r="J1583" i="3"/>
  <c r="L1583" i="3" s="1"/>
  <c r="K1582" i="3"/>
  <c r="J1582" i="3"/>
  <c r="L1582" i="3" s="1"/>
  <c r="K1581" i="3"/>
  <c r="L1581" i="3" s="1"/>
  <c r="J1581" i="3"/>
  <c r="K1580" i="3"/>
  <c r="J1580" i="3"/>
  <c r="K1579" i="3"/>
  <c r="J1579" i="3"/>
  <c r="K1578" i="3"/>
  <c r="J1578" i="3"/>
  <c r="K1577" i="3"/>
  <c r="L1577" i="3" s="1"/>
  <c r="J1577" i="3"/>
  <c r="K1576" i="3"/>
  <c r="J1576" i="3"/>
  <c r="L1576" i="3" s="1"/>
  <c r="K1575" i="3"/>
  <c r="J1575" i="3"/>
  <c r="L1575" i="3" s="1"/>
  <c r="K1574" i="3"/>
  <c r="J1574" i="3"/>
  <c r="L1574" i="3" s="1"/>
  <c r="K1573" i="3"/>
  <c r="J1573" i="3"/>
  <c r="K1572" i="3"/>
  <c r="J1572" i="3"/>
  <c r="K1571" i="3"/>
  <c r="J1571" i="3"/>
  <c r="K1570" i="3"/>
  <c r="J1570" i="3"/>
  <c r="L1570" i="3" s="1"/>
  <c r="K1569" i="3"/>
  <c r="L1569" i="3" s="1"/>
  <c r="J1569" i="3"/>
  <c r="K1568" i="3"/>
  <c r="J1568" i="3"/>
  <c r="K1567" i="3"/>
  <c r="J1567" i="3"/>
  <c r="L1567" i="3" s="1"/>
  <c r="K1566" i="3"/>
  <c r="J1566" i="3"/>
  <c r="L1566" i="3" s="1"/>
  <c r="K1565" i="3"/>
  <c r="J1565" i="3"/>
  <c r="K1564" i="3"/>
  <c r="J1564" i="3"/>
  <c r="K1563" i="3"/>
  <c r="J1563" i="3"/>
  <c r="K1562" i="3"/>
  <c r="J1562" i="3"/>
  <c r="L1562" i="3" s="1"/>
  <c r="K1561" i="3"/>
  <c r="J1561" i="3"/>
  <c r="L1561" i="3" s="1"/>
  <c r="K1560" i="3"/>
  <c r="J1560" i="3"/>
  <c r="K1559" i="3"/>
  <c r="J1559" i="3"/>
  <c r="L1559" i="3" s="1"/>
  <c r="L1558" i="3"/>
  <c r="K1558" i="3"/>
  <c r="J1558" i="3"/>
  <c r="K1557" i="3"/>
  <c r="J1557" i="3"/>
  <c r="K1556" i="3"/>
  <c r="J1556" i="3"/>
  <c r="L1556" i="3" s="1"/>
  <c r="K1555" i="3"/>
  <c r="J1555" i="3"/>
  <c r="L1554" i="3"/>
  <c r="K1554" i="3"/>
  <c r="J1554" i="3"/>
  <c r="K1553" i="3"/>
  <c r="L1553" i="3" s="1"/>
  <c r="J1553" i="3"/>
  <c r="K1552" i="3"/>
  <c r="J1552" i="3"/>
  <c r="L1552" i="3" s="1"/>
  <c r="K1551" i="3"/>
  <c r="J1551" i="3"/>
  <c r="K1550" i="3"/>
  <c r="L1550" i="3" s="1"/>
  <c r="J1550" i="3"/>
  <c r="K1549" i="3"/>
  <c r="J1549" i="3"/>
  <c r="L1549" i="3" s="1"/>
  <c r="L1548" i="3"/>
  <c r="K1548" i="3"/>
  <c r="J1548" i="3"/>
  <c r="K1547" i="3"/>
  <c r="L1547" i="3" s="1"/>
  <c r="J1547" i="3"/>
  <c r="K1546" i="3"/>
  <c r="J1546" i="3"/>
  <c r="L1546" i="3" s="1"/>
  <c r="K1545" i="3"/>
  <c r="J1545" i="3"/>
  <c r="K1544" i="3"/>
  <c r="J1544" i="3"/>
  <c r="K1543" i="3"/>
  <c r="J1543" i="3"/>
  <c r="K1542" i="3"/>
  <c r="J1542" i="3"/>
  <c r="L1541" i="3"/>
  <c r="K1541" i="3"/>
  <c r="J1541" i="3"/>
  <c r="K1540" i="3"/>
  <c r="J1540" i="3"/>
  <c r="L1540" i="3" s="1"/>
  <c r="K1539" i="3"/>
  <c r="J1539" i="3"/>
  <c r="L1539" i="3" s="1"/>
  <c r="K1538" i="3"/>
  <c r="J1538" i="3"/>
  <c r="K1537" i="3"/>
  <c r="J1537" i="3"/>
  <c r="L1537" i="3" s="1"/>
  <c r="K1536" i="3"/>
  <c r="J1536" i="3"/>
  <c r="L1536" i="3" s="1"/>
  <c r="K1535" i="3"/>
  <c r="L1535" i="3" s="1"/>
  <c r="J1535" i="3"/>
  <c r="K1534" i="3"/>
  <c r="L1534" i="3" s="1"/>
  <c r="J1534" i="3"/>
  <c r="L1533" i="3"/>
  <c r="K1533" i="3"/>
  <c r="J1533" i="3"/>
  <c r="K1532" i="3"/>
  <c r="J1532" i="3"/>
  <c r="L1532" i="3" s="1"/>
  <c r="K1531" i="3"/>
  <c r="J1531" i="3"/>
  <c r="L1531" i="3" s="1"/>
  <c r="K1530" i="3"/>
  <c r="J1530" i="3"/>
  <c r="K1529" i="3"/>
  <c r="J1529" i="3"/>
  <c r="L1529" i="3" s="1"/>
  <c r="K1528" i="3"/>
  <c r="J1528" i="3"/>
  <c r="K1527" i="3"/>
  <c r="J1527" i="3"/>
  <c r="K1526" i="3"/>
  <c r="L1526" i="3" s="1"/>
  <c r="J1526" i="3"/>
  <c r="K1525" i="3"/>
  <c r="J1525" i="3"/>
  <c r="L1524" i="3"/>
  <c r="K1524" i="3"/>
  <c r="J1524" i="3"/>
  <c r="K1523" i="3"/>
  <c r="J1523" i="3"/>
  <c r="K1522" i="3"/>
  <c r="J1522" i="3"/>
  <c r="L1522" i="3" s="1"/>
  <c r="K1521" i="3"/>
  <c r="J1521" i="3"/>
  <c r="K1520" i="3"/>
  <c r="J1520" i="3"/>
  <c r="L1520" i="3" s="1"/>
  <c r="K1519" i="3"/>
  <c r="J1519" i="3"/>
  <c r="K1518" i="3"/>
  <c r="L1518" i="3" s="1"/>
  <c r="J1518" i="3"/>
  <c r="L1517" i="3"/>
  <c r="K1517" i="3"/>
  <c r="J1517" i="3"/>
  <c r="L1516" i="3"/>
  <c r="K1516" i="3"/>
  <c r="J1516" i="3"/>
  <c r="K1515" i="3"/>
  <c r="J1515" i="3"/>
  <c r="L1515" i="3" s="1"/>
  <c r="K1514" i="3"/>
  <c r="J1514" i="3"/>
  <c r="K1513" i="3"/>
  <c r="J1513" i="3"/>
  <c r="L1513" i="3" s="1"/>
  <c r="K1512" i="3"/>
  <c r="J1512" i="3"/>
  <c r="L1512" i="3" s="1"/>
  <c r="K1511" i="3"/>
  <c r="L1511" i="3" s="1"/>
  <c r="J1511" i="3"/>
  <c r="K1510" i="3"/>
  <c r="L1510" i="3" s="1"/>
  <c r="J1510" i="3"/>
  <c r="L1509" i="3"/>
  <c r="K1509" i="3"/>
  <c r="J1509" i="3"/>
  <c r="K1508" i="3"/>
  <c r="J1508" i="3"/>
  <c r="L1508" i="3" s="1"/>
  <c r="K1507" i="3"/>
  <c r="J1507" i="3"/>
  <c r="L1507" i="3" s="1"/>
  <c r="K1506" i="3"/>
  <c r="J1506" i="3"/>
  <c r="K1505" i="3"/>
  <c r="J1505" i="3"/>
  <c r="L1505" i="3" s="1"/>
  <c r="K1504" i="3"/>
  <c r="J1504" i="3"/>
  <c r="K1503" i="3"/>
  <c r="J1503" i="3"/>
  <c r="K1502" i="3"/>
  <c r="J1502" i="3"/>
  <c r="K1501" i="3"/>
  <c r="L1501" i="3" s="1"/>
  <c r="J1501" i="3"/>
  <c r="K1500" i="3"/>
  <c r="J1500" i="3"/>
  <c r="L1500" i="3" s="1"/>
  <c r="L1499" i="3"/>
  <c r="K1499" i="3"/>
  <c r="J1499" i="3"/>
  <c r="K1498" i="3"/>
  <c r="J1498" i="3"/>
  <c r="L1498" i="3" s="1"/>
  <c r="K1497" i="3"/>
  <c r="J1497" i="3"/>
  <c r="K1496" i="3"/>
  <c r="J1496" i="3"/>
  <c r="L1496" i="3" s="1"/>
  <c r="K1495" i="3"/>
  <c r="J1495" i="3"/>
  <c r="K1494" i="3"/>
  <c r="L1494" i="3" s="1"/>
  <c r="J1494" i="3"/>
  <c r="K1493" i="3"/>
  <c r="J1493" i="3"/>
  <c r="L1492" i="3"/>
  <c r="K1492" i="3"/>
  <c r="J1492" i="3"/>
  <c r="L1491" i="3"/>
  <c r="K1491" i="3"/>
  <c r="J1491" i="3"/>
  <c r="K1490" i="3"/>
  <c r="J1490" i="3"/>
  <c r="L1490" i="3" s="1"/>
  <c r="K1489" i="3"/>
  <c r="J1489" i="3"/>
  <c r="L1489" i="3" s="1"/>
  <c r="K1488" i="3"/>
  <c r="J1488" i="3"/>
  <c r="L1488" i="3" s="1"/>
  <c r="K1487" i="3"/>
  <c r="L1487" i="3" s="1"/>
  <c r="J1487" i="3"/>
  <c r="K1486" i="3"/>
  <c r="J1486" i="3"/>
  <c r="K1485" i="3"/>
  <c r="J1485" i="3"/>
  <c r="L1485" i="3" s="1"/>
  <c r="L1484" i="3"/>
  <c r="K1484" i="3"/>
  <c r="J1484" i="3"/>
  <c r="K1483" i="3"/>
  <c r="J1483" i="3"/>
  <c r="L1483" i="3" s="1"/>
  <c r="K1482" i="3"/>
  <c r="J1482" i="3"/>
  <c r="K1481" i="3"/>
  <c r="J1481" i="3"/>
  <c r="L1481" i="3" s="1"/>
  <c r="K1480" i="3"/>
  <c r="J1480" i="3"/>
  <c r="L1480" i="3" s="1"/>
  <c r="K1479" i="3"/>
  <c r="J1479" i="3"/>
  <c r="K1478" i="3"/>
  <c r="J1478" i="3"/>
  <c r="K1477" i="3"/>
  <c r="J1477" i="3"/>
  <c r="L1477" i="3" s="1"/>
  <c r="K1476" i="3"/>
  <c r="J1476" i="3"/>
  <c r="L1476" i="3" s="1"/>
  <c r="K1475" i="3"/>
  <c r="J1475" i="3"/>
  <c r="L1475" i="3" s="1"/>
  <c r="K1474" i="3"/>
  <c r="J1474" i="3"/>
  <c r="K1473" i="3"/>
  <c r="J1473" i="3"/>
  <c r="K1472" i="3"/>
  <c r="J1472" i="3"/>
  <c r="K1471" i="3"/>
  <c r="J1471" i="3"/>
  <c r="K1470" i="3"/>
  <c r="L1470" i="3" s="1"/>
  <c r="J1470" i="3"/>
  <c r="K1469" i="3"/>
  <c r="L1469" i="3" s="1"/>
  <c r="J1469" i="3"/>
  <c r="L1468" i="3"/>
  <c r="K1468" i="3"/>
  <c r="J1468" i="3"/>
  <c r="K1467" i="3"/>
  <c r="J1467" i="3"/>
  <c r="L1467" i="3" s="1"/>
  <c r="K1466" i="3"/>
  <c r="J1466" i="3"/>
  <c r="K1465" i="3"/>
  <c r="J1465" i="3"/>
  <c r="K1464" i="3"/>
  <c r="J1464" i="3"/>
  <c r="K1463" i="3"/>
  <c r="L1463" i="3" s="1"/>
  <c r="J1463" i="3"/>
  <c r="K1462" i="3"/>
  <c r="J1462" i="3"/>
  <c r="K1461" i="3"/>
  <c r="J1461" i="3"/>
  <c r="L1461" i="3" s="1"/>
  <c r="K1460" i="3"/>
  <c r="J1460" i="3"/>
  <c r="K1459" i="3"/>
  <c r="L1459" i="3" s="1"/>
  <c r="J1459" i="3"/>
  <c r="K1458" i="3"/>
  <c r="J1458" i="3"/>
  <c r="L1458" i="3" s="1"/>
  <c r="K1457" i="3"/>
  <c r="J1457" i="3"/>
  <c r="L1457" i="3" s="1"/>
  <c r="K1456" i="3"/>
  <c r="J1456" i="3"/>
  <c r="K1455" i="3"/>
  <c r="J1455" i="3"/>
  <c r="K1454" i="3"/>
  <c r="L1454" i="3" s="1"/>
  <c r="J1454" i="3"/>
  <c r="L1453" i="3"/>
  <c r="K1453" i="3"/>
  <c r="J1453" i="3"/>
  <c r="K1452" i="3"/>
  <c r="J1452" i="3"/>
  <c r="L1452" i="3" s="1"/>
  <c r="K1451" i="3"/>
  <c r="J1451" i="3"/>
  <c r="L1451" i="3" s="1"/>
  <c r="K1450" i="3"/>
  <c r="J1450" i="3"/>
  <c r="L1450" i="3" s="1"/>
  <c r="K1449" i="3"/>
  <c r="J1449" i="3"/>
  <c r="L1449" i="3" s="1"/>
  <c r="K1448" i="3"/>
  <c r="J1448" i="3"/>
  <c r="K1447" i="3"/>
  <c r="J1447" i="3"/>
  <c r="K1446" i="3"/>
  <c r="J1446" i="3"/>
  <c r="L1445" i="3"/>
  <c r="K1445" i="3"/>
  <c r="J1445" i="3"/>
  <c r="K1444" i="3"/>
  <c r="L1444" i="3" s="1"/>
  <c r="J1444" i="3"/>
  <c r="K1443" i="3"/>
  <c r="L1443" i="3" s="1"/>
  <c r="J1443" i="3"/>
  <c r="K1442" i="3"/>
  <c r="J1442" i="3"/>
  <c r="K1441" i="3"/>
  <c r="J1441" i="3"/>
  <c r="L1441" i="3" s="1"/>
  <c r="K1440" i="3"/>
  <c r="J1440" i="3"/>
  <c r="L1440" i="3" s="1"/>
  <c r="K1439" i="3"/>
  <c r="L1439" i="3" s="1"/>
  <c r="J1439" i="3"/>
  <c r="K1438" i="3"/>
  <c r="J1438" i="3"/>
  <c r="K1437" i="3"/>
  <c r="J1437" i="3"/>
  <c r="L1437" i="3" s="1"/>
  <c r="K1436" i="3"/>
  <c r="J1436" i="3"/>
  <c r="L1436" i="3" s="1"/>
  <c r="K1435" i="3"/>
  <c r="J1435" i="3"/>
  <c r="L1435" i="3" s="1"/>
  <c r="K1434" i="3"/>
  <c r="J1434" i="3"/>
  <c r="K1433" i="3"/>
  <c r="J1433" i="3"/>
  <c r="L1433" i="3" s="1"/>
  <c r="K1432" i="3"/>
  <c r="J1432" i="3"/>
  <c r="L1432" i="3" s="1"/>
  <c r="K1431" i="3"/>
  <c r="L1431" i="3" s="1"/>
  <c r="J1431" i="3"/>
  <c r="K1430" i="3"/>
  <c r="J1430" i="3"/>
  <c r="K1429" i="3"/>
  <c r="J1429" i="3"/>
  <c r="L1429" i="3" s="1"/>
  <c r="L1428" i="3"/>
  <c r="K1428" i="3"/>
  <c r="J1428" i="3"/>
  <c r="K1427" i="3"/>
  <c r="J1427" i="3"/>
  <c r="L1427" i="3" s="1"/>
  <c r="K1426" i="3"/>
  <c r="J1426" i="3"/>
  <c r="L1426" i="3" s="1"/>
  <c r="K1425" i="3"/>
  <c r="J1425" i="3"/>
  <c r="K1424" i="3"/>
  <c r="J1424" i="3"/>
  <c r="K1423" i="3"/>
  <c r="J1423" i="3"/>
  <c r="K1422" i="3"/>
  <c r="L1422" i="3" s="1"/>
  <c r="J1422" i="3"/>
  <c r="K1421" i="3"/>
  <c r="J1421" i="3"/>
  <c r="L1421" i="3" s="1"/>
  <c r="L1420" i="3"/>
  <c r="K1420" i="3"/>
  <c r="J1420" i="3"/>
  <c r="K1419" i="3"/>
  <c r="J1419" i="3"/>
  <c r="L1419" i="3" s="1"/>
  <c r="K1418" i="3"/>
  <c r="J1418" i="3"/>
  <c r="K1417" i="3"/>
  <c r="J1417" i="3"/>
  <c r="L1417" i="3" s="1"/>
  <c r="K1416" i="3"/>
  <c r="J1416" i="3"/>
  <c r="L1416" i="3" s="1"/>
  <c r="K1415" i="3"/>
  <c r="L1415" i="3" s="1"/>
  <c r="J1415" i="3"/>
  <c r="K1414" i="3"/>
  <c r="J1414" i="3"/>
  <c r="L1413" i="3"/>
  <c r="K1413" i="3"/>
  <c r="J1413" i="3"/>
  <c r="K1412" i="3"/>
  <c r="J1412" i="3"/>
  <c r="L1412" i="3" s="1"/>
  <c r="K1411" i="3"/>
  <c r="J1411" i="3"/>
  <c r="L1411" i="3" s="1"/>
  <c r="K1410" i="3"/>
  <c r="J1410" i="3"/>
  <c r="L1410" i="3" s="1"/>
  <c r="K1409" i="3"/>
  <c r="J1409" i="3"/>
  <c r="K1408" i="3"/>
  <c r="J1408" i="3"/>
  <c r="K1407" i="3"/>
  <c r="J1407" i="3"/>
  <c r="K1406" i="3"/>
  <c r="L1406" i="3" s="1"/>
  <c r="J1406" i="3"/>
  <c r="K1405" i="3"/>
  <c r="J1405" i="3"/>
  <c r="L1405" i="3" s="1"/>
  <c r="K1404" i="3"/>
  <c r="J1404" i="3"/>
  <c r="L1403" i="3"/>
  <c r="K1403" i="3"/>
  <c r="J1403" i="3"/>
  <c r="K1402" i="3"/>
  <c r="J1402" i="3"/>
  <c r="K1401" i="3"/>
  <c r="J1401" i="3"/>
  <c r="K1400" i="3"/>
  <c r="J1400" i="3"/>
  <c r="L1400" i="3" s="1"/>
  <c r="K1399" i="3"/>
  <c r="J1399" i="3"/>
  <c r="K1398" i="3"/>
  <c r="J1398" i="3"/>
  <c r="L1397" i="3"/>
  <c r="K1397" i="3"/>
  <c r="J1397" i="3"/>
  <c r="L1396" i="3"/>
  <c r="K1396" i="3"/>
  <c r="J1396" i="3"/>
  <c r="L1395" i="3"/>
  <c r="K1395" i="3"/>
  <c r="J1395" i="3"/>
  <c r="K1394" i="3"/>
  <c r="J1394" i="3"/>
  <c r="L1394" i="3" s="1"/>
  <c r="K1393" i="3"/>
  <c r="J1393" i="3"/>
  <c r="L1393" i="3" s="1"/>
  <c r="K1392" i="3"/>
  <c r="J1392" i="3"/>
  <c r="K1391" i="3"/>
  <c r="L1391" i="3" s="1"/>
  <c r="J1391" i="3"/>
  <c r="K1390" i="3"/>
  <c r="L1390" i="3" s="1"/>
  <c r="J1390" i="3"/>
  <c r="K1389" i="3"/>
  <c r="L1389" i="3" s="1"/>
  <c r="J1389" i="3"/>
  <c r="K1388" i="3"/>
  <c r="L1388" i="3" s="1"/>
  <c r="J1388" i="3"/>
  <c r="L1387" i="3"/>
  <c r="K1387" i="3"/>
  <c r="J1387" i="3"/>
  <c r="K1386" i="3"/>
  <c r="J1386" i="3"/>
  <c r="K1385" i="3"/>
  <c r="J1385" i="3"/>
  <c r="K1384" i="3"/>
  <c r="J1384" i="3"/>
  <c r="K1383" i="3"/>
  <c r="J1383" i="3"/>
  <c r="K1382" i="3"/>
  <c r="J1382" i="3"/>
  <c r="L1381" i="3"/>
  <c r="K1381" i="3"/>
  <c r="J1381" i="3"/>
  <c r="K1380" i="3"/>
  <c r="J1380" i="3"/>
  <c r="L1380" i="3" s="1"/>
  <c r="K1379" i="3"/>
  <c r="J1379" i="3"/>
  <c r="K1378" i="3"/>
  <c r="J1378" i="3"/>
  <c r="K1377" i="3"/>
  <c r="J1377" i="3"/>
  <c r="L1377" i="3" s="1"/>
  <c r="K1376" i="3"/>
  <c r="J1376" i="3"/>
  <c r="L1376" i="3" s="1"/>
  <c r="K1375" i="3"/>
  <c r="L1375" i="3" s="1"/>
  <c r="J1375" i="3"/>
  <c r="K1374" i="3"/>
  <c r="L1374" i="3" s="1"/>
  <c r="J1374" i="3"/>
  <c r="L1373" i="3"/>
  <c r="K1373" i="3"/>
  <c r="J1373" i="3"/>
  <c r="L1372" i="3"/>
  <c r="K1372" i="3"/>
  <c r="J1372" i="3"/>
  <c r="K1371" i="3"/>
  <c r="J1371" i="3"/>
  <c r="L1371" i="3" s="1"/>
  <c r="K1370" i="3"/>
  <c r="J1370" i="3"/>
  <c r="K1369" i="3"/>
  <c r="J1369" i="3"/>
  <c r="K1368" i="3"/>
  <c r="J1368" i="3"/>
  <c r="K1367" i="3"/>
  <c r="L1367" i="3" s="1"/>
  <c r="J1367" i="3"/>
  <c r="K1366" i="3"/>
  <c r="J1366" i="3"/>
  <c r="K1365" i="3"/>
  <c r="J1365" i="3"/>
  <c r="L1365" i="3" s="1"/>
  <c r="L1364" i="3"/>
  <c r="K1364" i="3"/>
  <c r="J1364" i="3"/>
  <c r="L1363" i="3"/>
  <c r="K1363" i="3"/>
  <c r="J1363" i="3"/>
  <c r="K1362" i="3"/>
  <c r="J1362" i="3"/>
  <c r="L1362" i="3" s="1"/>
  <c r="K1361" i="3"/>
  <c r="J1361" i="3"/>
  <c r="K1360" i="3"/>
  <c r="J1360" i="3"/>
  <c r="L1360" i="3" s="1"/>
  <c r="K1359" i="3"/>
  <c r="J1359" i="3"/>
  <c r="K1358" i="3"/>
  <c r="L1358" i="3" s="1"/>
  <c r="J1358" i="3"/>
  <c r="K1357" i="3"/>
  <c r="J1357" i="3"/>
  <c r="L1357" i="3" s="1"/>
  <c r="K1356" i="3"/>
  <c r="J1356" i="3"/>
  <c r="L1356" i="3" s="1"/>
  <c r="K1355" i="3"/>
  <c r="J1355" i="3"/>
  <c r="K1354" i="3"/>
  <c r="J1354" i="3"/>
  <c r="K1353" i="3"/>
  <c r="J1353" i="3"/>
  <c r="L1353" i="3" s="1"/>
  <c r="K1352" i="3"/>
  <c r="J1352" i="3"/>
  <c r="K1351" i="3"/>
  <c r="L1351" i="3" s="1"/>
  <c r="J1351" i="3"/>
  <c r="K1350" i="3"/>
  <c r="J1350" i="3"/>
  <c r="L1349" i="3"/>
  <c r="K1349" i="3"/>
  <c r="J1349" i="3"/>
  <c r="K1348" i="3"/>
  <c r="J1348" i="3"/>
  <c r="L1348" i="3" s="1"/>
  <c r="K1347" i="3"/>
  <c r="L1347" i="3" s="1"/>
  <c r="J1347" i="3"/>
  <c r="K1346" i="3"/>
  <c r="J1346" i="3"/>
  <c r="L1346" i="3" s="1"/>
  <c r="K1345" i="3"/>
  <c r="J1345" i="3"/>
  <c r="K1344" i="3"/>
  <c r="J1344" i="3"/>
  <c r="K1343" i="3"/>
  <c r="J1343" i="3"/>
  <c r="K1342" i="3"/>
  <c r="J1342" i="3"/>
  <c r="K1341" i="3"/>
  <c r="L1341" i="3" s="1"/>
  <c r="J1341" i="3"/>
  <c r="K1340" i="3"/>
  <c r="J1340" i="3"/>
  <c r="L1340" i="3" s="1"/>
  <c r="K1339" i="3"/>
  <c r="L1339" i="3" s="1"/>
  <c r="J1339" i="3"/>
  <c r="K1338" i="3"/>
  <c r="J1338" i="3"/>
  <c r="L1338" i="3" s="1"/>
  <c r="K1337" i="3"/>
  <c r="J1337" i="3"/>
  <c r="L1337" i="3" s="1"/>
  <c r="K1336" i="3"/>
  <c r="J1336" i="3"/>
  <c r="K1335" i="3"/>
  <c r="J1335" i="3"/>
  <c r="K1334" i="3"/>
  <c r="L1334" i="3" s="1"/>
  <c r="J1334" i="3"/>
  <c r="K1333" i="3"/>
  <c r="L1333" i="3" s="1"/>
  <c r="J1333" i="3"/>
  <c r="L1332" i="3"/>
  <c r="K1332" i="3"/>
  <c r="J1332" i="3"/>
  <c r="K1331" i="3"/>
  <c r="J1331" i="3"/>
  <c r="K1330" i="3"/>
  <c r="J1330" i="3"/>
  <c r="K1329" i="3"/>
  <c r="J1329" i="3"/>
  <c r="L1329" i="3" s="1"/>
  <c r="K1328" i="3"/>
  <c r="J1328" i="3"/>
  <c r="L1328" i="3" s="1"/>
  <c r="K1327" i="3"/>
  <c r="L1327" i="3" s="1"/>
  <c r="J1327" i="3"/>
  <c r="K1326" i="3"/>
  <c r="J1326" i="3"/>
  <c r="K1325" i="3"/>
  <c r="J1325" i="3"/>
  <c r="L1325" i="3" s="1"/>
  <c r="K1324" i="3"/>
  <c r="L1324" i="3" s="1"/>
  <c r="J1324" i="3"/>
  <c r="K1323" i="3"/>
  <c r="J1323" i="3"/>
  <c r="L1323" i="3" s="1"/>
  <c r="K1322" i="3"/>
  <c r="J1322" i="3"/>
  <c r="L1322" i="3" s="1"/>
  <c r="K1321" i="3"/>
  <c r="J1321" i="3"/>
  <c r="L1321" i="3" s="1"/>
  <c r="K1320" i="3"/>
  <c r="J1320" i="3"/>
  <c r="K1319" i="3"/>
  <c r="L1319" i="3" s="1"/>
  <c r="J1319" i="3"/>
  <c r="K1318" i="3"/>
  <c r="J1318" i="3"/>
  <c r="K1317" i="3"/>
  <c r="J1317" i="3"/>
  <c r="L1317" i="3" s="1"/>
  <c r="L1316" i="3"/>
  <c r="K1316" i="3"/>
  <c r="J1316" i="3"/>
  <c r="K1315" i="3"/>
  <c r="J1315" i="3"/>
  <c r="L1315" i="3" s="1"/>
  <c r="K1314" i="3"/>
  <c r="J1314" i="3"/>
  <c r="L1314" i="3" s="1"/>
  <c r="K1313" i="3"/>
  <c r="J1313" i="3"/>
  <c r="L1313" i="3" s="1"/>
  <c r="K1312" i="3"/>
  <c r="J1312" i="3"/>
  <c r="K1311" i="3"/>
  <c r="L1311" i="3" s="1"/>
  <c r="J1311" i="3"/>
  <c r="K1310" i="3"/>
  <c r="L1310" i="3" s="1"/>
  <c r="J1310" i="3"/>
  <c r="K1309" i="3"/>
  <c r="J1309" i="3"/>
  <c r="L1309" i="3" s="1"/>
  <c r="L1308" i="3"/>
  <c r="K1308" i="3"/>
  <c r="J1308" i="3"/>
  <c r="L1307" i="3"/>
  <c r="K1307" i="3"/>
  <c r="J1307" i="3"/>
  <c r="K1306" i="3"/>
  <c r="J1306" i="3"/>
  <c r="L1306" i="3" s="1"/>
  <c r="K1305" i="3"/>
  <c r="J1305" i="3"/>
  <c r="L1305" i="3" s="1"/>
  <c r="K1304" i="3"/>
  <c r="J1304" i="3"/>
  <c r="L1304" i="3" s="1"/>
  <c r="K1303" i="3"/>
  <c r="L1303" i="3" s="1"/>
  <c r="J1303" i="3"/>
  <c r="K1302" i="3"/>
  <c r="L1302" i="3" s="1"/>
  <c r="J1302" i="3"/>
  <c r="K1301" i="3"/>
  <c r="J1301" i="3"/>
  <c r="L1301" i="3" s="1"/>
  <c r="K1300" i="3"/>
  <c r="J1300" i="3"/>
  <c r="L1300" i="3" s="1"/>
  <c r="L1299" i="3"/>
  <c r="K1299" i="3"/>
  <c r="J1299" i="3"/>
  <c r="K1298" i="3"/>
  <c r="J1298" i="3"/>
  <c r="K1297" i="3"/>
  <c r="J1297" i="3"/>
  <c r="L1297" i="3" s="1"/>
  <c r="K1296" i="3"/>
  <c r="J1296" i="3"/>
  <c r="K1295" i="3"/>
  <c r="J1295" i="3"/>
  <c r="K1294" i="3"/>
  <c r="J1294" i="3"/>
  <c r="L1293" i="3"/>
  <c r="K1293" i="3"/>
  <c r="J1293" i="3"/>
  <c r="K1292" i="3"/>
  <c r="J1292" i="3"/>
  <c r="L1292" i="3" s="1"/>
  <c r="K1291" i="3"/>
  <c r="J1291" i="3"/>
  <c r="L1291" i="3" s="1"/>
  <c r="K1290" i="3"/>
  <c r="J1290" i="3"/>
  <c r="L1290" i="3" s="1"/>
  <c r="K1289" i="3"/>
  <c r="J1289" i="3"/>
  <c r="L1289" i="3" s="1"/>
  <c r="K1288" i="3"/>
  <c r="J1288" i="3"/>
  <c r="L1288" i="3" s="1"/>
  <c r="K1287" i="3"/>
  <c r="L1287" i="3" s="1"/>
  <c r="J1287" i="3"/>
  <c r="K1286" i="3"/>
  <c r="J1286" i="3"/>
  <c r="K1285" i="3"/>
  <c r="L1285" i="3" s="1"/>
  <c r="J1285" i="3"/>
  <c r="K1284" i="3"/>
  <c r="J1284" i="3"/>
  <c r="L1284" i="3" s="1"/>
  <c r="L1283" i="3"/>
  <c r="K1283" i="3"/>
  <c r="J1283" i="3"/>
  <c r="K1282" i="3"/>
  <c r="J1282" i="3"/>
  <c r="K1281" i="3"/>
  <c r="J1281" i="3"/>
  <c r="K1280" i="3"/>
  <c r="J1280" i="3"/>
  <c r="L1280" i="3" s="1"/>
  <c r="K1279" i="3"/>
  <c r="L1279" i="3" s="1"/>
  <c r="J1279" i="3"/>
  <c r="K1278" i="3"/>
  <c r="L1278" i="3" s="1"/>
  <c r="J1278" i="3"/>
  <c r="K1277" i="3"/>
  <c r="J1277" i="3"/>
  <c r="L1277" i="3" s="1"/>
  <c r="K1276" i="3"/>
  <c r="J1276" i="3"/>
  <c r="L1276" i="3" s="1"/>
  <c r="K1275" i="3"/>
  <c r="J1275" i="3"/>
  <c r="L1275" i="3" s="1"/>
  <c r="K1274" i="3"/>
  <c r="J1274" i="3"/>
  <c r="L1274" i="3" s="1"/>
  <c r="K1273" i="3"/>
  <c r="J1273" i="3"/>
  <c r="L1273" i="3" s="1"/>
  <c r="K1272" i="3"/>
  <c r="J1272" i="3"/>
  <c r="L1272" i="3" s="1"/>
  <c r="K1271" i="3"/>
  <c r="L1271" i="3" s="1"/>
  <c r="J1271" i="3"/>
  <c r="K1270" i="3"/>
  <c r="J1270" i="3"/>
  <c r="L1269" i="3"/>
  <c r="K1269" i="3"/>
  <c r="J1269" i="3"/>
  <c r="L1268" i="3"/>
  <c r="K1268" i="3"/>
  <c r="J1268" i="3"/>
  <c r="K1267" i="3"/>
  <c r="J1267" i="3"/>
  <c r="L1267" i="3" s="1"/>
  <c r="K1266" i="3"/>
  <c r="J1266" i="3"/>
  <c r="L1266" i="3" s="1"/>
  <c r="K1265" i="3"/>
  <c r="J1265" i="3"/>
  <c r="K1264" i="3"/>
  <c r="J1264" i="3"/>
  <c r="K1263" i="3"/>
  <c r="J1263" i="3"/>
  <c r="K1262" i="3"/>
  <c r="L1262" i="3" s="1"/>
  <c r="J1262" i="3"/>
  <c r="K1261" i="3"/>
  <c r="J1261" i="3"/>
  <c r="L1261" i="3" s="1"/>
  <c r="L1260" i="3"/>
  <c r="K1260" i="3"/>
  <c r="J1260" i="3"/>
  <c r="K1259" i="3"/>
  <c r="J1259" i="3"/>
  <c r="L1259" i="3" s="1"/>
  <c r="K1258" i="3"/>
  <c r="J1258" i="3"/>
  <c r="L1258" i="3" s="1"/>
  <c r="K1257" i="3"/>
  <c r="J1257" i="3"/>
  <c r="L1257" i="3" s="1"/>
  <c r="K1256" i="3"/>
  <c r="J1256" i="3"/>
  <c r="L1256" i="3" s="1"/>
  <c r="K1255" i="3"/>
  <c r="L1255" i="3" s="1"/>
  <c r="J1255" i="3"/>
  <c r="K1254" i="3"/>
  <c r="L1254" i="3" s="1"/>
  <c r="J1254" i="3"/>
  <c r="L1253" i="3"/>
  <c r="K1253" i="3"/>
  <c r="J1253" i="3"/>
  <c r="K1252" i="3"/>
  <c r="J1252" i="3"/>
  <c r="L1252" i="3" s="1"/>
  <c r="K1251" i="3"/>
  <c r="J1251" i="3"/>
  <c r="L1251" i="3" s="1"/>
  <c r="K1250" i="3"/>
  <c r="J1250" i="3"/>
  <c r="L1250" i="3" s="1"/>
  <c r="K1249" i="3"/>
  <c r="J1249" i="3"/>
  <c r="L1249" i="3" s="1"/>
  <c r="K1248" i="3"/>
  <c r="J1248" i="3"/>
  <c r="K1247" i="3"/>
  <c r="L1247" i="3" s="1"/>
  <c r="J1247" i="3"/>
  <c r="K1246" i="3"/>
  <c r="L1246" i="3" s="1"/>
  <c r="J1246" i="3"/>
  <c r="K1245" i="3"/>
  <c r="J1245" i="3"/>
  <c r="L1245" i="3" s="1"/>
  <c r="K1244" i="3"/>
  <c r="J1244" i="3"/>
  <c r="L1243" i="3"/>
  <c r="K1243" i="3"/>
  <c r="J1243" i="3"/>
  <c r="K1242" i="3"/>
  <c r="J1242" i="3"/>
  <c r="K1241" i="3"/>
  <c r="J1241" i="3"/>
  <c r="K1240" i="3"/>
  <c r="J1240" i="3"/>
  <c r="K1239" i="3"/>
  <c r="J1239" i="3"/>
  <c r="K1238" i="3"/>
  <c r="J1238" i="3"/>
  <c r="L1237" i="3"/>
  <c r="K1237" i="3"/>
  <c r="J1237" i="3"/>
  <c r="L1236" i="3"/>
  <c r="K1236" i="3"/>
  <c r="J1236" i="3"/>
  <c r="K1235" i="3"/>
  <c r="L1235" i="3" s="1"/>
  <c r="J1235" i="3"/>
  <c r="K1234" i="3"/>
  <c r="J1234" i="3"/>
  <c r="L1234" i="3" s="1"/>
  <c r="K1233" i="3"/>
  <c r="J1233" i="3"/>
  <c r="L1233" i="3" s="1"/>
  <c r="K1232" i="3"/>
  <c r="J1232" i="3"/>
  <c r="L1232" i="3" s="1"/>
  <c r="K1231" i="3"/>
  <c r="L1231" i="3" s="1"/>
  <c r="J1231" i="3"/>
  <c r="K1230" i="3"/>
  <c r="J1230" i="3"/>
  <c r="K1229" i="3"/>
  <c r="J1229" i="3"/>
  <c r="L1229" i="3" s="1"/>
  <c r="L1228" i="3"/>
  <c r="K1228" i="3"/>
  <c r="J1228" i="3"/>
  <c r="K1227" i="3"/>
  <c r="J1227" i="3"/>
  <c r="L1227" i="3" s="1"/>
  <c r="K1226" i="3"/>
  <c r="J1226" i="3"/>
  <c r="K1225" i="3"/>
  <c r="J1225" i="3"/>
  <c r="K1224" i="3"/>
  <c r="J1224" i="3"/>
  <c r="K1223" i="3"/>
  <c r="J1223" i="3"/>
  <c r="K1222" i="3"/>
  <c r="J1222" i="3"/>
  <c r="K1221" i="3"/>
  <c r="J1221" i="3"/>
  <c r="L1221" i="3" s="1"/>
  <c r="K1220" i="3"/>
  <c r="J1220" i="3"/>
  <c r="K1219" i="3"/>
  <c r="J1219" i="3"/>
  <c r="K1218" i="3"/>
  <c r="J1218" i="3"/>
  <c r="K1217" i="3"/>
  <c r="J1217" i="3"/>
  <c r="L1217" i="3" s="1"/>
  <c r="K1216" i="3"/>
  <c r="J1216" i="3"/>
  <c r="L1216" i="3" s="1"/>
  <c r="K1215" i="3"/>
  <c r="J1215" i="3"/>
  <c r="K1214" i="3"/>
  <c r="L1214" i="3" s="1"/>
  <c r="J1214" i="3"/>
  <c r="L1213" i="3"/>
  <c r="K1213" i="3"/>
  <c r="J1213" i="3"/>
  <c r="K1212" i="3"/>
  <c r="J1212" i="3"/>
  <c r="L1212" i="3" s="1"/>
  <c r="K1211" i="3"/>
  <c r="J1211" i="3"/>
  <c r="L1211" i="3" s="1"/>
  <c r="K1210" i="3"/>
  <c r="J1210" i="3"/>
  <c r="K1209" i="3"/>
  <c r="J1209" i="3"/>
  <c r="K1208" i="3"/>
  <c r="J1208" i="3"/>
  <c r="K1207" i="3"/>
  <c r="L1207" i="3" s="1"/>
  <c r="J1207" i="3"/>
  <c r="K1206" i="3"/>
  <c r="J1206" i="3"/>
  <c r="K1205" i="3"/>
  <c r="J1205" i="3"/>
  <c r="K1204" i="3"/>
  <c r="J1204" i="3"/>
  <c r="L1204" i="3" s="1"/>
  <c r="K1203" i="3"/>
  <c r="J1203" i="3"/>
  <c r="L1203" i="3" s="1"/>
  <c r="K1202" i="3"/>
  <c r="J1202" i="3"/>
  <c r="L1202" i="3" s="1"/>
  <c r="K1201" i="3"/>
  <c r="J1201" i="3"/>
  <c r="K1200" i="3"/>
  <c r="J1200" i="3"/>
  <c r="L1200" i="3" s="1"/>
  <c r="K1199" i="3"/>
  <c r="J1199" i="3"/>
  <c r="K1198" i="3"/>
  <c r="L1198" i="3" s="1"/>
  <c r="J1198" i="3"/>
  <c r="K1197" i="3"/>
  <c r="J1197" i="3"/>
  <c r="L1197" i="3" s="1"/>
  <c r="L1196" i="3"/>
  <c r="K1196" i="3"/>
  <c r="J1196" i="3"/>
  <c r="K1195" i="3"/>
  <c r="J1195" i="3"/>
  <c r="L1195" i="3" s="1"/>
  <c r="K1194" i="3"/>
  <c r="J1194" i="3"/>
  <c r="K1193" i="3"/>
  <c r="J1193" i="3"/>
  <c r="K1192" i="3"/>
  <c r="J1192" i="3"/>
  <c r="K1191" i="3"/>
  <c r="L1191" i="3" s="1"/>
  <c r="J1191" i="3"/>
  <c r="K1190" i="3"/>
  <c r="J1190" i="3"/>
  <c r="K1189" i="3"/>
  <c r="L1189" i="3" s="1"/>
  <c r="J1189" i="3"/>
  <c r="K1188" i="3"/>
  <c r="J1188" i="3"/>
  <c r="L1188" i="3" s="1"/>
  <c r="K1187" i="3"/>
  <c r="J1187" i="3"/>
  <c r="L1187" i="3" s="1"/>
  <c r="K1186" i="3"/>
  <c r="J1186" i="3"/>
  <c r="K1185" i="3"/>
  <c r="J1185" i="3"/>
  <c r="L1185" i="3" s="1"/>
  <c r="K1184" i="3"/>
  <c r="J1184" i="3"/>
  <c r="K1183" i="3"/>
  <c r="J1183" i="3"/>
  <c r="K1182" i="3"/>
  <c r="J1182" i="3"/>
  <c r="K1181" i="3"/>
  <c r="J1181" i="3"/>
  <c r="L1181" i="3" s="1"/>
  <c r="K1180" i="3"/>
  <c r="J1180" i="3"/>
  <c r="L1180" i="3" s="1"/>
  <c r="K1179" i="3"/>
  <c r="J1179" i="3"/>
  <c r="L1179" i="3" s="1"/>
  <c r="K1178" i="3"/>
  <c r="J1178" i="3"/>
  <c r="K1177" i="3"/>
  <c r="J1177" i="3"/>
  <c r="L1177" i="3" s="1"/>
  <c r="K1176" i="3"/>
  <c r="J1176" i="3"/>
  <c r="K1175" i="3"/>
  <c r="L1175" i="3" s="1"/>
  <c r="J1175" i="3"/>
  <c r="K1174" i="3"/>
  <c r="J1174" i="3"/>
  <c r="K1173" i="3"/>
  <c r="J1173" i="3"/>
  <c r="L1173" i="3" s="1"/>
  <c r="K1172" i="3"/>
  <c r="L1172" i="3" s="1"/>
  <c r="J1172" i="3"/>
  <c r="K1171" i="3"/>
  <c r="J1171" i="3"/>
  <c r="K1170" i="3"/>
  <c r="J1170" i="3"/>
  <c r="L1170" i="3" s="1"/>
  <c r="K1169" i="3"/>
  <c r="J1169" i="3"/>
  <c r="L1169" i="3" s="1"/>
  <c r="K1168" i="3"/>
  <c r="J1168" i="3"/>
  <c r="K1167" i="3"/>
  <c r="J1167" i="3"/>
  <c r="K1166" i="3"/>
  <c r="J1166" i="3"/>
  <c r="K1165" i="3"/>
  <c r="J1165" i="3"/>
  <c r="L1165" i="3" s="1"/>
  <c r="K1164" i="3"/>
  <c r="J1164" i="3"/>
  <c r="L1164" i="3" s="1"/>
  <c r="K1163" i="3"/>
  <c r="J1163" i="3"/>
  <c r="L1163" i="3" s="1"/>
  <c r="K1162" i="3"/>
  <c r="J1162" i="3"/>
  <c r="K1161" i="3"/>
  <c r="J1161" i="3"/>
  <c r="K1160" i="3"/>
  <c r="J1160" i="3"/>
  <c r="K1159" i="3"/>
  <c r="J1159" i="3"/>
  <c r="K1158" i="3"/>
  <c r="L1158" i="3" s="1"/>
  <c r="J1158" i="3"/>
  <c r="K1157" i="3"/>
  <c r="J1157" i="3"/>
  <c r="L1157" i="3" s="1"/>
  <c r="K1156" i="3"/>
  <c r="J1156" i="3"/>
  <c r="L1156" i="3" s="1"/>
  <c r="K1155" i="3"/>
  <c r="J1155" i="3"/>
  <c r="K1154" i="3"/>
  <c r="J1154" i="3"/>
  <c r="L1154" i="3" s="1"/>
  <c r="K1153" i="3"/>
  <c r="J1153" i="3"/>
  <c r="L1153" i="3" s="1"/>
  <c r="K1152" i="3"/>
  <c r="J1152" i="3"/>
  <c r="K1151" i="3"/>
  <c r="L1151" i="3" s="1"/>
  <c r="J1151" i="3"/>
  <c r="K1150" i="3"/>
  <c r="J1150" i="3"/>
  <c r="L1150" i="3" s="1"/>
  <c r="L1149" i="3"/>
  <c r="K1149" i="3"/>
  <c r="J1149" i="3"/>
  <c r="K1148" i="3"/>
  <c r="J1148" i="3"/>
  <c r="K1147" i="3"/>
  <c r="J1147" i="3"/>
  <c r="L1147" i="3" s="1"/>
  <c r="K1146" i="3"/>
  <c r="J1146" i="3"/>
  <c r="K1145" i="3"/>
  <c r="J1145" i="3"/>
  <c r="L1145" i="3" s="1"/>
  <c r="K1144" i="3"/>
  <c r="J1144" i="3"/>
  <c r="K1143" i="3"/>
  <c r="L1143" i="3" s="1"/>
  <c r="J1143" i="3"/>
  <c r="K1142" i="3"/>
  <c r="L1142" i="3" s="1"/>
  <c r="J1142" i="3"/>
  <c r="K1141" i="3"/>
  <c r="J1141" i="3"/>
  <c r="L1141" i="3" s="1"/>
  <c r="K1140" i="3"/>
  <c r="J1140" i="3"/>
  <c r="K1139" i="3"/>
  <c r="J1139" i="3"/>
  <c r="L1139" i="3" s="1"/>
  <c r="K1138" i="3"/>
  <c r="J1138" i="3"/>
  <c r="L1138" i="3" s="1"/>
  <c r="K1137" i="3"/>
  <c r="J1137" i="3"/>
  <c r="L1137" i="3" s="1"/>
  <c r="K1136" i="3"/>
  <c r="J1136" i="3"/>
  <c r="K1135" i="3"/>
  <c r="J1135" i="3"/>
  <c r="L1134" i="3"/>
  <c r="K1134" i="3"/>
  <c r="J1134" i="3"/>
  <c r="L1133" i="3"/>
  <c r="K1133" i="3"/>
  <c r="J1133" i="3"/>
  <c r="K1132" i="3"/>
  <c r="J1132" i="3"/>
  <c r="L1132" i="3" s="1"/>
  <c r="K1131" i="3"/>
  <c r="J1131" i="3"/>
  <c r="L1131" i="3" s="1"/>
  <c r="K1130" i="3"/>
  <c r="J1130" i="3"/>
  <c r="K1129" i="3"/>
  <c r="J1129" i="3"/>
  <c r="L1129" i="3" s="1"/>
  <c r="K1128" i="3"/>
  <c r="J1128" i="3"/>
  <c r="K1127" i="3"/>
  <c r="J1127" i="3"/>
  <c r="K1126" i="3"/>
  <c r="J1126" i="3"/>
  <c r="K1125" i="3"/>
  <c r="J1125" i="3"/>
  <c r="L1125" i="3" s="1"/>
  <c r="K1124" i="3"/>
  <c r="J1124" i="3"/>
  <c r="K1123" i="3"/>
  <c r="J1123" i="3"/>
  <c r="L1123" i="3" s="1"/>
  <c r="K1122" i="3"/>
  <c r="J1122" i="3"/>
  <c r="K1121" i="3"/>
  <c r="J1121" i="3"/>
  <c r="L1121" i="3" s="1"/>
  <c r="K1120" i="3"/>
  <c r="J1120" i="3"/>
  <c r="L1120" i="3" s="1"/>
  <c r="K1119" i="3"/>
  <c r="L1119" i="3" s="1"/>
  <c r="J1119" i="3"/>
  <c r="K1118" i="3"/>
  <c r="J1118" i="3"/>
  <c r="L1118" i="3" s="1"/>
  <c r="L1117" i="3"/>
  <c r="K1117" i="3"/>
  <c r="J1117" i="3"/>
  <c r="K1116" i="3"/>
  <c r="J1116" i="3"/>
  <c r="L1116" i="3" s="1"/>
  <c r="K1115" i="3"/>
  <c r="J1115" i="3"/>
  <c r="K1114" i="3"/>
  <c r="J1114" i="3"/>
  <c r="K1113" i="3"/>
  <c r="J1113" i="3"/>
  <c r="L1113" i="3" s="1"/>
  <c r="K1112" i="3"/>
  <c r="J1112" i="3"/>
  <c r="K1111" i="3"/>
  <c r="L1111" i="3" s="1"/>
  <c r="J1111" i="3"/>
  <c r="K1110" i="3"/>
  <c r="L1110" i="3" s="1"/>
  <c r="J1110" i="3"/>
  <c r="K1109" i="3"/>
  <c r="J1109" i="3"/>
  <c r="L1109" i="3" s="1"/>
  <c r="L1108" i="3"/>
  <c r="K1108" i="3"/>
  <c r="J1108" i="3"/>
  <c r="K1107" i="3"/>
  <c r="J1107" i="3"/>
  <c r="K1106" i="3"/>
  <c r="J1106" i="3"/>
  <c r="L1106" i="3" s="1"/>
  <c r="K1105" i="3"/>
  <c r="J1105" i="3"/>
  <c r="K1104" i="3"/>
  <c r="J1104" i="3"/>
  <c r="K1103" i="3"/>
  <c r="L1103" i="3" s="1"/>
  <c r="J1103" i="3"/>
  <c r="L1102" i="3"/>
  <c r="K1102" i="3"/>
  <c r="J1102" i="3"/>
  <c r="L1101" i="3"/>
  <c r="K1101" i="3"/>
  <c r="J1101" i="3"/>
  <c r="K1100" i="3"/>
  <c r="J1100" i="3"/>
  <c r="L1100" i="3" s="1"/>
  <c r="K1099" i="3"/>
  <c r="J1099" i="3"/>
  <c r="K1098" i="3"/>
  <c r="J1098" i="3"/>
  <c r="L1098" i="3" s="1"/>
  <c r="K1097" i="3"/>
  <c r="J1097" i="3"/>
  <c r="L1097" i="3" s="1"/>
  <c r="K1096" i="3"/>
  <c r="J1096" i="3"/>
  <c r="K1095" i="3"/>
  <c r="L1095" i="3" s="1"/>
  <c r="J1095" i="3"/>
  <c r="K1094" i="3"/>
  <c r="J1094" i="3"/>
  <c r="L1093" i="3"/>
  <c r="K1093" i="3"/>
  <c r="J1093" i="3"/>
  <c r="K1092" i="3"/>
  <c r="J1092" i="3"/>
  <c r="L1092" i="3" s="1"/>
  <c r="K1091" i="3"/>
  <c r="J1091" i="3"/>
  <c r="L1091" i="3" s="1"/>
  <c r="K1090" i="3"/>
  <c r="J1090" i="3"/>
  <c r="L1090" i="3" s="1"/>
  <c r="K1089" i="3"/>
  <c r="J1089" i="3"/>
  <c r="K1088" i="3"/>
  <c r="J1088" i="3"/>
  <c r="L1088" i="3" s="1"/>
  <c r="K1087" i="3"/>
  <c r="L1087" i="3" s="1"/>
  <c r="J1087" i="3"/>
  <c r="K1086" i="3"/>
  <c r="J1086" i="3"/>
  <c r="L1086" i="3" s="1"/>
  <c r="K1085" i="3"/>
  <c r="J1085" i="3"/>
  <c r="L1085" i="3" s="1"/>
  <c r="K1084" i="3"/>
  <c r="J1084" i="3"/>
  <c r="K1083" i="3"/>
  <c r="J1083" i="3"/>
  <c r="L1083" i="3" s="1"/>
  <c r="K1082" i="3"/>
  <c r="J1082" i="3"/>
  <c r="K1081" i="3"/>
  <c r="J1081" i="3"/>
  <c r="K1080" i="3"/>
  <c r="J1080" i="3"/>
  <c r="K1079" i="3"/>
  <c r="J1079" i="3"/>
  <c r="L1079" i="3" s="1"/>
  <c r="K1078" i="3"/>
  <c r="J1078" i="3"/>
  <c r="L1077" i="3"/>
  <c r="K1077" i="3"/>
  <c r="J1077" i="3"/>
  <c r="K1076" i="3"/>
  <c r="J1076" i="3"/>
  <c r="L1076" i="3" s="1"/>
  <c r="L1075" i="3"/>
  <c r="K1075" i="3"/>
  <c r="J1075" i="3"/>
  <c r="K1074" i="3"/>
  <c r="J1074" i="3"/>
  <c r="K1073" i="3"/>
  <c r="J1073" i="3"/>
  <c r="K1072" i="3"/>
  <c r="J1072" i="3"/>
  <c r="L1071" i="3"/>
  <c r="K1071" i="3"/>
  <c r="J1071" i="3"/>
  <c r="K1070" i="3"/>
  <c r="L1070" i="3" s="1"/>
  <c r="J1070" i="3"/>
  <c r="K1069" i="3"/>
  <c r="J1069" i="3"/>
  <c r="L1068" i="3"/>
  <c r="K1068" i="3"/>
  <c r="J1068" i="3"/>
  <c r="K1067" i="3"/>
  <c r="J1067" i="3"/>
  <c r="L1067" i="3" s="1"/>
  <c r="K1066" i="3"/>
  <c r="J1066" i="3"/>
  <c r="L1066" i="3" s="1"/>
  <c r="K1065" i="3"/>
  <c r="J1065" i="3"/>
  <c r="K1064" i="3"/>
  <c r="J1064" i="3"/>
  <c r="K1063" i="3"/>
  <c r="L1063" i="3" s="1"/>
  <c r="J1063" i="3"/>
  <c r="L1062" i="3"/>
  <c r="K1062" i="3"/>
  <c r="J1062" i="3"/>
  <c r="K1061" i="3"/>
  <c r="J1061" i="3"/>
  <c r="L1061" i="3" s="1"/>
  <c r="K1060" i="3"/>
  <c r="J1060" i="3"/>
  <c r="L1060" i="3" s="1"/>
  <c r="K1059" i="3"/>
  <c r="J1059" i="3"/>
  <c r="L1059" i="3" s="1"/>
  <c r="K1058" i="3"/>
  <c r="J1058" i="3"/>
  <c r="L1058" i="3" s="1"/>
  <c r="K1057" i="3"/>
  <c r="J1057" i="3"/>
  <c r="L1057" i="3" s="1"/>
  <c r="K1056" i="3"/>
  <c r="J1056" i="3"/>
  <c r="K1055" i="3"/>
  <c r="L1055" i="3" s="1"/>
  <c r="J1055" i="3"/>
  <c r="K1054" i="3"/>
  <c r="L1054" i="3" s="1"/>
  <c r="J1054" i="3"/>
  <c r="K1053" i="3"/>
  <c r="J1053" i="3"/>
  <c r="L1053" i="3" s="1"/>
  <c r="K1052" i="3"/>
  <c r="J1052" i="3"/>
  <c r="L1052" i="3" s="1"/>
  <c r="K1051" i="3"/>
  <c r="J1051" i="3"/>
  <c r="L1051" i="3" s="1"/>
  <c r="K1050" i="3"/>
  <c r="J1050" i="3"/>
  <c r="L1050" i="3" s="1"/>
  <c r="K1049" i="3"/>
  <c r="J1049" i="3"/>
  <c r="L1049" i="3" s="1"/>
  <c r="K1048" i="3"/>
  <c r="J1048" i="3"/>
  <c r="K1047" i="3"/>
  <c r="J1047" i="3"/>
  <c r="L1047" i="3" s="1"/>
  <c r="K1046" i="3"/>
  <c r="L1046" i="3" s="1"/>
  <c r="J1046" i="3"/>
  <c r="K1045" i="3"/>
  <c r="L1045" i="3" s="1"/>
  <c r="J1045" i="3"/>
  <c r="K1044" i="3"/>
  <c r="J1044" i="3"/>
  <c r="L1044" i="3" s="1"/>
  <c r="K1043" i="3"/>
  <c r="J1043" i="3"/>
  <c r="K1042" i="3"/>
  <c r="J1042" i="3"/>
  <c r="L1042" i="3" s="1"/>
  <c r="K1041" i="3"/>
  <c r="J1041" i="3"/>
  <c r="K1040" i="3"/>
  <c r="J1040" i="3"/>
  <c r="K1039" i="3"/>
  <c r="L1039" i="3" s="1"/>
  <c r="J1039" i="3"/>
  <c r="K1038" i="3"/>
  <c r="J1038" i="3"/>
  <c r="K1037" i="3"/>
  <c r="J1037" i="3"/>
  <c r="L1037" i="3" s="1"/>
  <c r="L1036" i="3"/>
  <c r="K1036" i="3"/>
  <c r="J1036" i="3"/>
  <c r="K1035" i="3"/>
  <c r="J1035" i="3"/>
  <c r="K1034" i="3"/>
  <c r="J1034" i="3"/>
  <c r="K1033" i="3"/>
  <c r="J1033" i="3"/>
  <c r="K1032" i="3"/>
  <c r="J1032" i="3"/>
  <c r="K1031" i="3"/>
  <c r="L1031" i="3" s="1"/>
  <c r="J1031" i="3"/>
  <c r="K1030" i="3"/>
  <c r="L1030" i="3" s="1"/>
  <c r="J1030" i="3"/>
  <c r="K1029" i="3"/>
  <c r="J1029" i="3"/>
  <c r="L1029" i="3" s="1"/>
  <c r="K1028" i="3"/>
  <c r="J1028" i="3"/>
  <c r="L1028" i="3" s="1"/>
  <c r="L1027" i="3"/>
  <c r="K1027" i="3"/>
  <c r="J1027" i="3"/>
  <c r="K1026" i="3"/>
  <c r="J1026" i="3"/>
  <c r="K1025" i="3"/>
  <c r="J1025" i="3"/>
  <c r="K1024" i="3"/>
  <c r="J1024" i="3"/>
  <c r="K1023" i="3"/>
  <c r="J1023" i="3"/>
  <c r="K1022" i="3"/>
  <c r="L1022" i="3" s="1"/>
  <c r="J1022" i="3"/>
  <c r="K1021" i="3"/>
  <c r="L1021" i="3" s="1"/>
  <c r="J1021" i="3"/>
  <c r="K1020" i="3"/>
  <c r="J1020" i="3"/>
  <c r="L1020" i="3" s="1"/>
  <c r="K1019" i="3"/>
  <c r="J1019" i="3"/>
  <c r="L1019" i="3" s="1"/>
  <c r="K1018" i="3"/>
  <c r="J1018" i="3"/>
  <c r="K1017" i="3"/>
  <c r="J1017" i="3"/>
  <c r="K1016" i="3"/>
  <c r="J1016" i="3"/>
  <c r="L1015" i="3"/>
  <c r="K1015" i="3"/>
  <c r="J1015" i="3"/>
  <c r="K1014" i="3"/>
  <c r="J1014" i="3"/>
  <c r="K1013" i="3"/>
  <c r="L1013" i="3" s="1"/>
  <c r="J1013" i="3"/>
  <c r="K1012" i="3"/>
  <c r="L1012" i="3" s="1"/>
  <c r="J1012" i="3"/>
  <c r="K1011" i="3"/>
  <c r="J1011" i="3"/>
  <c r="L1011" i="3" s="1"/>
  <c r="K1010" i="3"/>
  <c r="J1010" i="3"/>
  <c r="L1010" i="3" s="1"/>
  <c r="K1009" i="3"/>
  <c r="J1009" i="3"/>
  <c r="K1008" i="3"/>
  <c r="J1008" i="3"/>
  <c r="K1007" i="3"/>
  <c r="J1007" i="3"/>
  <c r="L1007" i="3" s="1"/>
  <c r="K1006" i="3"/>
  <c r="J1006" i="3"/>
  <c r="K1005" i="3"/>
  <c r="J1005" i="3"/>
  <c r="L1005" i="3" s="1"/>
  <c r="K1004" i="3"/>
  <c r="J1004" i="3"/>
  <c r="L1004" i="3" s="1"/>
  <c r="K1003" i="3"/>
  <c r="J1003" i="3"/>
  <c r="L1003" i="3" s="1"/>
  <c r="K1002" i="3"/>
  <c r="J1002" i="3"/>
  <c r="K1001" i="3"/>
  <c r="J1001" i="3"/>
  <c r="L1001" i="3" s="1"/>
  <c r="K1000" i="3"/>
  <c r="J1000" i="3"/>
  <c r="K999" i="3"/>
  <c r="L999" i="3" s="1"/>
  <c r="J999" i="3"/>
  <c r="K998" i="3"/>
  <c r="L998" i="3" s="1"/>
  <c r="J998" i="3"/>
  <c r="K997" i="3"/>
  <c r="J997" i="3"/>
  <c r="L997" i="3" s="1"/>
  <c r="L996" i="3"/>
  <c r="K996" i="3"/>
  <c r="J996" i="3"/>
  <c r="K995" i="3"/>
  <c r="J995" i="3"/>
  <c r="L995" i="3" s="1"/>
  <c r="K994" i="3"/>
  <c r="J994" i="3"/>
  <c r="K993" i="3"/>
  <c r="J993" i="3"/>
  <c r="L993" i="3" s="1"/>
  <c r="K992" i="3"/>
  <c r="J992" i="3"/>
  <c r="L992" i="3" s="1"/>
  <c r="K991" i="3"/>
  <c r="J991" i="3"/>
  <c r="K990" i="3"/>
  <c r="J990" i="3"/>
  <c r="L990" i="3" s="1"/>
  <c r="K989" i="3"/>
  <c r="J989" i="3"/>
  <c r="K988" i="3"/>
  <c r="J988" i="3"/>
  <c r="K987" i="3"/>
  <c r="L987" i="3" s="1"/>
  <c r="J987" i="3"/>
  <c r="K986" i="3"/>
  <c r="J986" i="3"/>
  <c r="L986" i="3" s="1"/>
  <c r="L985" i="3"/>
  <c r="K985" i="3"/>
  <c r="J985" i="3"/>
  <c r="K984" i="3"/>
  <c r="J984" i="3"/>
  <c r="K983" i="3"/>
  <c r="J983" i="3"/>
  <c r="K982" i="3"/>
  <c r="J982" i="3"/>
  <c r="L982" i="3" s="1"/>
  <c r="K981" i="3"/>
  <c r="J981" i="3"/>
  <c r="K980" i="3"/>
  <c r="J980" i="3"/>
  <c r="K979" i="3"/>
  <c r="J979" i="3"/>
  <c r="K978" i="3"/>
  <c r="J978" i="3"/>
  <c r="L978" i="3" s="1"/>
  <c r="K977" i="3"/>
  <c r="J977" i="3"/>
  <c r="K976" i="3"/>
  <c r="J976" i="3"/>
  <c r="K975" i="3"/>
  <c r="J975" i="3"/>
  <c r="L975" i="3" s="1"/>
  <c r="K974" i="3"/>
  <c r="L974" i="3" s="1"/>
  <c r="J974" i="3"/>
  <c r="K973" i="3"/>
  <c r="J973" i="3"/>
  <c r="L973" i="3" s="1"/>
  <c r="K972" i="3"/>
  <c r="J972" i="3"/>
  <c r="L972" i="3" s="1"/>
  <c r="K971" i="3"/>
  <c r="J971" i="3"/>
  <c r="K970" i="3"/>
  <c r="J970" i="3"/>
  <c r="L970" i="3" s="1"/>
  <c r="K969" i="3"/>
  <c r="J969" i="3"/>
  <c r="K968" i="3"/>
  <c r="J968" i="3"/>
  <c r="L968" i="3" s="1"/>
  <c r="K967" i="3"/>
  <c r="J967" i="3"/>
  <c r="L967" i="3" s="1"/>
  <c r="K966" i="3"/>
  <c r="J966" i="3"/>
  <c r="L966" i="3" s="1"/>
  <c r="K965" i="3"/>
  <c r="L965" i="3" s="1"/>
  <c r="J965" i="3"/>
  <c r="K964" i="3"/>
  <c r="J964" i="3"/>
  <c r="L964" i="3" s="1"/>
  <c r="K963" i="3"/>
  <c r="J963" i="3"/>
  <c r="K962" i="3"/>
  <c r="J962" i="3"/>
  <c r="L962" i="3" s="1"/>
  <c r="K961" i="3"/>
  <c r="J961" i="3"/>
  <c r="L960" i="3"/>
  <c r="K960" i="3"/>
  <c r="J960" i="3"/>
  <c r="K959" i="3"/>
  <c r="J959" i="3"/>
  <c r="L959" i="3" s="1"/>
  <c r="K958" i="3"/>
  <c r="J958" i="3"/>
  <c r="L958" i="3" s="1"/>
  <c r="K957" i="3"/>
  <c r="J957" i="3"/>
  <c r="K956" i="3"/>
  <c r="J956" i="3"/>
  <c r="K955" i="3"/>
  <c r="J955" i="3"/>
  <c r="K954" i="3"/>
  <c r="J954" i="3"/>
  <c r="L954" i="3" s="1"/>
  <c r="K953" i="3"/>
  <c r="J953" i="3"/>
  <c r="L952" i="3"/>
  <c r="K952" i="3"/>
  <c r="J952" i="3"/>
  <c r="K951" i="3"/>
  <c r="J951" i="3"/>
  <c r="K950" i="3"/>
  <c r="J950" i="3"/>
  <c r="L950" i="3" s="1"/>
  <c r="K949" i="3"/>
  <c r="L949" i="3" s="1"/>
  <c r="J949" i="3"/>
  <c r="K948" i="3"/>
  <c r="J948" i="3"/>
  <c r="K947" i="3"/>
  <c r="L947" i="3" s="1"/>
  <c r="J947" i="3"/>
  <c r="K946" i="3"/>
  <c r="J946" i="3"/>
  <c r="L946" i="3" s="1"/>
  <c r="K945" i="3"/>
  <c r="J945" i="3"/>
  <c r="K944" i="3"/>
  <c r="L944" i="3" s="1"/>
  <c r="J944" i="3"/>
  <c r="K943" i="3"/>
  <c r="J943" i="3"/>
  <c r="K942" i="3"/>
  <c r="J942" i="3"/>
  <c r="L942" i="3" s="1"/>
  <c r="K941" i="3"/>
  <c r="L941" i="3" s="1"/>
  <c r="J941" i="3"/>
  <c r="K940" i="3"/>
  <c r="J940" i="3"/>
  <c r="L940" i="3" s="1"/>
  <c r="K939" i="3"/>
  <c r="L939" i="3" s="1"/>
  <c r="J939" i="3"/>
  <c r="L938" i="3"/>
  <c r="K938" i="3"/>
  <c r="J938" i="3"/>
  <c r="K937" i="3"/>
  <c r="J937" i="3"/>
  <c r="L936" i="3"/>
  <c r="K936" i="3"/>
  <c r="J936" i="3"/>
  <c r="K935" i="3"/>
  <c r="J935" i="3"/>
  <c r="K934" i="3"/>
  <c r="J934" i="3"/>
  <c r="K933" i="3"/>
  <c r="J933" i="3"/>
  <c r="K932" i="3"/>
  <c r="J932" i="3"/>
  <c r="K931" i="3"/>
  <c r="J931" i="3"/>
  <c r="L930" i="3"/>
  <c r="K930" i="3"/>
  <c r="J930" i="3"/>
  <c r="K929" i="3"/>
  <c r="J929" i="3"/>
  <c r="K928" i="3"/>
  <c r="J928" i="3"/>
  <c r="L928" i="3" s="1"/>
  <c r="K927" i="3"/>
  <c r="J927" i="3"/>
  <c r="K926" i="3"/>
  <c r="J926" i="3"/>
  <c r="L926" i="3" s="1"/>
  <c r="K925" i="3"/>
  <c r="J925" i="3"/>
  <c r="K924" i="3"/>
  <c r="J924" i="3"/>
  <c r="K923" i="3"/>
  <c r="L923" i="3" s="1"/>
  <c r="J923" i="3"/>
  <c r="K922" i="3"/>
  <c r="J922" i="3"/>
  <c r="K921" i="3"/>
  <c r="J921" i="3"/>
  <c r="L921" i="3" s="1"/>
  <c r="K920" i="3"/>
  <c r="J920" i="3"/>
  <c r="L920" i="3" s="1"/>
  <c r="K919" i="3"/>
  <c r="J919" i="3"/>
  <c r="L919" i="3" s="1"/>
  <c r="K918" i="3"/>
  <c r="J918" i="3"/>
  <c r="K917" i="3"/>
  <c r="L917" i="3" s="1"/>
  <c r="J917" i="3"/>
  <c r="K916" i="3"/>
  <c r="J916" i="3"/>
  <c r="K915" i="3"/>
  <c r="L915" i="3" s="1"/>
  <c r="J915" i="3"/>
  <c r="K914" i="3"/>
  <c r="J914" i="3"/>
  <c r="K913" i="3"/>
  <c r="J913" i="3"/>
  <c r="L912" i="3"/>
  <c r="K912" i="3"/>
  <c r="J912" i="3"/>
  <c r="K911" i="3"/>
  <c r="J911" i="3"/>
  <c r="L911" i="3" s="1"/>
  <c r="K910" i="3"/>
  <c r="J910" i="3"/>
  <c r="L910" i="3" s="1"/>
  <c r="K909" i="3"/>
  <c r="J909" i="3"/>
  <c r="K908" i="3"/>
  <c r="J908" i="3"/>
  <c r="L908" i="3" s="1"/>
  <c r="K907" i="3"/>
  <c r="L907" i="3" s="1"/>
  <c r="J907" i="3"/>
  <c r="L906" i="3"/>
  <c r="K906" i="3"/>
  <c r="J906" i="3"/>
  <c r="K905" i="3"/>
  <c r="J905" i="3"/>
  <c r="K904" i="3"/>
  <c r="J904" i="3"/>
  <c r="L904" i="3" s="1"/>
  <c r="K903" i="3"/>
  <c r="J903" i="3"/>
  <c r="K902" i="3"/>
  <c r="J902" i="3"/>
  <c r="L902" i="3" s="1"/>
  <c r="K901" i="3"/>
  <c r="J901" i="3"/>
  <c r="K900" i="3"/>
  <c r="J900" i="3"/>
  <c r="L900" i="3" s="1"/>
  <c r="K899" i="3"/>
  <c r="L899" i="3" s="1"/>
  <c r="J899" i="3"/>
  <c r="L898" i="3"/>
  <c r="K898" i="3"/>
  <c r="J898" i="3"/>
  <c r="K897" i="3"/>
  <c r="J897" i="3"/>
  <c r="K896" i="3"/>
  <c r="L896" i="3" s="1"/>
  <c r="J896" i="3"/>
  <c r="K895" i="3"/>
  <c r="J895" i="3"/>
  <c r="L895" i="3" s="1"/>
  <c r="K894" i="3"/>
  <c r="J894" i="3"/>
  <c r="K893" i="3"/>
  <c r="J893" i="3"/>
  <c r="K892" i="3"/>
  <c r="J892" i="3"/>
  <c r="L892" i="3" s="1"/>
  <c r="K891" i="3"/>
  <c r="J891" i="3"/>
  <c r="L890" i="3"/>
  <c r="K890" i="3"/>
  <c r="J890" i="3"/>
  <c r="K889" i="3"/>
  <c r="J889" i="3"/>
  <c r="L889" i="3" s="1"/>
  <c r="K888" i="3"/>
  <c r="J888" i="3"/>
  <c r="L888" i="3" s="1"/>
  <c r="K887" i="3"/>
  <c r="J887" i="3"/>
  <c r="L887" i="3" s="1"/>
  <c r="K886" i="3"/>
  <c r="J886" i="3"/>
  <c r="K885" i="3"/>
  <c r="L885" i="3" s="1"/>
  <c r="J885" i="3"/>
  <c r="K884" i="3"/>
  <c r="J884" i="3"/>
  <c r="L884" i="3" s="1"/>
  <c r="K883" i="3"/>
  <c r="J883" i="3"/>
  <c r="L882" i="3"/>
  <c r="K882" i="3"/>
  <c r="J882" i="3"/>
  <c r="K881" i="3"/>
  <c r="J881" i="3"/>
  <c r="K880" i="3"/>
  <c r="J880" i="3"/>
  <c r="K879" i="3"/>
  <c r="J879" i="3"/>
  <c r="L879" i="3" s="1"/>
  <c r="K878" i="3"/>
  <c r="J878" i="3"/>
  <c r="L878" i="3" s="1"/>
  <c r="K877" i="3"/>
  <c r="L877" i="3" s="1"/>
  <c r="J877" i="3"/>
  <c r="K876" i="3"/>
  <c r="J876" i="3"/>
  <c r="K875" i="3"/>
  <c r="J875" i="3"/>
  <c r="K874" i="3"/>
  <c r="J874" i="3"/>
  <c r="L874" i="3" s="1"/>
  <c r="K873" i="3"/>
  <c r="J873" i="3"/>
  <c r="L873" i="3" s="1"/>
  <c r="K872" i="3"/>
  <c r="J872" i="3"/>
  <c r="L872" i="3" s="1"/>
  <c r="K871" i="3"/>
  <c r="J871" i="3"/>
  <c r="L871" i="3" s="1"/>
  <c r="K870" i="3"/>
  <c r="J870" i="3"/>
  <c r="K869" i="3"/>
  <c r="L869" i="3" s="1"/>
  <c r="J869" i="3"/>
  <c r="K868" i="3"/>
  <c r="J868" i="3"/>
  <c r="L868" i="3" s="1"/>
  <c r="K867" i="3"/>
  <c r="L867" i="3" s="1"/>
  <c r="J867" i="3"/>
  <c r="K866" i="3"/>
  <c r="J866" i="3"/>
  <c r="L866" i="3" s="1"/>
  <c r="K865" i="3"/>
  <c r="J865" i="3"/>
  <c r="L865" i="3" s="1"/>
  <c r="K864" i="3"/>
  <c r="J864" i="3"/>
  <c r="K863" i="3"/>
  <c r="J863" i="3"/>
  <c r="K862" i="3"/>
  <c r="J862" i="3"/>
  <c r="K861" i="3"/>
  <c r="L861" i="3" s="1"/>
  <c r="J861" i="3"/>
  <c r="K860" i="3"/>
  <c r="J860" i="3"/>
  <c r="L860" i="3" s="1"/>
  <c r="K859" i="3"/>
  <c r="L859" i="3" s="1"/>
  <c r="J859" i="3"/>
  <c r="L858" i="3"/>
  <c r="K858" i="3"/>
  <c r="J858" i="3"/>
  <c r="K857" i="3"/>
  <c r="J857" i="3"/>
  <c r="K856" i="3"/>
  <c r="J856" i="3"/>
  <c r="L856" i="3" s="1"/>
  <c r="K855" i="3"/>
  <c r="J855" i="3"/>
  <c r="L855" i="3" s="1"/>
  <c r="K854" i="3"/>
  <c r="J854" i="3"/>
  <c r="L854" i="3" s="1"/>
  <c r="K853" i="3"/>
  <c r="J853" i="3"/>
  <c r="K852" i="3"/>
  <c r="J852" i="3"/>
  <c r="L852" i="3" s="1"/>
  <c r="K851" i="3"/>
  <c r="L851" i="3" s="1"/>
  <c r="J851" i="3"/>
  <c r="K850" i="3"/>
  <c r="J850" i="3"/>
  <c r="L850" i="3" s="1"/>
  <c r="K849" i="3"/>
  <c r="J849" i="3"/>
  <c r="K848" i="3"/>
  <c r="J848" i="3"/>
  <c r="L848" i="3" s="1"/>
  <c r="K847" i="3"/>
  <c r="J847" i="3"/>
  <c r="L847" i="3" s="1"/>
  <c r="K846" i="3"/>
  <c r="J846" i="3"/>
  <c r="K845" i="3"/>
  <c r="L845" i="3" s="1"/>
  <c r="J845" i="3"/>
  <c r="K844" i="3"/>
  <c r="J844" i="3"/>
  <c r="L844" i="3" s="1"/>
  <c r="K843" i="3"/>
  <c r="L843" i="3" s="1"/>
  <c r="J843" i="3"/>
  <c r="L842" i="3"/>
  <c r="K842" i="3"/>
  <c r="J842" i="3"/>
  <c r="K841" i="3"/>
  <c r="J841" i="3"/>
  <c r="L841" i="3" s="1"/>
  <c r="K840" i="3"/>
  <c r="J840" i="3"/>
  <c r="L840" i="3" s="1"/>
  <c r="K839" i="3"/>
  <c r="J839" i="3"/>
  <c r="L839" i="3" s="1"/>
  <c r="K838" i="3"/>
  <c r="J838" i="3"/>
  <c r="L838" i="3" s="1"/>
  <c r="K837" i="3"/>
  <c r="J837" i="3"/>
  <c r="K836" i="3"/>
  <c r="J836" i="3"/>
  <c r="L836" i="3" s="1"/>
  <c r="K835" i="3"/>
  <c r="L835" i="3" s="1"/>
  <c r="J835" i="3"/>
  <c r="L834" i="3"/>
  <c r="K834" i="3"/>
  <c r="J834" i="3"/>
  <c r="K833" i="3"/>
  <c r="J833" i="3"/>
  <c r="K832" i="3"/>
  <c r="L832" i="3" s="1"/>
  <c r="J832" i="3"/>
  <c r="K831" i="3"/>
  <c r="J831" i="3"/>
  <c r="L831" i="3" s="1"/>
  <c r="K830" i="3"/>
  <c r="J830" i="3"/>
  <c r="L830" i="3" s="1"/>
  <c r="K829" i="3"/>
  <c r="J829" i="3"/>
  <c r="K828" i="3"/>
  <c r="J828" i="3"/>
  <c r="L828" i="3" s="1"/>
  <c r="K827" i="3"/>
  <c r="J827" i="3"/>
  <c r="L826" i="3"/>
  <c r="K826" i="3"/>
  <c r="J826" i="3"/>
  <c r="K825" i="3"/>
  <c r="J825" i="3"/>
  <c r="L824" i="3"/>
  <c r="K824" i="3"/>
  <c r="J824" i="3"/>
  <c r="K823" i="3"/>
  <c r="J823" i="3"/>
  <c r="K822" i="3"/>
  <c r="J822" i="3"/>
  <c r="L822" i="3" s="1"/>
  <c r="K821" i="3"/>
  <c r="J821" i="3"/>
  <c r="K820" i="3"/>
  <c r="J820" i="3"/>
  <c r="L820" i="3" s="1"/>
  <c r="K819" i="3"/>
  <c r="J819" i="3"/>
  <c r="K818" i="3"/>
  <c r="J818" i="3"/>
  <c r="L818" i="3" s="1"/>
  <c r="K817" i="3"/>
  <c r="J817" i="3"/>
  <c r="K816" i="3"/>
  <c r="J816" i="3"/>
  <c r="L816" i="3" s="1"/>
  <c r="K815" i="3"/>
  <c r="J815" i="3"/>
  <c r="K814" i="3"/>
  <c r="J814" i="3"/>
  <c r="K813" i="3"/>
  <c r="J813" i="3"/>
  <c r="K812" i="3"/>
  <c r="J812" i="3"/>
  <c r="L812" i="3" s="1"/>
  <c r="K811" i="3"/>
  <c r="J811" i="3"/>
  <c r="K810" i="3"/>
  <c r="J810" i="3"/>
  <c r="L810" i="3" s="1"/>
  <c r="K809" i="3"/>
  <c r="J809" i="3"/>
  <c r="L809" i="3" s="1"/>
  <c r="K808" i="3"/>
  <c r="L808" i="3" s="1"/>
  <c r="J808" i="3"/>
  <c r="K807" i="3"/>
  <c r="J807" i="3"/>
  <c r="K806" i="3"/>
  <c r="J806" i="3"/>
  <c r="K805" i="3"/>
  <c r="L805" i="3" s="1"/>
  <c r="J805" i="3"/>
  <c r="K804" i="3"/>
  <c r="J804" i="3"/>
  <c r="L804" i="3" s="1"/>
  <c r="K803" i="3"/>
  <c r="J803" i="3"/>
  <c r="K802" i="3"/>
  <c r="J802" i="3"/>
  <c r="L802" i="3" s="1"/>
  <c r="K801" i="3"/>
  <c r="J801" i="3"/>
  <c r="K800" i="3"/>
  <c r="J800" i="3"/>
  <c r="L800" i="3" s="1"/>
  <c r="K799" i="3"/>
  <c r="J799" i="3"/>
  <c r="L799" i="3" s="1"/>
  <c r="K798" i="3"/>
  <c r="J798" i="3"/>
  <c r="K797" i="3"/>
  <c r="J797" i="3"/>
  <c r="K796" i="3"/>
  <c r="J796" i="3"/>
  <c r="K795" i="3"/>
  <c r="J795" i="3"/>
  <c r="K794" i="3"/>
  <c r="J794" i="3"/>
  <c r="L794" i="3" s="1"/>
  <c r="K793" i="3"/>
  <c r="J793" i="3"/>
  <c r="L793" i="3" s="1"/>
  <c r="K792" i="3"/>
  <c r="J792" i="3"/>
  <c r="K791" i="3"/>
  <c r="J791" i="3"/>
  <c r="L791" i="3" s="1"/>
  <c r="K790" i="3"/>
  <c r="J790" i="3"/>
  <c r="L790" i="3" s="1"/>
  <c r="K789" i="3"/>
  <c r="J789" i="3"/>
  <c r="K788" i="3"/>
  <c r="J788" i="3"/>
  <c r="K787" i="3"/>
  <c r="L787" i="3" s="1"/>
  <c r="J787" i="3"/>
  <c r="K786" i="3"/>
  <c r="J786" i="3"/>
  <c r="L786" i="3" s="1"/>
  <c r="K785" i="3"/>
  <c r="J785" i="3"/>
  <c r="L784" i="3"/>
  <c r="K784" i="3"/>
  <c r="J784" i="3"/>
  <c r="K783" i="3"/>
  <c r="J783" i="3"/>
  <c r="L783" i="3" s="1"/>
  <c r="K782" i="3"/>
  <c r="J782" i="3"/>
  <c r="K781" i="3"/>
  <c r="L781" i="3" s="1"/>
  <c r="J781" i="3"/>
  <c r="K780" i="3"/>
  <c r="J780" i="3"/>
  <c r="L780" i="3" s="1"/>
  <c r="K779" i="3"/>
  <c r="J779" i="3"/>
  <c r="L778" i="3"/>
  <c r="K778" i="3"/>
  <c r="J778" i="3"/>
  <c r="K777" i="3"/>
  <c r="J777" i="3"/>
  <c r="L776" i="3"/>
  <c r="K776" i="3"/>
  <c r="J776" i="3"/>
  <c r="K775" i="3"/>
  <c r="J775" i="3"/>
  <c r="L775" i="3" s="1"/>
  <c r="K774" i="3"/>
  <c r="J774" i="3"/>
  <c r="L774" i="3" s="1"/>
  <c r="K773" i="3"/>
  <c r="L773" i="3" s="1"/>
  <c r="J773" i="3"/>
  <c r="K772" i="3"/>
  <c r="J772" i="3"/>
  <c r="K771" i="3"/>
  <c r="J771" i="3"/>
  <c r="K770" i="3"/>
  <c r="L770" i="3" s="1"/>
  <c r="J770" i="3"/>
  <c r="K769" i="3"/>
  <c r="J769" i="3"/>
  <c r="L769" i="3" s="1"/>
  <c r="K768" i="3"/>
  <c r="J768" i="3"/>
  <c r="L768" i="3" s="1"/>
  <c r="K767" i="3"/>
  <c r="J767" i="3"/>
  <c r="K766" i="3"/>
  <c r="J766" i="3"/>
  <c r="K765" i="3"/>
  <c r="J765" i="3"/>
  <c r="K764" i="3"/>
  <c r="J764" i="3"/>
  <c r="K763" i="3"/>
  <c r="J763" i="3"/>
  <c r="K762" i="3"/>
  <c r="J762" i="3"/>
  <c r="L762" i="3" s="1"/>
  <c r="K761" i="3"/>
  <c r="J761" i="3"/>
  <c r="L761" i="3" s="1"/>
  <c r="K760" i="3"/>
  <c r="J760" i="3"/>
  <c r="L760" i="3" s="1"/>
  <c r="K759" i="3"/>
  <c r="J759" i="3"/>
  <c r="L759" i="3" s="1"/>
  <c r="K758" i="3"/>
  <c r="J758" i="3"/>
  <c r="L758" i="3" s="1"/>
  <c r="K757" i="3"/>
  <c r="L757" i="3" s="1"/>
  <c r="J757" i="3"/>
  <c r="K756" i="3"/>
  <c r="J756" i="3"/>
  <c r="L756" i="3" s="1"/>
  <c r="K755" i="3"/>
  <c r="J755" i="3"/>
  <c r="L754" i="3"/>
  <c r="K754" i="3"/>
  <c r="J754" i="3"/>
  <c r="K753" i="3"/>
  <c r="J753" i="3"/>
  <c r="L753" i="3" s="1"/>
  <c r="K752" i="3"/>
  <c r="L752" i="3" s="1"/>
  <c r="J752" i="3"/>
  <c r="K751" i="3"/>
  <c r="J751" i="3"/>
  <c r="L751" i="3" s="1"/>
  <c r="K750" i="3"/>
  <c r="J750" i="3"/>
  <c r="L750" i="3" s="1"/>
  <c r="K749" i="3"/>
  <c r="J749" i="3"/>
  <c r="K748" i="3"/>
  <c r="J748" i="3"/>
  <c r="K747" i="3"/>
  <c r="J747" i="3"/>
  <c r="K746" i="3"/>
  <c r="J746" i="3"/>
  <c r="L746" i="3" s="1"/>
  <c r="K745" i="3"/>
  <c r="J745" i="3"/>
  <c r="K744" i="3"/>
  <c r="J744" i="3"/>
  <c r="L744" i="3" s="1"/>
  <c r="K743" i="3"/>
  <c r="J743" i="3"/>
  <c r="K742" i="3"/>
  <c r="J742" i="3"/>
  <c r="L742" i="3" s="1"/>
  <c r="K741" i="3"/>
  <c r="J741" i="3"/>
  <c r="K740" i="3"/>
  <c r="J740" i="3"/>
  <c r="K739" i="3"/>
  <c r="J739" i="3"/>
  <c r="K738" i="3"/>
  <c r="J738" i="3"/>
  <c r="L738" i="3" s="1"/>
  <c r="K737" i="3"/>
  <c r="J737" i="3"/>
  <c r="L737" i="3" s="1"/>
  <c r="K736" i="3"/>
  <c r="L736" i="3" s="1"/>
  <c r="J736" i="3"/>
  <c r="K735" i="3"/>
  <c r="J735" i="3"/>
  <c r="K734" i="3"/>
  <c r="J734" i="3"/>
  <c r="K733" i="3"/>
  <c r="J733" i="3"/>
  <c r="K732" i="3"/>
  <c r="J732" i="3"/>
  <c r="L732" i="3" s="1"/>
  <c r="K731" i="3"/>
  <c r="L731" i="3" s="1"/>
  <c r="J731" i="3"/>
  <c r="K730" i="3"/>
  <c r="L730" i="3" s="1"/>
  <c r="J730" i="3"/>
  <c r="K729" i="3"/>
  <c r="J729" i="3"/>
  <c r="L729" i="3" s="1"/>
  <c r="K728" i="3"/>
  <c r="J728" i="3"/>
  <c r="L728" i="3" s="1"/>
  <c r="K727" i="3"/>
  <c r="J727" i="3"/>
  <c r="L727" i="3" s="1"/>
  <c r="K726" i="3"/>
  <c r="J726" i="3"/>
  <c r="K725" i="3"/>
  <c r="L725" i="3" s="1"/>
  <c r="J725" i="3"/>
  <c r="K724" i="3"/>
  <c r="J724" i="3"/>
  <c r="L724" i="3" s="1"/>
  <c r="K723" i="3"/>
  <c r="J723" i="3"/>
  <c r="L722" i="3"/>
  <c r="K722" i="3"/>
  <c r="J722" i="3"/>
  <c r="K721" i="3"/>
  <c r="J721" i="3"/>
  <c r="K720" i="3"/>
  <c r="J720" i="3"/>
  <c r="L720" i="3" s="1"/>
  <c r="K719" i="3"/>
  <c r="J719" i="3"/>
  <c r="L719" i="3" s="1"/>
  <c r="K718" i="3"/>
  <c r="J718" i="3"/>
  <c r="K717" i="3"/>
  <c r="L717" i="3" s="1"/>
  <c r="J717" i="3"/>
  <c r="K716" i="3"/>
  <c r="J716" i="3"/>
  <c r="K715" i="3"/>
  <c r="J715" i="3"/>
  <c r="K714" i="3"/>
  <c r="J714" i="3"/>
  <c r="L714" i="3" s="1"/>
  <c r="K713" i="3"/>
  <c r="J713" i="3"/>
  <c r="L713" i="3" s="1"/>
  <c r="L712" i="3"/>
  <c r="K712" i="3"/>
  <c r="J712" i="3"/>
  <c r="K711" i="3"/>
  <c r="J711" i="3"/>
  <c r="L711" i="3" s="1"/>
  <c r="K710" i="3"/>
  <c r="J710" i="3"/>
  <c r="K709" i="3"/>
  <c r="J709" i="3"/>
  <c r="K708" i="3"/>
  <c r="J708" i="3"/>
  <c r="L708" i="3" s="1"/>
  <c r="K707" i="3"/>
  <c r="L707" i="3" s="1"/>
  <c r="J707" i="3"/>
  <c r="K706" i="3"/>
  <c r="L706" i="3" s="1"/>
  <c r="J706" i="3"/>
  <c r="K705" i="3"/>
  <c r="J705" i="3"/>
  <c r="K704" i="3"/>
  <c r="J704" i="3"/>
  <c r="L704" i="3" s="1"/>
  <c r="K703" i="3"/>
  <c r="J703" i="3"/>
  <c r="K702" i="3"/>
  <c r="J702" i="3"/>
  <c r="L702" i="3" s="1"/>
  <c r="K701" i="3"/>
  <c r="J701" i="3"/>
  <c r="K700" i="3"/>
  <c r="J700" i="3"/>
  <c r="L700" i="3" s="1"/>
  <c r="K699" i="3"/>
  <c r="J699" i="3"/>
  <c r="L698" i="3"/>
  <c r="K698" i="3"/>
  <c r="J698" i="3"/>
  <c r="K697" i="3"/>
  <c r="J697" i="3"/>
  <c r="K696" i="3"/>
  <c r="J696" i="3"/>
  <c r="L696" i="3" s="1"/>
  <c r="K695" i="3"/>
  <c r="J695" i="3"/>
  <c r="L695" i="3" s="1"/>
  <c r="K694" i="3"/>
  <c r="J694" i="3"/>
  <c r="K693" i="3"/>
  <c r="J693" i="3"/>
  <c r="K692" i="3"/>
  <c r="J692" i="3"/>
  <c r="L692" i="3" s="1"/>
  <c r="K691" i="3"/>
  <c r="J691" i="3"/>
  <c r="L690" i="3"/>
  <c r="K690" i="3"/>
  <c r="J690" i="3"/>
  <c r="K689" i="3"/>
  <c r="J689" i="3"/>
  <c r="L689" i="3" s="1"/>
  <c r="K688" i="3"/>
  <c r="J688" i="3"/>
  <c r="L688" i="3" s="1"/>
  <c r="K687" i="3"/>
  <c r="J687" i="3"/>
  <c r="K686" i="3"/>
  <c r="J686" i="3"/>
  <c r="K685" i="3"/>
  <c r="J685" i="3"/>
  <c r="K684" i="3"/>
  <c r="J684" i="3"/>
  <c r="K683" i="3"/>
  <c r="J683" i="3"/>
  <c r="L682" i="3"/>
  <c r="K682" i="3"/>
  <c r="J682" i="3"/>
  <c r="K681" i="3"/>
  <c r="J681" i="3"/>
  <c r="K680" i="3"/>
  <c r="J680" i="3"/>
  <c r="L680" i="3" s="1"/>
  <c r="K679" i="3"/>
  <c r="J679" i="3"/>
  <c r="L679" i="3" s="1"/>
  <c r="K678" i="3"/>
  <c r="J678" i="3"/>
  <c r="L678" i="3" s="1"/>
  <c r="K677" i="3"/>
  <c r="J677" i="3"/>
  <c r="K676" i="3"/>
  <c r="J676" i="3"/>
  <c r="L676" i="3" s="1"/>
  <c r="K675" i="3"/>
  <c r="L675" i="3" s="1"/>
  <c r="J675" i="3"/>
  <c r="K674" i="3"/>
  <c r="J674" i="3"/>
  <c r="L674" i="3" s="1"/>
  <c r="K673" i="3"/>
  <c r="J673" i="3"/>
  <c r="K672" i="3"/>
  <c r="L672" i="3" s="1"/>
  <c r="J672" i="3"/>
  <c r="K671" i="3"/>
  <c r="J671" i="3"/>
  <c r="L671" i="3" s="1"/>
  <c r="K670" i="3"/>
  <c r="J670" i="3"/>
  <c r="L670" i="3" s="1"/>
  <c r="K669" i="3"/>
  <c r="L669" i="3" s="1"/>
  <c r="J669" i="3"/>
  <c r="K668" i="3"/>
  <c r="J668" i="3"/>
  <c r="K667" i="3"/>
  <c r="L667" i="3" s="1"/>
  <c r="J667" i="3"/>
  <c r="K666" i="3"/>
  <c r="L666" i="3" s="1"/>
  <c r="J666" i="3"/>
  <c r="K665" i="3"/>
  <c r="J665" i="3"/>
  <c r="L665" i="3" s="1"/>
  <c r="K664" i="3"/>
  <c r="L664" i="3" s="1"/>
  <c r="J664" i="3"/>
  <c r="K663" i="3"/>
  <c r="J663" i="3"/>
  <c r="K662" i="3"/>
  <c r="J662" i="3"/>
  <c r="L662" i="3" s="1"/>
  <c r="K661" i="3"/>
  <c r="J661" i="3"/>
  <c r="K660" i="3"/>
  <c r="J660" i="3"/>
  <c r="K659" i="3"/>
  <c r="L659" i="3" s="1"/>
  <c r="J659" i="3"/>
  <c r="K658" i="3"/>
  <c r="J658" i="3"/>
  <c r="L658" i="3" s="1"/>
  <c r="K657" i="3"/>
  <c r="J657" i="3"/>
  <c r="K656" i="3"/>
  <c r="J656" i="3"/>
  <c r="L656" i="3" s="1"/>
  <c r="K655" i="3"/>
  <c r="J655" i="3"/>
  <c r="L655" i="3" s="1"/>
  <c r="K654" i="3"/>
  <c r="J654" i="3"/>
  <c r="K653" i="3"/>
  <c r="J653" i="3"/>
  <c r="K652" i="3"/>
  <c r="J652" i="3"/>
  <c r="L652" i="3" s="1"/>
  <c r="K651" i="3"/>
  <c r="J651" i="3"/>
  <c r="K650" i="3"/>
  <c r="J650" i="3"/>
  <c r="L650" i="3" s="1"/>
  <c r="K649" i="3"/>
  <c r="J649" i="3"/>
  <c r="L648" i="3"/>
  <c r="K648" i="3"/>
  <c r="J648" i="3"/>
  <c r="K647" i="3"/>
  <c r="J647" i="3"/>
  <c r="L647" i="3" s="1"/>
  <c r="K646" i="3"/>
  <c r="J646" i="3"/>
  <c r="L646" i="3" s="1"/>
  <c r="K645" i="3"/>
  <c r="L645" i="3" s="1"/>
  <c r="J645" i="3"/>
  <c r="K644" i="3"/>
  <c r="J644" i="3"/>
  <c r="L644" i="3" s="1"/>
  <c r="K643" i="3"/>
  <c r="J643" i="3"/>
  <c r="K642" i="3"/>
  <c r="J642" i="3"/>
  <c r="L642" i="3" s="1"/>
  <c r="K641" i="3"/>
  <c r="J641" i="3"/>
  <c r="L641" i="3" s="1"/>
  <c r="L640" i="3"/>
  <c r="K640" i="3"/>
  <c r="J640" i="3"/>
  <c r="K639" i="3"/>
  <c r="J639" i="3"/>
  <c r="L639" i="3" s="1"/>
  <c r="K638" i="3"/>
  <c r="J638" i="3"/>
  <c r="L638" i="3" s="1"/>
  <c r="K637" i="3"/>
  <c r="L637" i="3" s="1"/>
  <c r="J637" i="3"/>
  <c r="K636" i="3"/>
  <c r="J636" i="3"/>
  <c r="K635" i="3"/>
  <c r="L635" i="3" s="1"/>
  <c r="J635" i="3"/>
  <c r="K634" i="3"/>
  <c r="J634" i="3"/>
  <c r="K633" i="3"/>
  <c r="J633" i="3"/>
  <c r="L633" i="3" s="1"/>
  <c r="L632" i="3"/>
  <c r="K632" i="3"/>
  <c r="J632" i="3"/>
  <c r="K631" i="3"/>
  <c r="J631" i="3"/>
  <c r="K630" i="3"/>
  <c r="J630" i="3"/>
  <c r="K629" i="3"/>
  <c r="J629" i="3"/>
  <c r="K628" i="3"/>
  <c r="J628" i="3"/>
  <c r="L628" i="3" s="1"/>
  <c r="K627" i="3"/>
  <c r="L627" i="3" s="1"/>
  <c r="J627" i="3"/>
  <c r="K626" i="3"/>
  <c r="L626" i="3" s="1"/>
  <c r="J626" i="3"/>
  <c r="K625" i="3"/>
  <c r="J625" i="3"/>
  <c r="L624" i="3"/>
  <c r="K624" i="3"/>
  <c r="J624" i="3"/>
  <c r="K623" i="3"/>
  <c r="J623" i="3"/>
  <c r="K622" i="3"/>
  <c r="J622" i="3"/>
  <c r="L622" i="3" s="1"/>
  <c r="K621" i="3"/>
  <c r="J621" i="3"/>
  <c r="K620" i="3"/>
  <c r="J620" i="3"/>
  <c r="L620" i="3" s="1"/>
  <c r="K619" i="3"/>
  <c r="J619" i="3"/>
  <c r="L618" i="3"/>
  <c r="K618" i="3"/>
  <c r="J618" i="3"/>
  <c r="K617" i="3"/>
  <c r="J617" i="3"/>
  <c r="L616" i="3"/>
  <c r="K616" i="3"/>
  <c r="J616" i="3"/>
  <c r="K615" i="3"/>
  <c r="J615" i="3"/>
  <c r="L615" i="3" s="1"/>
  <c r="K614" i="3"/>
  <c r="J614" i="3"/>
  <c r="K613" i="3"/>
  <c r="J613" i="3"/>
  <c r="K612" i="3"/>
  <c r="J612" i="3"/>
  <c r="L612" i="3" s="1"/>
  <c r="K611" i="3"/>
  <c r="J611" i="3"/>
  <c r="K610" i="3"/>
  <c r="J610" i="3"/>
  <c r="L610" i="3" s="1"/>
  <c r="K609" i="3"/>
  <c r="J609" i="3"/>
  <c r="L609" i="3" s="1"/>
  <c r="K608" i="3"/>
  <c r="J608" i="3"/>
  <c r="L608" i="3" s="1"/>
  <c r="K607" i="3"/>
  <c r="J607" i="3"/>
  <c r="L607" i="3" s="1"/>
  <c r="K606" i="3"/>
  <c r="J606" i="3"/>
  <c r="K605" i="3"/>
  <c r="J605" i="3"/>
  <c r="K604" i="3"/>
  <c r="J604" i="3"/>
  <c r="K603" i="3"/>
  <c r="J603" i="3"/>
  <c r="L602" i="3"/>
  <c r="K602" i="3"/>
  <c r="J602" i="3"/>
  <c r="K601" i="3"/>
  <c r="J601" i="3"/>
  <c r="L601" i="3" s="1"/>
  <c r="K600" i="3"/>
  <c r="J600" i="3"/>
  <c r="L600" i="3" s="1"/>
  <c r="K599" i="3"/>
  <c r="J599" i="3"/>
  <c r="L599" i="3" s="1"/>
  <c r="K598" i="3"/>
  <c r="J598" i="3"/>
  <c r="L598" i="3" s="1"/>
  <c r="K597" i="3"/>
  <c r="L597" i="3" s="1"/>
  <c r="J597" i="3"/>
  <c r="K596" i="3"/>
  <c r="J596" i="3"/>
  <c r="K595" i="3"/>
  <c r="J595" i="3"/>
  <c r="K594" i="3"/>
  <c r="J594" i="3"/>
  <c r="L594" i="3" s="1"/>
  <c r="K593" i="3"/>
  <c r="J593" i="3"/>
  <c r="K592" i="3"/>
  <c r="L592" i="3" s="1"/>
  <c r="J592" i="3"/>
  <c r="K591" i="3"/>
  <c r="J591" i="3"/>
  <c r="K590" i="3"/>
  <c r="J590" i="3"/>
  <c r="L590" i="3" s="1"/>
  <c r="K589" i="3"/>
  <c r="L589" i="3" s="1"/>
  <c r="J589" i="3"/>
  <c r="K588" i="3"/>
  <c r="J588" i="3"/>
  <c r="L588" i="3" s="1"/>
  <c r="K587" i="3"/>
  <c r="L587" i="3" s="1"/>
  <c r="J587" i="3"/>
  <c r="K586" i="3"/>
  <c r="J586" i="3"/>
  <c r="K585" i="3"/>
  <c r="J585" i="3"/>
  <c r="L584" i="3"/>
  <c r="K584" i="3"/>
  <c r="J584" i="3"/>
  <c r="K583" i="3"/>
  <c r="J583" i="3"/>
  <c r="K582" i="3"/>
  <c r="J582" i="3"/>
  <c r="K581" i="3"/>
  <c r="J581" i="3"/>
  <c r="K580" i="3"/>
  <c r="J580" i="3"/>
  <c r="K579" i="3"/>
  <c r="J579" i="3"/>
  <c r="K578" i="3"/>
  <c r="L578" i="3" s="1"/>
  <c r="J578" i="3"/>
  <c r="K577" i="3"/>
  <c r="J577" i="3"/>
  <c r="L576" i="3"/>
  <c r="K576" i="3"/>
  <c r="J576" i="3"/>
  <c r="K575" i="3"/>
  <c r="J575" i="3"/>
  <c r="L575" i="3" s="1"/>
  <c r="K574" i="3"/>
  <c r="J574" i="3"/>
  <c r="K573" i="3"/>
  <c r="L573" i="3" s="1"/>
  <c r="J573" i="3"/>
  <c r="K572" i="3"/>
  <c r="J572" i="3"/>
  <c r="L572" i="3" s="1"/>
  <c r="K571" i="3"/>
  <c r="L571" i="3" s="1"/>
  <c r="J571" i="3"/>
  <c r="K570" i="3"/>
  <c r="J570" i="3"/>
  <c r="L570" i="3" s="1"/>
  <c r="K569" i="3"/>
  <c r="J569" i="3"/>
  <c r="K568" i="3"/>
  <c r="J568" i="3"/>
  <c r="L568" i="3" s="1"/>
  <c r="K567" i="3"/>
  <c r="J567" i="3"/>
  <c r="K566" i="3"/>
  <c r="J566" i="3"/>
  <c r="L566" i="3" s="1"/>
  <c r="K565" i="3"/>
  <c r="L565" i="3" s="1"/>
  <c r="J565" i="3"/>
  <c r="K564" i="3"/>
  <c r="J564" i="3"/>
  <c r="K563" i="3"/>
  <c r="J563" i="3"/>
  <c r="K562" i="3"/>
  <c r="J562" i="3"/>
  <c r="L562" i="3" s="1"/>
  <c r="K561" i="3"/>
  <c r="J561" i="3"/>
  <c r="L561" i="3" s="1"/>
  <c r="K560" i="3"/>
  <c r="J560" i="3"/>
  <c r="K559" i="3"/>
  <c r="J559" i="3"/>
  <c r="K558" i="3"/>
  <c r="J558" i="3"/>
  <c r="K557" i="3"/>
  <c r="L557" i="3" s="1"/>
  <c r="J557" i="3"/>
  <c r="K556" i="3"/>
  <c r="J556" i="3"/>
  <c r="L556" i="3" s="1"/>
  <c r="K555" i="3"/>
  <c r="J555" i="3"/>
  <c r="K554" i="3"/>
  <c r="J554" i="3"/>
  <c r="L554" i="3" s="1"/>
  <c r="K553" i="3"/>
  <c r="J553" i="3"/>
  <c r="K552" i="3"/>
  <c r="J552" i="3"/>
  <c r="L552" i="3" s="1"/>
  <c r="K551" i="3"/>
  <c r="J551" i="3"/>
  <c r="L551" i="3" s="1"/>
  <c r="K550" i="3"/>
  <c r="J550" i="3"/>
  <c r="K549" i="3"/>
  <c r="L549" i="3" s="1"/>
  <c r="J549" i="3"/>
  <c r="K548" i="3"/>
  <c r="J548" i="3"/>
  <c r="K547" i="3"/>
  <c r="L547" i="3" s="1"/>
  <c r="J547" i="3"/>
  <c r="L546" i="3"/>
  <c r="K546" i="3"/>
  <c r="J546" i="3"/>
  <c r="K545" i="3"/>
  <c r="J545" i="3"/>
  <c r="L545" i="3" s="1"/>
  <c r="K544" i="3"/>
  <c r="J544" i="3"/>
  <c r="L544" i="3" s="1"/>
  <c r="K543" i="3"/>
  <c r="J543" i="3"/>
  <c r="L543" i="3" s="1"/>
  <c r="K542" i="3"/>
  <c r="J542" i="3"/>
  <c r="K541" i="3"/>
  <c r="J541" i="3"/>
  <c r="K540" i="3"/>
  <c r="J540" i="3"/>
  <c r="L540" i="3" s="1"/>
  <c r="K539" i="3"/>
  <c r="J539" i="3"/>
  <c r="L538" i="3"/>
  <c r="K538" i="3"/>
  <c r="J538" i="3"/>
  <c r="K537" i="3"/>
  <c r="J537" i="3"/>
  <c r="K536" i="3"/>
  <c r="J536" i="3"/>
  <c r="L536" i="3" s="1"/>
  <c r="K535" i="3"/>
  <c r="J535" i="3"/>
  <c r="L535" i="3" s="1"/>
  <c r="K534" i="3"/>
  <c r="J534" i="3"/>
  <c r="K533" i="3"/>
  <c r="J533" i="3"/>
  <c r="K532" i="3"/>
  <c r="J532" i="3"/>
  <c r="L532" i="3" s="1"/>
  <c r="K531" i="3"/>
  <c r="L531" i="3" s="1"/>
  <c r="J531" i="3"/>
  <c r="K530" i="3"/>
  <c r="J530" i="3"/>
  <c r="L530" i="3" s="1"/>
  <c r="K529" i="3"/>
  <c r="J529" i="3"/>
  <c r="K528" i="3"/>
  <c r="J528" i="3"/>
  <c r="K527" i="3"/>
  <c r="J527" i="3"/>
  <c r="K526" i="3"/>
  <c r="J526" i="3"/>
  <c r="L526" i="3" s="1"/>
  <c r="K525" i="3"/>
  <c r="J525" i="3"/>
  <c r="K524" i="3"/>
  <c r="J524" i="3"/>
  <c r="K523" i="3"/>
  <c r="J523" i="3"/>
  <c r="K522" i="3"/>
  <c r="L522" i="3" s="1"/>
  <c r="J522" i="3"/>
  <c r="K521" i="3"/>
  <c r="J521" i="3"/>
  <c r="K520" i="3"/>
  <c r="J520" i="3"/>
  <c r="L520" i="3" s="1"/>
  <c r="K519" i="3"/>
  <c r="J519" i="3"/>
  <c r="K518" i="3"/>
  <c r="J518" i="3"/>
  <c r="L518" i="3" s="1"/>
  <c r="K517" i="3"/>
  <c r="J517" i="3"/>
  <c r="K516" i="3"/>
  <c r="J516" i="3"/>
  <c r="K515" i="3"/>
  <c r="J515" i="3"/>
  <c r="L514" i="3"/>
  <c r="K514" i="3"/>
  <c r="J514" i="3"/>
  <c r="K513" i="3"/>
  <c r="J513" i="3"/>
  <c r="L513" i="3" s="1"/>
  <c r="K512" i="3"/>
  <c r="J512" i="3"/>
  <c r="L512" i="3" s="1"/>
  <c r="K511" i="3"/>
  <c r="J511" i="3"/>
  <c r="L511" i="3" s="1"/>
  <c r="K510" i="3"/>
  <c r="J510" i="3"/>
  <c r="K509" i="3"/>
  <c r="L509" i="3" s="1"/>
  <c r="J509" i="3"/>
  <c r="K508" i="3"/>
  <c r="J508" i="3"/>
  <c r="K507" i="3"/>
  <c r="J507" i="3"/>
  <c r="L507" i="3" s="1"/>
  <c r="K506" i="3"/>
  <c r="J506" i="3"/>
  <c r="L506" i="3" s="1"/>
  <c r="K505" i="3"/>
  <c r="J505" i="3"/>
  <c r="L505" i="3" s="1"/>
  <c r="K504" i="3"/>
  <c r="J504" i="3"/>
  <c r="K503" i="3"/>
  <c r="J503" i="3"/>
  <c r="K502" i="3"/>
  <c r="J502" i="3"/>
  <c r="K501" i="3"/>
  <c r="J501" i="3"/>
  <c r="K500" i="3"/>
  <c r="J500" i="3"/>
  <c r="K499" i="3"/>
  <c r="L499" i="3" s="1"/>
  <c r="J499" i="3"/>
  <c r="K498" i="3"/>
  <c r="J498" i="3"/>
  <c r="L498" i="3" s="1"/>
  <c r="K497" i="3"/>
  <c r="J497" i="3"/>
  <c r="K496" i="3"/>
  <c r="J496" i="3"/>
  <c r="L496" i="3" s="1"/>
  <c r="K495" i="3"/>
  <c r="J495" i="3"/>
  <c r="L495" i="3" s="1"/>
  <c r="K494" i="3"/>
  <c r="J494" i="3"/>
  <c r="K493" i="3"/>
  <c r="L493" i="3" s="1"/>
  <c r="J493" i="3"/>
  <c r="K492" i="3"/>
  <c r="J492" i="3"/>
  <c r="K491" i="3"/>
  <c r="L491" i="3" s="1"/>
  <c r="J491" i="3"/>
  <c r="K490" i="3"/>
  <c r="J490" i="3"/>
  <c r="L490" i="3" s="1"/>
  <c r="K489" i="3"/>
  <c r="J489" i="3"/>
  <c r="K488" i="3"/>
  <c r="L488" i="3" s="1"/>
  <c r="J488" i="3"/>
  <c r="K487" i="3"/>
  <c r="J487" i="3"/>
  <c r="L487" i="3" s="1"/>
  <c r="K486" i="3"/>
  <c r="J486" i="3"/>
  <c r="L486" i="3" s="1"/>
  <c r="K485" i="3"/>
  <c r="L485" i="3" s="1"/>
  <c r="J485" i="3"/>
  <c r="K484" i="3"/>
  <c r="J484" i="3"/>
  <c r="K483" i="3"/>
  <c r="L483" i="3" s="1"/>
  <c r="J483" i="3"/>
  <c r="L482" i="3"/>
  <c r="K482" i="3"/>
  <c r="J482" i="3"/>
  <c r="K481" i="3"/>
  <c r="J481" i="3"/>
  <c r="L481" i="3" s="1"/>
  <c r="L480" i="3"/>
  <c r="K480" i="3"/>
  <c r="J480" i="3"/>
  <c r="K479" i="3"/>
  <c r="J479" i="3"/>
  <c r="K478" i="3"/>
  <c r="J478" i="3"/>
  <c r="K477" i="3"/>
  <c r="J477" i="3"/>
  <c r="K476" i="3"/>
  <c r="J476" i="3"/>
  <c r="L475" i="3"/>
  <c r="K475" i="3"/>
  <c r="J475" i="3"/>
  <c r="K474" i="3"/>
  <c r="L474" i="3" s="1"/>
  <c r="J474" i="3"/>
  <c r="K473" i="3"/>
  <c r="J473" i="3"/>
  <c r="L473" i="3" s="1"/>
  <c r="K472" i="3"/>
  <c r="J472" i="3"/>
  <c r="L472" i="3" s="1"/>
  <c r="K471" i="3"/>
  <c r="J471" i="3"/>
  <c r="L471" i="3" s="1"/>
  <c r="K470" i="3"/>
  <c r="J470" i="3"/>
  <c r="L470" i="3" s="1"/>
  <c r="K469" i="3"/>
  <c r="J469" i="3"/>
  <c r="K468" i="3"/>
  <c r="J468" i="3"/>
  <c r="L468" i="3" s="1"/>
  <c r="K467" i="3"/>
  <c r="J467" i="3"/>
  <c r="L466" i="3"/>
  <c r="K466" i="3"/>
  <c r="J466" i="3"/>
  <c r="K465" i="3"/>
  <c r="J465" i="3"/>
  <c r="L465" i="3" s="1"/>
  <c r="K464" i="3"/>
  <c r="J464" i="3"/>
  <c r="L464" i="3" s="1"/>
  <c r="K463" i="3"/>
  <c r="J463" i="3"/>
  <c r="L463" i="3" s="1"/>
  <c r="K462" i="3"/>
  <c r="J462" i="3"/>
  <c r="L461" i="3"/>
  <c r="K461" i="3"/>
  <c r="J461" i="3"/>
  <c r="K460" i="3"/>
  <c r="J460" i="3"/>
  <c r="L460" i="3" s="1"/>
  <c r="K459" i="3"/>
  <c r="J459" i="3"/>
  <c r="L459" i="3" s="1"/>
  <c r="L458" i="3"/>
  <c r="K458" i="3"/>
  <c r="J458" i="3"/>
  <c r="K457" i="3"/>
  <c r="J457" i="3"/>
  <c r="L457" i="3" s="1"/>
  <c r="K456" i="3"/>
  <c r="J456" i="3"/>
  <c r="L456" i="3" s="1"/>
  <c r="K455" i="3"/>
  <c r="J455" i="3"/>
  <c r="L455" i="3" s="1"/>
  <c r="K454" i="3"/>
  <c r="J454" i="3"/>
  <c r="L454" i="3" s="1"/>
  <c r="K453" i="3"/>
  <c r="L453" i="3" s="1"/>
  <c r="J453" i="3"/>
  <c r="K452" i="3"/>
  <c r="J452" i="3"/>
  <c r="K451" i="3"/>
  <c r="J451" i="3"/>
  <c r="K450" i="3"/>
  <c r="J450" i="3"/>
  <c r="L450" i="3" s="1"/>
  <c r="K449" i="3"/>
  <c r="J449" i="3"/>
  <c r="L449" i="3" s="1"/>
  <c r="K448" i="3"/>
  <c r="J448" i="3"/>
  <c r="K447" i="3"/>
  <c r="J447" i="3"/>
  <c r="K446" i="3"/>
  <c r="J446" i="3"/>
  <c r="K445" i="3"/>
  <c r="J445" i="3"/>
  <c r="L445" i="3" s="1"/>
  <c r="K444" i="3"/>
  <c r="J444" i="3"/>
  <c r="L444" i="3" s="1"/>
  <c r="K443" i="3"/>
  <c r="J443" i="3"/>
  <c r="L443" i="3" s="1"/>
  <c r="L442" i="3"/>
  <c r="K442" i="3"/>
  <c r="J442" i="3"/>
  <c r="K441" i="3"/>
  <c r="J441" i="3"/>
  <c r="L441" i="3" s="1"/>
  <c r="K440" i="3"/>
  <c r="L440" i="3" s="1"/>
  <c r="J440" i="3"/>
  <c r="K439" i="3"/>
  <c r="J439" i="3"/>
  <c r="K438" i="3"/>
  <c r="J438" i="3"/>
  <c r="L438" i="3" s="1"/>
  <c r="K437" i="3"/>
  <c r="L437" i="3" s="1"/>
  <c r="J437" i="3"/>
  <c r="K436" i="3"/>
  <c r="J436" i="3"/>
  <c r="K435" i="3"/>
  <c r="J435" i="3"/>
  <c r="L435" i="3" s="1"/>
  <c r="L434" i="3"/>
  <c r="K434" i="3"/>
  <c r="J434" i="3"/>
  <c r="K433" i="3"/>
  <c r="L433" i="3" s="1"/>
  <c r="J433" i="3"/>
  <c r="K432" i="3"/>
  <c r="J432" i="3"/>
  <c r="L432" i="3" s="1"/>
  <c r="K431" i="3"/>
  <c r="J431" i="3"/>
  <c r="L431" i="3" s="1"/>
  <c r="K430" i="3"/>
  <c r="J430" i="3"/>
  <c r="K429" i="3"/>
  <c r="J429" i="3"/>
  <c r="K428" i="3"/>
  <c r="L428" i="3" s="1"/>
  <c r="J428" i="3"/>
  <c r="K427" i="3"/>
  <c r="J427" i="3"/>
  <c r="L427" i="3" s="1"/>
  <c r="K426" i="3"/>
  <c r="J426" i="3"/>
  <c r="L426" i="3" s="1"/>
  <c r="K425" i="3"/>
  <c r="L425" i="3" s="1"/>
  <c r="J425" i="3"/>
  <c r="K424" i="3"/>
  <c r="J424" i="3"/>
  <c r="L423" i="3"/>
  <c r="K423" i="3"/>
  <c r="J423" i="3"/>
  <c r="K422" i="3"/>
  <c r="J422" i="3"/>
  <c r="L422" i="3" s="1"/>
  <c r="K421" i="3"/>
  <c r="L421" i="3" s="1"/>
  <c r="J421" i="3"/>
  <c r="K420" i="3"/>
  <c r="L420" i="3" s="1"/>
  <c r="J420" i="3"/>
  <c r="K419" i="3"/>
  <c r="J419" i="3"/>
  <c r="K418" i="3"/>
  <c r="J418" i="3"/>
  <c r="L418" i="3" s="1"/>
  <c r="K417" i="3"/>
  <c r="L417" i="3" s="1"/>
  <c r="J417" i="3"/>
  <c r="K416" i="3"/>
  <c r="J416" i="3"/>
  <c r="L416" i="3" s="1"/>
  <c r="K415" i="3"/>
  <c r="J415" i="3"/>
  <c r="K414" i="3"/>
  <c r="J414" i="3"/>
  <c r="K413" i="3"/>
  <c r="J413" i="3"/>
  <c r="K412" i="3"/>
  <c r="J412" i="3"/>
  <c r="K411" i="3"/>
  <c r="J411" i="3"/>
  <c r="L410" i="3"/>
  <c r="K410" i="3"/>
  <c r="J410" i="3"/>
  <c r="K409" i="3"/>
  <c r="J409" i="3"/>
  <c r="K408" i="3"/>
  <c r="J408" i="3"/>
  <c r="L407" i="3"/>
  <c r="K407" i="3"/>
  <c r="J407" i="3"/>
  <c r="K406" i="3"/>
  <c r="J406" i="3"/>
  <c r="K405" i="3"/>
  <c r="L405" i="3" s="1"/>
  <c r="J405" i="3"/>
  <c r="K404" i="3"/>
  <c r="L404" i="3" s="1"/>
  <c r="J404" i="3"/>
  <c r="K403" i="3"/>
  <c r="J403" i="3"/>
  <c r="L403" i="3" s="1"/>
  <c r="L402" i="3"/>
  <c r="K402" i="3"/>
  <c r="J402" i="3"/>
  <c r="K401" i="3"/>
  <c r="J401" i="3"/>
  <c r="K400" i="3"/>
  <c r="J400" i="3"/>
  <c r="L400" i="3" s="1"/>
  <c r="K399" i="3"/>
  <c r="J399" i="3"/>
  <c r="L399" i="3" s="1"/>
  <c r="K398" i="3"/>
  <c r="J398" i="3"/>
  <c r="K397" i="3"/>
  <c r="L397" i="3" s="1"/>
  <c r="J397" i="3"/>
  <c r="K396" i="3"/>
  <c r="L396" i="3" s="1"/>
  <c r="J396" i="3"/>
  <c r="K395" i="3"/>
  <c r="J395" i="3"/>
  <c r="K394" i="3"/>
  <c r="J394" i="3"/>
  <c r="L394" i="3" s="1"/>
  <c r="K393" i="3"/>
  <c r="L393" i="3" s="1"/>
  <c r="J393" i="3"/>
  <c r="K392" i="3"/>
  <c r="J392" i="3"/>
  <c r="L392" i="3" s="1"/>
  <c r="K391" i="3"/>
  <c r="J391" i="3"/>
  <c r="L391" i="3" s="1"/>
  <c r="K390" i="3"/>
  <c r="J390" i="3"/>
  <c r="K389" i="3"/>
  <c r="L389" i="3" s="1"/>
  <c r="J389" i="3"/>
  <c r="K388" i="3"/>
  <c r="J388" i="3"/>
  <c r="K387" i="3"/>
  <c r="J387" i="3"/>
  <c r="L386" i="3"/>
  <c r="K386" i="3"/>
  <c r="J386" i="3"/>
  <c r="K385" i="3"/>
  <c r="J385" i="3"/>
  <c r="K384" i="3"/>
  <c r="J384" i="3"/>
  <c r="K383" i="3"/>
  <c r="J383" i="3"/>
  <c r="K382" i="3"/>
  <c r="J382" i="3"/>
  <c r="L382" i="3" s="1"/>
  <c r="K381" i="3"/>
  <c r="J381" i="3"/>
  <c r="K380" i="3"/>
  <c r="J380" i="3"/>
  <c r="K379" i="3"/>
  <c r="J379" i="3"/>
  <c r="K378" i="3"/>
  <c r="L378" i="3" s="1"/>
  <c r="J378" i="3"/>
  <c r="K377" i="3"/>
  <c r="L377" i="3" s="1"/>
  <c r="J377" i="3"/>
  <c r="K376" i="3"/>
  <c r="J376" i="3"/>
  <c r="L376" i="3" s="1"/>
  <c r="K375" i="3"/>
  <c r="L375" i="3" s="1"/>
  <c r="J375" i="3"/>
  <c r="K374" i="3"/>
  <c r="J374" i="3"/>
  <c r="K373" i="3"/>
  <c r="J373" i="3"/>
  <c r="K372" i="3"/>
  <c r="J372" i="3"/>
  <c r="K371" i="3"/>
  <c r="J371" i="3"/>
  <c r="L371" i="3" s="1"/>
  <c r="K370" i="3"/>
  <c r="J370" i="3"/>
  <c r="L370" i="3" s="1"/>
  <c r="K369" i="3"/>
  <c r="J369" i="3"/>
  <c r="K368" i="3"/>
  <c r="J368" i="3"/>
  <c r="K367" i="3"/>
  <c r="J367" i="3"/>
  <c r="L367" i="3" s="1"/>
  <c r="K366" i="3"/>
  <c r="J366" i="3"/>
  <c r="K365" i="3"/>
  <c r="L365" i="3" s="1"/>
  <c r="J365" i="3"/>
  <c r="K364" i="3"/>
  <c r="J364" i="3"/>
  <c r="K363" i="3"/>
  <c r="J363" i="3"/>
  <c r="L363" i="3" s="1"/>
  <c r="K362" i="3"/>
  <c r="J362" i="3"/>
  <c r="L362" i="3" s="1"/>
  <c r="K361" i="3"/>
  <c r="J361" i="3"/>
  <c r="K360" i="3"/>
  <c r="J360" i="3"/>
  <c r="L360" i="3" s="1"/>
  <c r="K359" i="3"/>
  <c r="L359" i="3" s="1"/>
  <c r="J359" i="3"/>
  <c r="K358" i="3"/>
  <c r="J358" i="3"/>
  <c r="K357" i="3"/>
  <c r="L357" i="3" s="1"/>
  <c r="J357" i="3"/>
  <c r="K356" i="3"/>
  <c r="L356" i="3" s="1"/>
  <c r="J356" i="3"/>
  <c r="K355" i="3"/>
  <c r="J355" i="3"/>
  <c r="L355" i="3" s="1"/>
  <c r="K354" i="3"/>
  <c r="L354" i="3" s="1"/>
  <c r="J354" i="3"/>
  <c r="K353" i="3"/>
  <c r="J353" i="3"/>
  <c r="K352" i="3"/>
  <c r="J352" i="3"/>
  <c r="L352" i="3" s="1"/>
  <c r="K351" i="3"/>
  <c r="J351" i="3"/>
  <c r="L351" i="3" s="1"/>
  <c r="K350" i="3"/>
  <c r="J350" i="3"/>
  <c r="L350" i="3" s="1"/>
  <c r="K349" i="3"/>
  <c r="L349" i="3" s="1"/>
  <c r="J349" i="3"/>
  <c r="K348" i="3"/>
  <c r="L348" i="3" s="1"/>
  <c r="J348" i="3"/>
  <c r="K347" i="3"/>
  <c r="J347" i="3"/>
  <c r="K346" i="3"/>
  <c r="J346" i="3"/>
  <c r="L346" i="3" s="1"/>
  <c r="K345" i="3"/>
  <c r="J345" i="3"/>
  <c r="K344" i="3"/>
  <c r="J344" i="3"/>
  <c r="L344" i="3" s="1"/>
  <c r="L343" i="3"/>
  <c r="K343" i="3"/>
  <c r="J343" i="3"/>
  <c r="K342" i="3"/>
  <c r="J342" i="3"/>
  <c r="L342" i="3" s="1"/>
  <c r="K341" i="3"/>
  <c r="J341" i="3"/>
  <c r="K340" i="3"/>
  <c r="L340" i="3" s="1"/>
  <c r="J340" i="3"/>
  <c r="K339" i="3"/>
  <c r="J339" i="3"/>
  <c r="L338" i="3"/>
  <c r="K338" i="3"/>
  <c r="J338" i="3"/>
  <c r="K337" i="3"/>
  <c r="J337" i="3"/>
  <c r="K336" i="3"/>
  <c r="J336" i="3"/>
  <c r="L336" i="3" s="1"/>
  <c r="K335" i="3"/>
  <c r="J335" i="3"/>
  <c r="L335" i="3" s="1"/>
  <c r="K334" i="3"/>
  <c r="J334" i="3"/>
  <c r="L334" i="3" s="1"/>
  <c r="K333" i="3"/>
  <c r="J333" i="3"/>
  <c r="K332" i="3"/>
  <c r="J332" i="3"/>
  <c r="K331" i="3"/>
  <c r="J331" i="3"/>
  <c r="L331" i="3" s="1"/>
  <c r="L330" i="3"/>
  <c r="K330" i="3"/>
  <c r="J330" i="3"/>
  <c r="K329" i="3"/>
  <c r="J329" i="3"/>
  <c r="K328" i="3"/>
  <c r="J328" i="3"/>
  <c r="L328" i="3" s="1"/>
  <c r="L327" i="3"/>
  <c r="K327" i="3"/>
  <c r="J327" i="3"/>
  <c r="K326" i="3"/>
  <c r="J326" i="3"/>
  <c r="L326" i="3" s="1"/>
  <c r="K325" i="3"/>
  <c r="J325" i="3"/>
  <c r="K324" i="3"/>
  <c r="J324" i="3"/>
  <c r="K323" i="3"/>
  <c r="J323" i="3"/>
  <c r="L323" i="3" s="1"/>
  <c r="K322" i="3"/>
  <c r="L322" i="3" s="1"/>
  <c r="J322" i="3"/>
  <c r="K321" i="3"/>
  <c r="L321" i="3" s="1"/>
  <c r="J321" i="3"/>
  <c r="K320" i="3"/>
  <c r="J320" i="3"/>
  <c r="L320" i="3" s="1"/>
  <c r="K319" i="3"/>
  <c r="J319" i="3"/>
  <c r="K318" i="3"/>
  <c r="J318" i="3"/>
  <c r="K317" i="3"/>
  <c r="J317" i="3"/>
  <c r="K316" i="3"/>
  <c r="J316" i="3"/>
  <c r="K315" i="3"/>
  <c r="J315" i="3"/>
  <c r="K314" i="3"/>
  <c r="J314" i="3"/>
  <c r="L314" i="3" s="1"/>
  <c r="K313" i="3"/>
  <c r="J313" i="3"/>
  <c r="K312" i="3"/>
  <c r="J312" i="3"/>
  <c r="K311" i="3"/>
  <c r="J311" i="3"/>
  <c r="L311" i="3" s="1"/>
  <c r="K310" i="3"/>
  <c r="J310" i="3"/>
  <c r="L310" i="3" s="1"/>
  <c r="K309" i="3"/>
  <c r="L309" i="3" s="1"/>
  <c r="J309" i="3"/>
  <c r="K308" i="3"/>
  <c r="J308" i="3"/>
  <c r="K307" i="3"/>
  <c r="J307" i="3"/>
  <c r="L307" i="3" s="1"/>
  <c r="K306" i="3"/>
  <c r="J306" i="3"/>
  <c r="L306" i="3" s="1"/>
  <c r="K305" i="3"/>
  <c r="J305" i="3"/>
  <c r="L305" i="3" s="1"/>
  <c r="K304" i="3"/>
  <c r="J304" i="3"/>
  <c r="L304" i="3" s="1"/>
  <c r="L303" i="3"/>
  <c r="K303" i="3"/>
  <c r="J303" i="3"/>
  <c r="K302" i="3"/>
  <c r="J302" i="3"/>
  <c r="L302" i="3" s="1"/>
  <c r="K301" i="3"/>
  <c r="J301" i="3"/>
  <c r="K300" i="3"/>
  <c r="J300" i="3"/>
  <c r="K299" i="3"/>
  <c r="J299" i="3"/>
  <c r="L299" i="3" s="1"/>
  <c r="L298" i="3"/>
  <c r="K298" i="3"/>
  <c r="J298" i="3"/>
  <c r="K297" i="3"/>
  <c r="L297" i="3" s="1"/>
  <c r="J297" i="3"/>
  <c r="K296" i="3"/>
  <c r="J296" i="3"/>
  <c r="L296" i="3" s="1"/>
  <c r="K295" i="3"/>
  <c r="J295" i="3"/>
  <c r="L295" i="3" s="1"/>
  <c r="K294" i="3"/>
  <c r="J294" i="3"/>
  <c r="L294" i="3" s="1"/>
  <c r="K293" i="3"/>
  <c r="J293" i="3"/>
  <c r="K292" i="3"/>
  <c r="J292" i="3"/>
  <c r="L292" i="3" s="1"/>
  <c r="K291" i="3"/>
  <c r="J291" i="3"/>
  <c r="K290" i="3"/>
  <c r="J290" i="3"/>
  <c r="L290" i="3" s="1"/>
  <c r="K289" i="3"/>
  <c r="J289" i="3"/>
  <c r="K288" i="3"/>
  <c r="J288" i="3"/>
  <c r="L288" i="3" s="1"/>
  <c r="K287" i="3"/>
  <c r="J287" i="3"/>
  <c r="K286" i="3"/>
  <c r="J286" i="3"/>
  <c r="L286" i="3" s="1"/>
  <c r="K285" i="3"/>
  <c r="J285" i="3"/>
  <c r="K284" i="3"/>
  <c r="J284" i="3"/>
  <c r="L284" i="3" s="1"/>
  <c r="K283" i="3"/>
  <c r="J283" i="3"/>
  <c r="L282" i="3"/>
  <c r="K282" i="3"/>
  <c r="J282" i="3"/>
  <c r="K281" i="3"/>
  <c r="J281" i="3"/>
  <c r="K280" i="3"/>
  <c r="J280" i="3"/>
  <c r="L280" i="3" s="1"/>
  <c r="K279" i="3"/>
  <c r="L279" i="3" s="1"/>
  <c r="J279" i="3"/>
  <c r="K278" i="3"/>
  <c r="J278" i="3"/>
  <c r="L278" i="3" s="1"/>
  <c r="K277" i="3"/>
  <c r="J277" i="3"/>
  <c r="K276" i="3"/>
  <c r="J276" i="3"/>
  <c r="L276" i="3" s="1"/>
  <c r="K275" i="3"/>
  <c r="J275" i="3"/>
  <c r="L275" i="3" s="1"/>
  <c r="K274" i="3"/>
  <c r="J274" i="3"/>
  <c r="L274" i="3" s="1"/>
  <c r="K273" i="3"/>
  <c r="L273" i="3" s="1"/>
  <c r="J273" i="3"/>
  <c r="K272" i="3"/>
  <c r="J272" i="3"/>
  <c r="L272" i="3" s="1"/>
  <c r="K271" i="3"/>
  <c r="J271" i="3"/>
  <c r="L271" i="3" s="1"/>
  <c r="K270" i="3"/>
  <c r="J270" i="3"/>
  <c r="K269" i="3"/>
  <c r="J269" i="3"/>
  <c r="K268" i="3"/>
  <c r="J268" i="3"/>
  <c r="L268" i="3" s="1"/>
  <c r="K267" i="3"/>
  <c r="J267" i="3"/>
  <c r="L267" i="3" s="1"/>
  <c r="K266" i="3"/>
  <c r="J266" i="3"/>
  <c r="L266" i="3" s="1"/>
  <c r="L265" i="3"/>
  <c r="K265" i="3"/>
  <c r="J265" i="3"/>
  <c r="K264" i="3"/>
  <c r="J264" i="3"/>
  <c r="K263" i="3"/>
  <c r="J263" i="3"/>
  <c r="K262" i="3"/>
  <c r="J262" i="3"/>
  <c r="L262" i="3" s="1"/>
  <c r="K261" i="3"/>
  <c r="J261" i="3"/>
  <c r="K260" i="3"/>
  <c r="J260" i="3"/>
  <c r="K259" i="3"/>
  <c r="J259" i="3"/>
  <c r="L259" i="3" s="1"/>
  <c r="K258" i="3"/>
  <c r="J258" i="3"/>
  <c r="L258" i="3" s="1"/>
  <c r="K257" i="3"/>
  <c r="J257" i="3"/>
  <c r="L257" i="3" s="1"/>
  <c r="K256" i="3"/>
  <c r="J256" i="3"/>
  <c r="K255" i="3"/>
  <c r="J255" i="3"/>
  <c r="L255" i="3" s="1"/>
  <c r="K254" i="3"/>
  <c r="J254" i="3"/>
  <c r="L254" i="3" s="1"/>
  <c r="K253" i="3"/>
  <c r="L253" i="3" s="1"/>
  <c r="J253" i="3"/>
  <c r="K252" i="3"/>
  <c r="J252" i="3"/>
  <c r="L252" i="3" s="1"/>
  <c r="K251" i="3"/>
  <c r="J251" i="3"/>
  <c r="K250" i="3"/>
  <c r="L250" i="3" s="1"/>
  <c r="J250" i="3"/>
  <c r="K249" i="3"/>
  <c r="J249" i="3"/>
  <c r="K248" i="3"/>
  <c r="J248" i="3"/>
  <c r="K247" i="3"/>
  <c r="J247" i="3"/>
  <c r="L247" i="3" s="1"/>
  <c r="K246" i="3"/>
  <c r="J246" i="3"/>
  <c r="K245" i="3"/>
  <c r="L245" i="3" s="1"/>
  <c r="J245" i="3"/>
  <c r="K244" i="3"/>
  <c r="J244" i="3"/>
  <c r="K243" i="3"/>
  <c r="J243" i="3"/>
  <c r="L243" i="3" s="1"/>
  <c r="K242" i="3"/>
  <c r="J242" i="3"/>
  <c r="L242" i="3" s="1"/>
  <c r="K241" i="3"/>
  <c r="J241" i="3"/>
  <c r="K240" i="3"/>
  <c r="J240" i="3"/>
  <c r="L240" i="3" s="1"/>
  <c r="K239" i="3"/>
  <c r="J239" i="3"/>
  <c r="L239" i="3" s="1"/>
  <c r="K238" i="3"/>
  <c r="J238" i="3"/>
  <c r="L238" i="3" s="1"/>
  <c r="K237" i="3"/>
  <c r="J237" i="3"/>
  <c r="K236" i="3"/>
  <c r="J236" i="3"/>
  <c r="K235" i="3"/>
  <c r="J235" i="3"/>
  <c r="L235" i="3" s="1"/>
  <c r="K234" i="3"/>
  <c r="J234" i="3"/>
  <c r="L234" i="3" s="1"/>
  <c r="L233" i="3"/>
  <c r="K233" i="3"/>
  <c r="J233" i="3"/>
  <c r="K232" i="3"/>
  <c r="J232" i="3"/>
  <c r="K231" i="3"/>
  <c r="J231" i="3"/>
  <c r="L231" i="3" s="1"/>
  <c r="K230" i="3"/>
  <c r="J230" i="3"/>
  <c r="L230" i="3" s="1"/>
  <c r="K229" i="3"/>
  <c r="J229" i="3"/>
  <c r="K228" i="3"/>
  <c r="J228" i="3"/>
  <c r="L228" i="3" s="1"/>
  <c r="K227" i="3"/>
  <c r="J227" i="3"/>
  <c r="K226" i="3"/>
  <c r="J226" i="3"/>
  <c r="K225" i="3"/>
  <c r="J225" i="3"/>
  <c r="L225" i="3" s="1"/>
  <c r="K224" i="3"/>
  <c r="J224" i="3"/>
  <c r="L224" i="3" s="1"/>
  <c r="K223" i="3"/>
  <c r="J223" i="3"/>
  <c r="L223" i="3" s="1"/>
  <c r="K222" i="3"/>
  <c r="J222" i="3"/>
  <c r="K221" i="3"/>
  <c r="J221" i="3"/>
  <c r="K220" i="3"/>
  <c r="J220" i="3"/>
  <c r="L220" i="3" s="1"/>
  <c r="K219" i="3"/>
  <c r="J219" i="3"/>
  <c r="K218" i="3"/>
  <c r="L218" i="3" s="1"/>
  <c r="J218" i="3"/>
  <c r="L217" i="3"/>
  <c r="K217" i="3"/>
  <c r="J217" i="3"/>
  <c r="K216" i="3"/>
  <c r="J216" i="3"/>
  <c r="L216" i="3" s="1"/>
  <c r="K215" i="3"/>
  <c r="J215" i="3"/>
  <c r="L215" i="3" s="1"/>
  <c r="K214" i="3"/>
  <c r="J214" i="3"/>
  <c r="L214" i="3" s="1"/>
  <c r="K213" i="3"/>
  <c r="L213" i="3" s="1"/>
  <c r="J213" i="3"/>
  <c r="K212" i="3"/>
  <c r="J212" i="3"/>
  <c r="L212" i="3" s="1"/>
  <c r="K211" i="3"/>
  <c r="J211" i="3"/>
  <c r="L211" i="3" s="1"/>
  <c r="L210" i="3"/>
  <c r="K210" i="3"/>
  <c r="J210" i="3"/>
  <c r="K209" i="3"/>
  <c r="L209" i="3" s="1"/>
  <c r="J209" i="3"/>
  <c r="K208" i="3"/>
  <c r="J208" i="3"/>
  <c r="K207" i="3"/>
  <c r="J207" i="3"/>
  <c r="L207" i="3" s="1"/>
  <c r="K206" i="3"/>
  <c r="J206" i="3"/>
  <c r="L206" i="3" s="1"/>
  <c r="K205" i="3"/>
  <c r="L205" i="3" s="1"/>
  <c r="J205" i="3"/>
  <c r="K204" i="3"/>
  <c r="J204" i="3"/>
  <c r="K203" i="3"/>
  <c r="J203" i="3"/>
  <c r="L203" i="3" s="1"/>
  <c r="K202" i="3"/>
  <c r="J202" i="3"/>
  <c r="L202" i="3" s="1"/>
  <c r="K201" i="3"/>
  <c r="J201" i="3"/>
  <c r="L201" i="3" s="1"/>
  <c r="K200" i="3"/>
  <c r="J200" i="3"/>
  <c r="K199" i="3"/>
  <c r="J199" i="3"/>
  <c r="K198" i="3"/>
  <c r="J198" i="3"/>
  <c r="L198" i="3" s="1"/>
  <c r="K197" i="3"/>
  <c r="J197" i="3"/>
  <c r="K196" i="3"/>
  <c r="J196" i="3"/>
  <c r="K195" i="3"/>
  <c r="J195" i="3"/>
  <c r="K194" i="3"/>
  <c r="J194" i="3"/>
  <c r="L194" i="3" s="1"/>
  <c r="K193" i="3"/>
  <c r="J193" i="3"/>
  <c r="L193" i="3" s="1"/>
  <c r="K192" i="3"/>
  <c r="J192" i="3"/>
  <c r="L192" i="3" s="1"/>
  <c r="K191" i="3"/>
  <c r="J191" i="3"/>
  <c r="L191" i="3" s="1"/>
  <c r="K190" i="3"/>
  <c r="J190" i="3"/>
  <c r="L190" i="3" s="1"/>
  <c r="K189" i="3"/>
  <c r="L189" i="3" s="1"/>
  <c r="J189" i="3"/>
  <c r="K188" i="3"/>
  <c r="J188" i="3"/>
  <c r="L188" i="3" s="1"/>
  <c r="K187" i="3"/>
  <c r="J187" i="3"/>
  <c r="L187" i="3" s="1"/>
  <c r="L186" i="3"/>
  <c r="K186" i="3"/>
  <c r="J186" i="3"/>
  <c r="K185" i="3"/>
  <c r="J185" i="3"/>
  <c r="L185" i="3" s="1"/>
  <c r="K184" i="3"/>
  <c r="J184" i="3"/>
  <c r="K183" i="3"/>
  <c r="J183" i="3"/>
  <c r="L183" i="3" s="1"/>
  <c r="K182" i="3"/>
  <c r="J182" i="3"/>
  <c r="L182" i="3" s="1"/>
  <c r="K181" i="3"/>
  <c r="L181" i="3" s="1"/>
  <c r="J181" i="3"/>
  <c r="K180" i="3"/>
  <c r="J180" i="3"/>
  <c r="K179" i="3"/>
  <c r="J179" i="3"/>
  <c r="L179" i="3" s="1"/>
  <c r="K178" i="3"/>
  <c r="J178" i="3"/>
  <c r="L178" i="3" s="1"/>
  <c r="K177" i="3"/>
  <c r="J177" i="3"/>
  <c r="L177" i="3" s="1"/>
  <c r="K176" i="3"/>
  <c r="J176" i="3"/>
  <c r="K175" i="3"/>
  <c r="J175" i="3"/>
  <c r="K174" i="3"/>
  <c r="J174" i="3"/>
  <c r="L174" i="3" s="1"/>
  <c r="K173" i="3"/>
  <c r="J173" i="3"/>
  <c r="K172" i="3"/>
  <c r="J172" i="3"/>
  <c r="L172" i="3" s="1"/>
  <c r="K171" i="3"/>
  <c r="J171" i="3"/>
  <c r="L171" i="3" s="1"/>
  <c r="L170" i="3"/>
  <c r="K170" i="3"/>
  <c r="J170" i="3"/>
  <c r="K169" i="3"/>
  <c r="L169" i="3" s="1"/>
  <c r="J169" i="3"/>
  <c r="K168" i="3"/>
  <c r="J168" i="3"/>
  <c r="L168" i="3" s="1"/>
  <c r="K167" i="3"/>
  <c r="J167" i="3"/>
  <c r="K166" i="3"/>
  <c r="J166" i="3"/>
  <c r="L166" i="3" s="1"/>
  <c r="K165" i="3"/>
  <c r="J165" i="3"/>
  <c r="K164" i="3"/>
  <c r="J164" i="3"/>
  <c r="L164" i="3" s="1"/>
  <c r="K163" i="3"/>
  <c r="J163" i="3"/>
  <c r="L163" i="3" s="1"/>
  <c r="K162" i="3"/>
  <c r="J162" i="3"/>
  <c r="K161" i="3"/>
  <c r="J161" i="3"/>
  <c r="K160" i="3"/>
  <c r="J160" i="3"/>
  <c r="K159" i="3"/>
  <c r="J159" i="3"/>
  <c r="L159" i="3" s="1"/>
  <c r="K158" i="3"/>
  <c r="J158" i="3"/>
  <c r="L158" i="3" s="1"/>
  <c r="K157" i="3"/>
  <c r="L157" i="3" s="1"/>
  <c r="J157" i="3"/>
  <c r="K156" i="3"/>
  <c r="J156" i="3"/>
  <c r="L156" i="3" s="1"/>
  <c r="K155" i="3"/>
  <c r="J155" i="3"/>
  <c r="L155" i="3" s="1"/>
  <c r="K154" i="3"/>
  <c r="L154" i="3" s="1"/>
  <c r="J154" i="3"/>
  <c r="K153" i="3"/>
  <c r="L153" i="3" s="1"/>
  <c r="J153" i="3"/>
  <c r="K152" i="3"/>
  <c r="J152" i="3"/>
  <c r="K151" i="3"/>
  <c r="J151" i="3"/>
  <c r="K150" i="3"/>
  <c r="J150" i="3"/>
  <c r="L150" i="3" s="1"/>
  <c r="K149" i="3"/>
  <c r="J149" i="3"/>
  <c r="K148" i="3"/>
  <c r="J148" i="3"/>
  <c r="K147" i="3"/>
  <c r="J147" i="3"/>
  <c r="L147" i="3" s="1"/>
  <c r="K146" i="3"/>
  <c r="J146" i="3"/>
  <c r="L146" i="3" s="1"/>
  <c r="L145" i="3"/>
  <c r="K145" i="3"/>
  <c r="J145" i="3"/>
  <c r="K144" i="3"/>
  <c r="J144" i="3"/>
  <c r="K143" i="3"/>
  <c r="J143" i="3"/>
  <c r="K142" i="3"/>
  <c r="J142" i="3"/>
  <c r="K141" i="3"/>
  <c r="J141" i="3"/>
  <c r="K140" i="3"/>
  <c r="J140" i="3"/>
  <c r="L140" i="3" s="1"/>
  <c r="K139" i="3"/>
  <c r="J139" i="3"/>
  <c r="K138" i="3"/>
  <c r="J138" i="3"/>
  <c r="L138" i="3" s="1"/>
  <c r="K137" i="3"/>
  <c r="J137" i="3"/>
  <c r="L137" i="3" s="1"/>
  <c r="K136" i="3"/>
  <c r="J136" i="3"/>
  <c r="L136" i="3" s="1"/>
  <c r="K135" i="3"/>
  <c r="J135" i="3"/>
  <c r="K134" i="3"/>
  <c r="J134" i="3"/>
  <c r="K133" i="3"/>
  <c r="L133" i="3" s="1"/>
  <c r="J133" i="3"/>
  <c r="K132" i="3"/>
  <c r="J132" i="3"/>
  <c r="L132" i="3" s="1"/>
  <c r="K131" i="3"/>
  <c r="J131" i="3"/>
  <c r="K130" i="3"/>
  <c r="L130" i="3" s="1"/>
  <c r="J130" i="3"/>
  <c r="K129" i="3"/>
  <c r="J129" i="3"/>
  <c r="K128" i="3"/>
  <c r="J128" i="3"/>
  <c r="K127" i="3"/>
  <c r="J127" i="3"/>
  <c r="K126" i="3"/>
  <c r="J126" i="3"/>
  <c r="L126" i="3" s="1"/>
  <c r="K125" i="3"/>
  <c r="J125" i="3"/>
  <c r="K124" i="3"/>
  <c r="J124" i="3"/>
  <c r="K123" i="3"/>
  <c r="J123" i="3"/>
  <c r="L123" i="3" s="1"/>
  <c r="K122" i="3"/>
  <c r="J122" i="3"/>
  <c r="L122" i="3" s="1"/>
  <c r="K121" i="3"/>
  <c r="J121" i="3"/>
  <c r="K120" i="3"/>
  <c r="J120" i="3"/>
  <c r="K119" i="3"/>
  <c r="J119" i="3"/>
  <c r="L119" i="3" s="1"/>
  <c r="K118" i="3"/>
  <c r="J118" i="3"/>
  <c r="K117" i="3"/>
  <c r="L117" i="3" s="1"/>
  <c r="J117" i="3"/>
  <c r="K116" i="3"/>
  <c r="J116" i="3"/>
  <c r="L116" i="3" s="1"/>
  <c r="K115" i="3"/>
  <c r="J115" i="3"/>
  <c r="L115" i="3" s="1"/>
  <c r="L114" i="3"/>
  <c r="K114" i="3"/>
  <c r="J114" i="3"/>
  <c r="K113" i="3"/>
  <c r="J113" i="3"/>
  <c r="K112" i="3"/>
  <c r="J112" i="3"/>
  <c r="K111" i="3"/>
  <c r="J111" i="3"/>
  <c r="L111" i="3" s="1"/>
  <c r="K110" i="3"/>
  <c r="J110" i="3"/>
  <c r="L110" i="3" s="1"/>
  <c r="K109" i="3"/>
  <c r="J109" i="3"/>
  <c r="K108" i="3"/>
  <c r="J108" i="3"/>
  <c r="L108" i="3" s="1"/>
  <c r="K107" i="3"/>
  <c r="J107" i="3"/>
  <c r="L107" i="3" s="1"/>
  <c r="L106" i="3"/>
  <c r="K106" i="3"/>
  <c r="J106" i="3"/>
  <c r="L105" i="3"/>
  <c r="K105" i="3"/>
  <c r="J105" i="3"/>
  <c r="K104" i="3"/>
  <c r="J104" i="3"/>
  <c r="L104" i="3" s="1"/>
  <c r="K103" i="3"/>
  <c r="J103" i="3"/>
  <c r="K102" i="3"/>
  <c r="J102" i="3"/>
  <c r="L102" i="3" s="1"/>
  <c r="K101" i="3"/>
  <c r="J101" i="3"/>
  <c r="K100" i="3"/>
  <c r="J100" i="3"/>
  <c r="L100" i="3" s="1"/>
  <c r="K99" i="3"/>
  <c r="J99" i="3"/>
  <c r="L99" i="3" s="1"/>
  <c r="K98" i="3"/>
  <c r="J98" i="3"/>
  <c r="L98" i="3" s="1"/>
  <c r="K97" i="3"/>
  <c r="J97" i="3"/>
  <c r="K96" i="3"/>
  <c r="J96" i="3"/>
  <c r="L96" i="3" s="1"/>
  <c r="K95" i="3"/>
  <c r="J95" i="3"/>
  <c r="L95" i="3" s="1"/>
  <c r="K94" i="3"/>
  <c r="J94" i="3"/>
  <c r="L94" i="3" s="1"/>
  <c r="K93" i="3"/>
  <c r="L93" i="3" s="1"/>
  <c r="J93" i="3"/>
  <c r="K92" i="3"/>
  <c r="J92" i="3"/>
  <c r="L92" i="3" s="1"/>
  <c r="K91" i="3"/>
  <c r="J91" i="3"/>
  <c r="L91" i="3" s="1"/>
  <c r="K90" i="3"/>
  <c r="L90" i="3" s="1"/>
  <c r="J90" i="3"/>
  <c r="K89" i="3"/>
  <c r="L89" i="3" s="1"/>
  <c r="J89" i="3"/>
  <c r="K88" i="3"/>
  <c r="J88" i="3"/>
  <c r="L88" i="3" s="1"/>
  <c r="K87" i="3"/>
  <c r="J87" i="3"/>
  <c r="K86" i="3"/>
  <c r="J86" i="3"/>
  <c r="L86" i="3" s="1"/>
  <c r="K85" i="3"/>
  <c r="J85" i="3"/>
  <c r="K84" i="3"/>
  <c r="J84" i="3"/>
  <c r="K83" i="3"/>
  <c r="J83" i="3"/>
  <c r="L83" i="3" s="1"/>
  <c r="K82" i="3"/>
  <c r="J82" i="3"/>
  <c r="L81" i="3"/>
  <c r="K81" i="3"/>
  <c r="J81" i="3"/>
  <c r="K80" i="3"/>
  <c r="J80" i="3"/>
  <c r="K79" i="3"/>
  <c r="J79" i="3"/>
  <c r="L79" i="3" s="1"/>
  <c r="K78" i="3"/>
  <c r="J78" i="3"/>
  <c r="K77" i="3"/>
  <c r="J77" i="3"/>
  <c r="K76" i="3"/>
  <c r="J76" i="3"/>
  <c r="L76" i="3" s="1"/>
  <c r="K75" i="3"/>
  <c r="J75" i="3"/>
  <c r="L75" i="3" s="1"/>
  <c r="K74" i="3"/>
  <c r="J74" i="3"/>
  <c r="L74" i="3" s="1"/>
  <c r="K73" i="3"/>
  <c r="J73" i="3"/>
  <c r="L73" i="3" s="1"/>
  <c r="K72" i="3"/>
  <c r="J72" i="3"/>
  <c r="L72" i="3" s="1"/>
  <c r="K71" i="3"/>
  <c r="J71" i="3"/>
  <c r="K70" i="3"/>
  <c r="J70" i="3"/>
  <c r="L70" i="3" s="1"/>
  <c r="K69" i="3"/>
  <c r="L69" i="3" s="1"/>
  <c r="J69" i="3"/>
  <c r="K68" i="3"/>
  <c r="J68" i="3"/>
  <c r="L68" i="3" s="1"/>
  <c r="K67" i="3"/>
  <c r="J67" i="3"/>
  <c r="L67" i="3" s="1"/>
  <c r="K66" i="3"/>
  <c r="L66" i="3" s="1"/>
  <c r="J66" i="3"/>
  <c r="K65" i="3"/>
  <c r="L65" i="3" s="1"/>
  <c r="J65" i="3"/>
  <c r="K64" i="3"/>
  <c r="J64" i="3"/>
  <c r="L64" i="3" s="1"/>
  <c r="K63" i="3"/>
  <c r="J63" i="3"/>
  <c r="K62" i="3"/>
  <c r="J62" i="3"/>
  <c r="L62" i="3" s="1"/>
  <c r="K61" i="3"/>
  <c r="J61" i="3"/>
  <c r="K60" i="3"/>
  <c r="J60" i="3"/>
  <c r="K59" i="3"/>
  <c r="J59" i="3"/>
  <c r="L59" i="3" s="1"/>
  <c r="K58" i="3"/>
  <c r="J58" i="3"/>
  <c r="L58" i="3" s="1"/>
  <c r="K57" i="3"/>
  <c r="L57" i="3" s="1"/>
  <c r="J57" i="3"/>
  <c r="K56" i="3"/>
  <c r="J56" i="3"/>
  <c r="L56" i="3" s="1"/>
  <c r="K55" i="3"/>
  <c r="J55" i="3"/>
  <c r="K54" i="3"/>
  <c r="J54" i="3"/>
  <c r="L54" i="3" s="1"/>
  <c r="K53" i="3"/>
  <c r="J53" i="3"/>
  <c r="K52" i="3"/>
  <c r="J52" i="3"/>
  <c r="K51" i="3"/>
  <c r="J51" i="3"/>
  <c r="K50" i="3"/>
  <c r="J50" i="3"/>
  <c r="L50" i="3" s="1"/>
  <c r="L49" i="3"/>
  <c r="K49" i="3"/>
  <c r="J49" i="3"/>
  <c r="K48" i="3"/>
  <c r="J48" i="3"/>
  <c r="L48" i="3" s="1"/>
  <c r="K47" i="3"/>
  <c r="J47" i="3"/>
  <c r="K46" i="3"/>
  <c r="J46" i="3"/>
  <c r="K45" i="3"/>
  <c r="L45" i="3" s="1"/>
  <c r="J45" i="3"/>
  <c r="K44" i="3"/>
  <c r="J44" i="3"/>
  <c r="K43" i="3"/>
  <c r="J43" i="3"/>
  <c r="K42" i="3"/>
  <c r="L42" i="3" s="1"/>
  <c r="J42" i="3"/>
  <c r="K41" i="3"/>
  <c r="J41" i="3"/>
  <c r="L41" i="3" s="1"/>
  <c r="K40" i="3"/>
  <c r="J40" i="3"/>
  <c r="L40" i="3" s="1"/>
  <c r="K39" i="3"/>
  <c r="J39" i="3"/>
  <c r="K38" i="3"/>
  <c r="J38" i="3"/>
  <c r="L38" i="3" s="1"/>
  <c r="K37" i="3"/>
  <c r="J37" i="3"/>
  <c r="K36" i="3"/>
  <c r="J36" i="3"/>
  <c r="K35" i="3"/>
  <c r="J35" i="3"/>
  <c r="K34" i="3"/>
  <c r="J34" i="3"/>
  <c r="L34" i="3" s="1"/>
  <c r="L33" i="3"/>
  <c r="K33" i="3"/>
  <c r="J33" i="3"/>
  <c r="K32" i="3"/>
  <c r="J32" i="3"/>
  <c r="L32" i="3" s="1"/>
  <c r="K31" i="3"/>
  <c r="J31" i="3"/>
  <c r="L31" i="3" s="1"/>
  <c r="K30" i="3"/>
  <c r="J30" i="3"/>
  <c r="K29" i="3"/>
  <c r="J29" i="3"/>
  <c r="K28" i="3"/>
  <c r="J28" i="3"/>
  <c r="L28" i="3" s="1"/>
  <c r="K27" i="3"/>
  <c r="J27" i="3"/>
  <c r="L27" i="3" s="1"/>
  <c r="L26" i="3"/>
  <c r="K26" i="3"/>
  <c r="J26" i="3"/>
  <c r="K25" i="3"/>
  <c r="L25" i="3" s="1"/>
  <c r="J25" i="3"/>
  <c r="K24" i="3"/>
  <c r="J24" i="3"/>
  <c r="K23" i="3"/>
  <c r="J23" i="3"/>
  <c r="L23" i="3" s="1"/>
  <c r="K22" i="3"/>
  <c r="J22" i="3"/>
  <c r="L22" i="3" s="1"/>
  <c r="K21" i="3"/>
  <c r="L21" i="3" s="1"/>
  <c r="J21" i="3"/>
  <c r="K20" i="3"/>
  <c r="J20" i="3"/>
  <c r="L20" i="3" s="1"/>
  <c r="K19" i="3"/>
  <c r="J19" i="3"/>
  <c r="L19" i="3" s="1"/>
  <c r="K18" i="3"/>
  <c r="J18" i="3"/>
  <c r="L18" i="3" s="1"/>
  <c r="K17" i="3"/>
  <c r="J17" i="3"/>
  <c r="L17" i="3" s="1"/>
  <c r="K16" i="3"/>
  <c r="J16" i="3"/>
  <c r="K15" i="3"/>
  <c r="J15" i="3"/>
  <c r="K14" i="3"/>
  <c r="J14" i="3"/>
  <c r="L14" i="3" s="1"/>
  <c r="K13" i="3"/>
  <c r="L13" i="3" s="1"/>
  <c r="J13" i="3"/>
  <c r="K12" i="3"/>
  <c r="J12" i="3"/>
  <c r="K11" i="3"/>
  <c r="J11" i="3"/>
  <c r="L11" i="3" s="1"/>
  <c r="K10" i="3"/>
  <c r="J10" i="3"/>
  <c r="K9" i="3"/>
  <c r="J9" i="3"/>
  <c r="L9" i="3" s="1"/>
  <c r="K8" i="3"/>
  <c r="J8" i="3"/>
  <c r="L8" i="3" s="1"/>
  <c r="K7" i="3"/>
  <c r="J7" i="3"/>
  <c r="B1" i="3"/>
  <c r="D2021" i="2"/>
  <c r="D2020" i="2"/>
  <c r="D2019" i="2"/>
  <c r="D2018" i="2"/>
  <c r="I2017" i="2"/>
  <c r="H2017" i="2"/>
  <c r="D2014" i="2"/>
  <c r="D2013" i="2"/>
  <c r="D2012" i="2"/>
  <c r="D2011" i="2"/>
  <c r="I2010" i="2"/>
  <c r="H2010" i="2"/>
  <c r="J2007" i="2"/>
  <c r="J2006" i="2"/>
  <c r="J2005" i="2"/>
  <c r="J2004" i="2"/>
  <c r="J2003" i="2"/>
  <c r="K2002" i="2"/>
  <c r="J2002" i="2"/>
  <c r="J2001" i="2"/>
  <c r="J2000" i="2"/>
  <c r="J1999" i="2"/>
  <c r="J1998" i="2"/>
  <c r="J1997" i="2"/>
  <c r="J1996" i="2"/>
  <c r="J1995" i="2"/>
  <c r="J1994" i="2"/>
  <c r="J1993" i="2"/>
  <c r="J1992" i="2"/>
  <c r="J1991" i="2"/>
  <c r="J1990" i="2"/>
  <c r="J1989" i="2"/>
  <c r="J1988" i="2"/>
  <c r="J1987" i="2"/>
  <c r="J1986" i="2"/>
  <c r="J1985" i="2"/>
  <c r="J1984" i="2"/>
  <c r="J1983" i="2"/>
  <c r="J1982" i="2"/>
  <c r="J1981" i="2"/>
  <c r="J1980" i="2"/>
  <c r="J1979" i="2"/>
  <c r="J1978" i="2"/>
  <c r="J1977" i="2"/>
  <c r="J1976" i="2"/>
  <c r="J1975" i="2"/>
  <c r="J1974" i="2"/>
  <c r="J1973" i="2"/>
  <c r="J1972" i="2"/>
  <c r="J1971" i="2"/>
  <c r="J1970" i="2"/>
  <c r="J1969" i="2"/>
  <c r="K1968" i="2"/>
  <c r="J1968" i="2"/>
  <c r="J1967" i="2"/>
  <c r="J1966" i="2"/>
  <c r="J1965" i="2"/>
  <c r="J1964" i="2"/>
  <c r="J1963" i="2"/>
  <c r="J1962" i="2"/>
  <c r="J1961" i="2"/>
  <c r="J1960" i="2"/>
  <c r="J1959" i="2"/>
  <c r="J1958" i="2"/>
  <c r="J1957" i="2"/>
  <c r="J1956" i="2"/>
  <c r="J1955" i="2"/>
  <c r="J1954" i="2"/>
  <c r="J1953" i="2"/>
  <c r="J1952" i="2"/>
  <c r="J1951" i="2"/>
  <c r="J1950" i="2"/>
  <c r="J1949" i="2"/>
  <c r="J1948" i="2"/>
  <c r="J1947" i="2"/>
  <c r="J1946" i="2"/>
  <c r="J1945" i="2"/>
  <c r="J1944" i="2"/>
  <c r="J1943" i="2"/>
  <c r="J1942" i="2"/>
  <c r="J1941" i="2"/>
  <c r="J1940" i="2"/>
  <c r="J1939" i="2"/>
  <c r="J1938" i="2"/>
  <c r="J1937" i="2"/>
  <c r="J1936" i="2"/>
  <c r="J1935" i="2"/>
  <c r="J1934" i="2"/>
  <c r="J1933" i="2"/>
  <c r="J1932" i="2"/>
  <c r="J1931" i="2"/>
  <c r="K1930" i="2"/>
  <c r="J1930" i="2"/>
  <c r="J1929" i="2"/>
  <c r="J1928" i="2"/>
  <c r="J1927" i="2"/>
  <c r="J1926" i="2"/>
  <c r="J1925" i="2"/>
  <c r="J1924" i="2"/>
  <c r="J1923" i="2"/>
  <c r="J1922" i="2"/>
  <c r="J1921" i="2"/>
  <c r="J1920" i="2"/>
  <c r="J1919" i="2"/>
  <c r="J1918" i="2"/>
  <c r="J1917" i="2"/>
  <c r="J1916" i="2"/>
  <c r="J1915" i="2"/>
  <c r="K1914" i="2"/>
  <c r="J1914" i="2"/>
  <c r="J1913" i="2"/>
  <c r="J1912" i="2"/>
  <c r="J1911" i="2"/>
  <c r="J1910" i="2"/>
  <c r="J1909" i="2"/>
  <c r="J1908" i="2"/>
  <c r="K1907" i="2"/>
  <c r="J1907" i="2"/>
  <c r="J1906" i="2"/>
  <c r="J1905" i="2"/>
  <c r="J1904" i="2"/>
  <c r="J1903" i="2"/>
  <c r="J1902" i="2"/>
  <c r="J1901" i="2"/>
  <c r="J1900" i="2"/>
  <c r="J1899" i="2"/>
  <c r="J1898" i="2"/>
  <c r="J1897" i="2"/>
  <c r="J1896" i="2"/>
  <c r="J1895" i="2"/>
  <c r="K1894" i="2"/>
  <c r="J1894" i="2"/>
  <c r="J1893" i="2"/>
  <c r="J1892" i="2"/>
  <c r="J1891" i="2"/>
  <c r="J1890" i="2"/>
  <c r="J1889" i="2"/>
  <c r="J1888" i="2"/>
  <c r="J1887" i="2"/>
  <c r="J1886" i="2"/>
  <c r="J1885" i="2"/>
  <c r="J1884" i="2"/>
  <c r="J1883" i="2"/>
  <c r="J1882" i="2"/>
  <c r="J1881" i="2"/>
  <c r="J1880" i="2"/>
  <c r="J1879" i="2"/>
  <c r="J1878" i="2"/>
  <c r="J1877" i="2"/>
  <c r="J1876" i="2"/>
  <c r="J1875" i="2"/>
  <c r="J1874" i="2"/>
  <c r="J1873" i="2"/>
  <c r="J1872" i="2"/>
  <c r="J1871" i="2"/>
  <c r="J1870" i="2"/>
  <c r="J1869" i="2"/>
  <c r="J1868" i="2"/>
  <c r="J1867" i="2"/>
  <c r="J1866" i="2"/>
  <c r="J1865" i="2"/>
  <c r="J1864" i="2"/>
  <c r="J1863" i="2"/>
  <c r="J1862" i="2"/>
  <c r="J1861" i="2"/>
  <c r="K1860" i="2"/>
  <c r="J1860" i="2"/>
  <c r="J1859" i="2"/>
  <c r="J1858" i="2"/>
  <c r="J1857" i="2"/>
  <c r="J1856" i="2"/>
  <c r="J1855" i="2"/>
  <c r="J1854" i="2"/>
  <c r="J1853" i="2"/>
  <c r="J1852" i="2"/>
  <c r="J1851" i="2"/>
  <c r="J1850" i="2"/>
  <c r="J1849" i="2"/>
  <c r="J1848" i="2"/>
  <c r="J1847" i="2"/>
  <c r="J1846" i="2"/>
  <c r="J1845" i="2"/>
  <c r="J1844" i="2"/>
  <c r="J1843" i="2"/>
  <c r="J1842" i="2"/>
  <c r="J1841" i="2"/>
  <c r="J1840" i="2"/>
  <c r="J1839" i="2"/>
  <c r="J1838" i="2"/>
  <c r="J1837" i="2"/>
  <c r="J1836" i="2"/>
  <c r="J1835" i="2"/>
  <c r="J1834" i="2"/>
  <c r="J1833" i="2"/>
  <c r="J1832" i="2"/>
  <c r="J1831" i="2"/>
  <c r="J1830" i="2"/>
  <c r="J1829" i="2"/>
  <c r="J1828" i="2"/>
  <c r="J1827" i="2"/>
  <c r="J1826" i="2"/>
  <c r="K1825" i="2"/>
  <c r="J1825" i="2"/>
  <c r="J1824" i="2"/>
  <c r="J1823" i="2"/>
  <c r="J1822" i="2"/>
  <c r="J1821" i="2"/>
  <c r="J1820" i="2"/>
  <c r="J1819" i="2"/>
  <c r="J1818" i="2"/>
  <c r="J1817" i="2"/>
  <c r="J1816" i="2"/>
  <c r="J1815" i="2"/>
  <c r="J1814" i="2"/>
  <c r="J1813" i="2"/>
  <c r="J1812" i="2"/>
  <c r="J1811" i="2"/>
  <c r="J1810" i="2"/>
  <c r="J1809" i="2"/>
  <c r="J1808" i="2"/>
  <c r="J1807" i="2"/>
  <c r="J1806" i="2"/>
  <c r="J1805" i="2"/>
  <c r="J1804" i="2"/>
  <c r="J1803" i="2"/>
  <c r="J1802" i="2"/>
  <c r="J1801" i="2"/>
  <c r="J1800" i="2"/>
  <c r="J1799" i="2"/>
  <c r="J1798" i="2"/>
  <c r="J1797" i="2"/>
  <c r="J1796" i="2"/>
  <c r="J1795" i="2"/>
  <c r="J1794" i="2"/>
  <c r="J1793" i="2"/>
  <c r="J1792" i="2"/>
  <c r="J1791" i="2"/>
  <c r="J1790" i="2"/>
  <c r="J1789" i="2"/>
  <c r="J1788" i="2"/>
  <c r="J1787" i="2"/>
  <c r="J1786" i="2"/>
  <c r="J1785" i="2"/>
  <c r="J1784" i="2"/>
  <c r="J1783" i="2"/>
  <c r="J1782" i="2"/>
  <c r="J1781" i="2"/>
  <c r="J1780" i="2"/>
  <c r="J1779" i="2"/>
  <c r="J1778" i="2"/>
  <c r="J1777" i="2"/>
  <c r="J1776" i="2"/>
  <c r="J1775" i="2"/>
  <c r="J1774" i="2"/>
  <c r="J1773" i="2"/>
  <c r="J1772" i="2"/>
  <c r="J1771" i="2"/>
  <c r="J1770" i="2"/>
  <c r="J1769" i="2"/>
  <c r="J1768" i="2"/>
  <c r="J1767" i="2"/>
  <c r="J1766" i="2"/>
  <c r="J1765" i="2"/>
  <c r="J1764" i="2"/>
  <c r="J1763" i="2"/>
  <c r="J1762" i="2"/>
  <c r="J1761" i="2"/>
  <c r="J1760" i="2"/>
  <c r="J1759" i="2"/>
  <c r="J1758" i="2"/>
  <c r="K1757" i="2"/>
  <c r="J1757" i="2"/>
  <c r="J1756" i="2"/>
  <c r="J1755" i="2"/>
  <c r="J1754" i="2"/>
  <c r="J1753" i="2"/>
  <c r="J1752" i="2"/>
  <c r="J1751" i="2"/>
  <c r="J1750" i="2"/>
  <c r="J1749" i="2"/>
  <c r="J1748" i="2"/>
  <c r="J1747" i="2"/>
  <c r="J1746" i="2"/>
  <c r="J1745" i="2"/>
  <c r="J1744" i="2"/>
  <c r="K1743" i="2"/>
  <c r="J1743" i="2"/>
  <c r="J1742" i="2"/>
  <c r="K1741" i="2"/>
  <c r="J1741" i="2"/>
  <c r="J1740" i="2"/>
  <c r="J1739" i="2"/>
  <c r="J1738" i="2"/>
  <c r="J1737" i="2"/>
  <c r="J1736" i="2"/>
  <c r="J1735" i="2"/>
  <c r="J1734" i="2"/>
  <c r="J1733" i="2"/>
  <c r="J1732" i="2"/>
  <c r="J1731" i="2"/>
  <c r="J1730" i="2"/>
  <c r="J1729" i="2"/>
  <c r="J1728" i="2"/>
  <c r="K1727" i="2"/>
  <c r="J1727" i="2"/>
  <c r="J1726" i="2"/>
  <c r="J1725" i="2"/>
  <c r="J1724" i="2"/>
  <c r="J1723" i="2"/>
  <c r="J1722" i="2"/>
  <c r="J1721" i="2"/>
  <c r="J1720" i="2"/>
  <c r="J1719" i="2"/>
  <c r="J1718" i="2"/>
  <c r="J1717" i="2"/>
  <c r="J1716" i="2"/>
  <c r="J1715" i="2"/>
  <c r="J1714" i="2"/>
  <c r="J1713" i="2"/>
  <c r="J1712" i="2"/>
  <c r="J1711" i="2"/>
  <c r="J1710" i="2"/>
  <c r="K1709" i="2"/>
  <c r="J1709" i="2"/>
  <c r="J1708" i="2"/>
  <c r="J1707" i="2"/>
  <c r="J1706" i="2"/>
  <c r="J1705" i="2"/>
  <c r="J1704" i="2"/>
  <c r="J1703" i="2"/>
  <c r="J1702" i="2"/>
  <c r="J1701" i="2"/>
  <c r="J1700" i="2"/>
  <c r="J1699" i="2"/>
  <c r="J1698" i="2"/>
  <c r="J1697" i="2"/>
  <c r="J1696" i="2"/>
  <c r="J1695" i="2"/>
  <c r="J1694" i="2"/>
  <c r="K1693" i="2"/>
  <c r="J1693" i="2"/>
  <c r="J1692" i="2"/>
  <c r="J1691" i="2"/>
  <c r="J1690" i="2"/>
  <c r="J1689" i="2"/>
  <c r="J1688" i="2"/>
  <c r="J1687" i="2"/>
  <c r="J1686" i="2"/>
  <c r="J1685" i="2"/>
  <c r="J1684" i="2"/>
  <c r="J1683" i="2"/>
  <c r="J1682" i="2"/>
  <c r="J1681" i="2"/>
  <c r="J1680" i="2"/>
  <c r="J1679" i="2"/>
  <c r="J1678" i="2"/>
  <c r="J1677" i="2"/>
  <c r="J1676" i="2"/>
  <c r="J1675" i="2"/>
  <c r="J1674" i="2"/>
  <c r="J1673" i="2"/>
  <c r="J1672" i="2"/>
  <c r="J1671" i="2"/>
  <c r="J1670" i="2"/>
  <c r="J1669" i="2"/>
  <c r="J1668" i="2"/>
  <c r="J1667" i="2"/>
  <c r="J1666" i="2"/>
  <c r="J1665" i="2"/>
  <c r="J1664" i="2"/>
  <c r="J1663" i="2"/>
  <c r="J1662" i="2"/>
  <c r="J1661" i="2"/>
  <c r="J1660" i="2"/>
  <c r="J1659" i="2"/>
  <c r="J1658" i="2"/>
  <c r="K1657" i="2"/>
  <c r="J1657" i="2"/>
  <c r="J1656" i="2"/>
  <c r="J1655" i="2"/>
  <c r="J1654" i="2"/>
  <c r="J1653" i="2"/>
  <c r="K1652" i="2"/>
  <c r="J1652" i="2"/>
  <c r="J1651" i="2"/>
  <c r="J1650" i="2"/>
  <c r="J1649" i="2"/>
  <c r="J1648" i="2"/>
  <c r="J1647" i="2"/>
  <c r="J1646" i="2"/>
  <c r="J1645" i="2"/>
  <c r="J1644" i="2"/>
  <c r="J1643" i="2"/>
  <c r="J1642" i="2"/>
  <c r="J1641" i="2"/>
  <c r="J1640" i="2"/>
  <c r="J1639" i="2"/>
  <c r="J1638" i="2"/>
  <c r="J1637" i="2"/>
  <c r="J1636" i="2"/>
  <c r="J1635" i="2"/>
  <c r="J1634" i="2"/>
  <c r="J1633" i="2"/>
  <c r="J1632" i="2"/>
  <c r="J1631" i="2"/>
  <c r="J1630" i="2"/>
  <c r="J1629" i="2"/>
  <c r="J1628" i="2"/>
  <c r="J1627" i="2"/>
  <c r="J1626" i="2"/>
  <c r="K1625" i="2"/>
  <c r="J1625" i="2"/>
  <c r="J1624" i="2"/>
  <c r="J1623" i="2"/>
  <c r="J1622" i="2"/>
  <c r="J1621" i="2"/>
  <c r="J1620" i="2"/>
  <c r="J1619" i="2"/>
  <c r="J1618" i="2"/>
  <c r="J1617" i="2"/>
  <c r="J1616" i="2"/>
  <c r="J1615" i="2"/>
  <c r="J1614" i="2"/>
  <c r="J1613" i="2"/>
  <c r="J1612" i="2"/>
  <c r="J1611" i="2"/>
  <c r="J1610" i="2"/>
  <c r="J1609" i="2"/>
  <c r="J1608" i="2"/>
  <c r="J1607" i="2"/>
  <c r="J1606" i="2"/>
  <c r="J1605" i="2"/>
  <c r="J1604" i="2"/>
  <c r="J1603" i="2"/>
  <c r="J1602" i="2"/>
  <c r="J1601" i="2"/>
  <c r="J1600" i="2"/>
  <c r="J1599" i="2"/>
  <c r="J1598" i="2"/>
  <c r="J1597" i="2"/>
  <c r="J1596" i="2"/>
  <c r="J1595" i="2"/>
  <c r="J1594" i="2"/>
  <c r="J1593" i="2"/>
  <c r="J1592" i="2"/>
  <c r="J1591" i="2"/>
  <c r="J1590" i="2"/>
  <c r="J1589" i="2"/>
  <c r="J1588" i="2"/>
  <c r="J1587" i="2"/>
  <c r="J1586" i="2"/>
  <c r="J1585" i="2"/>
  <c r="J1584" i="2"/>
  <c r="J1583" i="2"/>
  <c r="J1582" i="2"/>
  <c r="J1581" i="2"/>
  <c r="J1580" i="2"/>
  <c r="J1579" i="2"/>
  <c r="J1578" i="2"/>
  <c r="J1577" i="2"/>
  <c r="J1576" i="2"/>
  <c r="J1575" i="2"/>
  <c r="J1574" i="2"/>
  <c r="J1573" i="2"/>
  <c r="J1572" i="2"/>
  <c r="J1571" i="2"/>
  <c r="J1570" i="2"/>
  <c r="J1569" i="2"/>
  <c r="J1568" i="2"/>
  <c r="K1567" i="2"/>
  <c r="J1567" i="2"/>
  <c r="J1566" i="2"/>
  <c r="J1565" i="2"/>
  <c r="J1564" i="2"/>
  <c r="J1563" i="2"/>
  <c r="J1562" i="2"/>
  <c r="J1561" i="2"/>
  <c r="J1560" i="2"/>
  <c r="J1559" i="2"/>
  <c r="K1558" i="2"/>
  <c r="J1558" i="2"/>
  <c r="J1557" i="2"/>
  <c r="J1556" i="2"/>
  <c r="J1555" i="2"/>
  <c r="J1554" i="2"/>
  <c r="J1553" i="2"/>
  <c r="J1552" i="2"/>
  <c r="J1551" i="2"/>
  <c r="J1550" i="2"/>
  <c r="J1549" i="2"/>
  <c r="J1548" i="2"/>
  <c r="J1547" i="2"/>
  <c r="J1546" i="2"/>
  <c r="J1545" i="2"/>
  <c r="J1544" i="2"/>
  <c r="J1543" i="2"/>
  <c r="J1542" i="2"/>
  <c r="J1541" i="2"/>
  <c r="J1540" i="2"/>
  <c r="K1539" i="2"/>
  <c r="J1539" i="2"/>
  <c r="J1538" i="2"/>
  <c r="J1537" i="2"/>
  <c r="J1536" i="2"/>
  <c r="J1535" i="2"/>
  <c r="J1534" i="2"/>
  <c r="J1533" i="2"/>
  <c r="J1532" i="2"/>
  <c r="J1531" i="2"/>
  <c r="J1530" i="2"/>
  <c r="J1529" i="2"/>
  <c r="J1528" i="2"/>
  <c r="J1527" i="2"/>
  <c r="J1526" i="2"/>
  <c r="J1525" i="2"/>
  <c r="J1524" i="2"/>
  <c r="K1523" i="2"/>
  <c r="J1523" i="2"/>
  <c r="J1522" i="2"/>
  <c r="J1521" i="2"/>
  <c r="J1520" i="2"/>
  <c r="J1519" i="2"/>
  <c r="J1518" i="2"/>
  <c r="J1517" i="2"/>
  <c r="K1516" i="2"/>
  <c r="J1516" i="2"/>
  <c r="J1515" i="2"/>
  <c r="J1514" i="2"/>
  <c r="J1513" i="2"/>
  <c r="J1512" i="2"/>
  <c r="J1511" i="2"/>
  <c r="J1510" i="2"/>
  <c r="J1509" i="2"/>
  <c r="J1508" i="2"/>
  <c r="J1507" i="2"/>
  <c r="J1506" i="2"/>
  <c r="J1505" i="2"/>
  <c r="J1504" i="2"/>
  <c r="J1503" i="2"/>
  <c r="J1502" i="2"/>
  <c r="J1501" i="2"/>
  <c r="J1500" i="2"/>
  <c r="J1499" i="2"/>
  <c r="J1498" i="2"/>
  <c r="J1497" i="2"/>
  <c r="J1496" i="2"/>
  <c r="J1495" i="2"/>
  <c r="J1494" i="2"/>
  <c r="J1493" i="2"/>
  <c r="J1492" i="2"/>
  <c r="J1491" i="2"/>
  <c r="K1490" i="2"/>
  <c r="J1490" i="2"/>
  <c r="J1489" i="2"/>
  <c r="K1488" i="2"/>
  <c r="J1488" i="2"/>
  <c r="J1487" i="2"/>
  <c r="J1486" i="2"/>
  <c r="J1485" i="2"/>
  <c r="J1484" i="2"/>
  <c r="J1483" i="2"/>
  <c r="J1482" i="2"/>
  <c r="J1481" i="2"/>
  <c r="J1480" i="2"/>
  <c r="J1479" i="2"/>
  <c r="J1478" i="2"/>
  <c r="J1477" i="2"/>
  <c r="J1476" i="2"/>
  <c r="J1475" i="2"/>
  <c r="K1474" i="2"/>
  <c r="J1474" i="2"/>
  <c r="J1473" i="2"/>
  <c r="J1472" i="2"/>
  <c r="J1471" i="2"/>
  <c r="J1470" i="2"/>
  <c r="J1469" i="2"/>
  <c r="J1468" i="2"/>
  <c r="J1467" i="2"/>
  <c r="J1466" i="2"/>
  <c r="J1465" i="2"/>
  <c r="J1464" i="2"/>
  <c r="J1463" i="2"/>
  <c r="J1462" i="2"/>
  <c r="J1461" i="2"/>
  <c r="J1460" i="2"/>
  <c r="J1459" i="2"/>
  <c r="J1458" i="2"/>
  <c r="J1457" i="2"/>
  <c r="J1456" i="2"/>
  <c r="J1455" i="2"/>
  <c r="J1454" i="2"/>
  <c r="J1453" i="2"/>
  <c r="J1452" i="2"/>
  <c r="J1451" i="2"/>
  <c r="J1450" i="2"/>
  <c r="J1449" i="2"/>
  <c r="J1448" i="2"/>
  <c r="J1447" i="2"/>
  <c r="J1446" i="2"/>
  <c r="J1445" i="2"/>
  <c r="J1444" i="2"/>
  <c r="J1443" i="2"/>
  <c r="J1442" i="2"/>
  <c r="J1441" i="2"/>
  <c r="K1440" i="2"/>
  <c r="J1440" i="2"/>
  <c r="J1439" i="2"/>
  <c r="J1438" i="2"/>
  <c r="J1437" i="2"/>
  <c r="J1436" i="2"/>
  <c r="J1435" i="2"/>
  <c r="J1434" i="2"/>
  <c r="J1433" i="2"/>
  <c r="J1432" i="2"/>
  <c r="J1431" i="2"/>
  <c r="J1430" i="2"/>
  <c r="J1429" i="2"/>
  <c r="J1428" i="2"/>
  <c r="J1427" i="2"/>
  <c r="J1426" i="2"/>
  <c r="J1425" i="2"/>
  <c r="J1424" i="2"/>
  <c r="J1423" i="2"/>
  <c r="J1422" i="2"/>
  <c r="J1421" i="2"/>
  <c r="J1420" i="2"/>
  <c r="J1419" i="2"/>
  <c r="J1418" i="2"/>
  <c r="J1417" i="2"/>
  <c r="J1416" i="2"/>
  <c r="J1415" i="2"/>
  <c r="J1414" i="2"/>
  <c r="J1413" i="2"/>
  <c r="J1412" i="2"/>
  <c r="J1411" i="2"/>
  <c r="J1410" i="2"/>
  <c r="J1409" i="2"/>
  <c r="J1408" i="2"/>
  <c r="K1407" i="2"/>
  <c r="J1407" i="2"/>
  <c r="J1406" i="2"/>
  <c r="J1405" i="2"/>
  <c r="J1404" i="2"/>
  <c r="J1403" i="2"/>
  <c r="J1402" i="2"/>
  <c r="J1401" i="2"/>
  <c r="J1400" i="2"/>
  <c r="J1399" i="2"/>
  <c r="J1398" i="2"/>
  <c r="J1397" i="2"/>
  <c r="J1396" i="2"/>
  <c r="J1395" i="2"/>
  <c r="J1394" i="2"/>
  <c r="J1393" i="2"/>
  <c r="J1392" i="2"/>
  <c r="K1391" i="2"/>
  <c r="J1391" i="2"/>
  <c r="J1390" i="2"/>
  <c r="J1389" i="2"/>
  <c r="J1388" i="2"/>
  <c r="J1387" i="2"/>
  <c r="J1386" i="2"/>
  <c r="J1385" i="2"/>
  <c r="J1384" i="2"/>
  <c r="J1383" i="2"/>
  <c r="J1382" i="2"/>
  <c r="J1381" i="2"/>
  <c r="J1380" i="2"/>
  <c r="J1379" i="2"/>
  <c r="J1378" i="2"/>
  <c r="J1377" i="2"/>
  <c r="K1376" i="2"/>
  <c r="J1376" i="2"/>
  <c r="J1375" i="2"/>
  <c r="J1374" i="2"/>
  <c r="J1373" i="2"/>
  <c r="J1372" i="2"/>
  <c r="J1371" i="2"/>
  <c r="J1370" i="2"/>
  <c r="J1369" i="2"/>
  <c r="J1368" i="2"/>
  <c r="J1367" i="2"/>
  <c r="J1366" i="2"/>
  <c r="J1365" i="2"/>
  <c r="J1364" i="2"/>
  <c r="J1363" i="2"/>
  <c r="J1362" i="2"/>
  <c r="K1361" i="2"/>
  <c r="J1361" i="2"/>
  <c r="J1360" i="2"/>
  <c r="J1359" i="2"/>
  <c r="J1358" i="2"/>
  <c r="J1357" i="2"/>
  <c r="J1356" i="2"/>
  <c r="J1355" i="2"/>
  <c r="J1354" i="2"/>
  <c r="J1353" i="2"/>
  <c r="J1352" i="2"/>
  <c r="J1351" i="2"/>
  <c r="J1350" i="2"/>
  <c r="J1349" i="2"/>
  <c r="J1348" i="2"/>
  <c r="J1347" i="2"/>
  <c r="J1346" i="2"/>
  <c r="K1345" i="2"/>
  <c r="L1345" i="2" s="1"/>
  <c r="J1345" i="2"/>
  <c r="J1344" i="2"/>
  <c r="J1343" i="2"/>
  <c r="J1342" i="2"/>
  <c r="J1341" i="2"/>
  <c r="J1340" i="2"/>
  <c r="J1339" i="2"/>
  <c r="J1338" i="2"/>
  <c r="J1337" i="2"/>
  <c r="J1336" i="2"/>
  <c r="J1335" i="2"/>
  <c r="J1334" i="2"/>
  <c r="J1333" i="2"/>
  <c r="J1332" i="2"/>
  <c r="J1331" i="2"/>
  <c r="J1330" i="2"/>
  <c r="J1329" i="2"/>
  <c r="J1328" i="2"/>
  <c r="J1327" i="2"/>
  <c r="J1326" i="2"/>
  <c r="K1325" i="2"/>
  <c r="J1325" i="2"/>
  <c r="J1324" i="2"/>
  <c r="J1323" i="2"/>
  <c r="J1322" i="2"/>
  <c r="J1321" i="2"/>
  <c r="J1320" i="2"/>
  <c r="J1319" i="2"/>
  <c r="J1318" i="2"/>
  <c r="J1317" i="2"/>
  <c r="J1316" i="2"/>
  <c r="K1315" i="2"/>
  <c r="J1315" i="2"/>
  <c r="J1314" i="2"/>
  <c r="J1313" i="2"/>
  <c r="J1312" i="2"/>
  <c r="J1311" i="2"/>
  <c r="J1310" i="2"/>
  <c r="J1309" i="2"/>
  <c r="J1308" i="2"/>
  <c r="J1307" i="2"/>
  <c r="J1306" i="2"/>
  <c r="J1305" i="2"/>
  <c r="J1304" i="2"/>
  <c r="J1303" i="2"/>
  <c r="J1302" i="2"/>
  <c r="J1301" i="2"/>
  <c r="J1300" i="2"/>
  <c r="J1299" i="2"/>
  <c r="J1298" i="2"/>
  <c r="J1297" i="2"/>
  <c r="J1296" i="2"/>
  <c r="J1295" i="2"/>
  <c r="J1294" i="2"/>
  <c r="K1293" i="2"/>
  <c r="J1293" i="2"/>
  <c r="J1292" i="2"/>
  <c r="J1291" i="2"/>
  <c r="J1290" i="2"/>
  <c r="J1289" i="2"/>
  <c r="J1288" i="2"/>
  <c r="J1287" i="2"/>
  <c r="J1286" i="2"/>
  <c r="J1285" i="2"/>
  <c r="J1284" i="2"/>
  <c r="J1283" i="2"/>
  <c r="J1282" i="2"/>
  <c r="J1281" i="2"/>
  <c r="J1280" i="2"/>
  <c r="J1279" i="2"/>
  <c r="J1278" i="2"/>
  <c r="J1277" i="2"/>
  <c r="J1276" i="2"/>
  <c r="J1275" i="2"/>
  <c r="J1274" i="2"/>
  <c r="J1273" i="2"/>
  <c r="J1272" i="2"/>
  <c r="J1271" i="2"/>
  <c r="J1270" i="2"/>
  <c r="J1269" i="2"/>
  <c r="J1268" i="2"/>
  <c r="J1267" i="2"/>
  <c r="K1266" i="2"/>
  <c r="J1266" i="2"/>
  <c r="J1265" i="2"/>
  <c r="J1264" i="2"/>
  <c r="J1263" i="2"/>
  <c r="J1262" i="2"/>
  <c r="K1261" i="2"/>
  <c r="J1261" i="2"/>
  <c r="J1260" i="2"/>
  <c r="J1259" i="2"/>
  <c r="J1258" i="2"/>
  <c r="J1257" i="2"/>
  <c r="J1256" i="2"/>
  <c r="J1255" i="2"/>
  <c r="J1254" i="2"/>
  <c r="K1253" i="2"/>
  <c r="J1253" i="2"/>
  <c r="J1252" i="2"/>
  <c r="K1251" i="2"/>
  <c r="J1251" i="2"/>
  <c r="J1250" i="2"/>
  <c r="J1249" i="2"/>
  <c r="J1248" i="2"/>
  <c r="J1247" i="2"/>
  <c r="J1246" i="2"/>
  <c r="J1245" i="2"/>
  <c r="J1244" i="2"/>
  <c r="J1243" i="2"/>
  <c r="J1242" i="2"/>
  <c r="J1241" i="2"/>
  <c r="J1240" i="2"/>
  <c r="J1239" i="2"/>
  <c r="J1238" i="2"/>
  <c r="J1237" i="2"/>
  <c r="J1236" i="2"/>
  <c r="J1235" i="2"/>
  <c r="J1234" i="2"/>
  <c r="J1233" i="2"/>
  <c r="J1232" i="2"/>
  <c r="J1231" i="2"/>
  <c r="J1230" i="2"/>
  <c r="J1229" i="2"/>
  <c r="J1228" i="2"/>
  <c r="J1227" i="2"/>
  <c r="J1226" i="2"/>
  <c r="J1225" i="2"/>
  <c r="J1224" i="2"/>
  <c r="J1223" i="2"/>
  <c r="J1222" i="2"/>
  <c r="J1221" i="2"/>
  <c r="J1220" i="2"/>
  <c r="K1219" i="2"/>
  <c r="J1219" i="2"/>
  <c r="J1218" i="2"/>
  <c r="J1217" i="2"/>
  <c r="J1216" i="2"/>
  <c r="J1215" i="2"/>
  <c r="J1214" i="2"/>
  <c r="J1213" i="2"/>
  <c r="J1212" i="2"/>
  <c r="J1211" i="2"/>
  <c r="J1210" i="2"/>
  <c r="J1209" i="2"/>
  <c r="J1208" i="2"/>
  <c r="J1207" i="2"/>
  <c r="J1206" i="2"/>
  <c r="J1205" i="2"/>
  <c r="J1204" i="2"/>
  <c r="J1203" i="2"/>
  <c r="J1202" i="2"/>
  <c r="J1201" i="2"/>
  <c r="J1200" i="2"/>
  <c r="J1199" i="2"/>
  <c r="J1198" i="2"/>
  <c r="J1197" i="2"/>
  <c r="J1196" i="2"/>
  <c r="J1195" i="2"/>
  <c r="J1194" i="2"/>
  <c r="J1193" i="2"/>
  <c r="J1192" i="2"/>
  <c r="J1191" i="2"/>
  <c r="J1190" i="2"/>
  <c r="J1189" i="2"/>
  <c r="J1188" i="2"/>
  <c r="J1187" i="2"/>
  <c r="K1186" i="2"/>
  <c r="J1186" i="2"/>
  <c r="J1185" i="2"/>
  <c r="J1184" i="2"/>
  <c r="J1183" i="2"/>
  <c r="J1182" i="2"/>
  <c r="J1181" i="2"/>
  <c r="J1180" i="2"/>
  <c r="J1179" i="2"/>
  <c r="J1178" i="2"/>
  <c r="J1177" i="2"/>
  <c r="J1176" i="2"/>
  <c r="J1175" i="2"/>
  <c r="J1174" i="2"/>
  <c r="J1173" i="2"/>
  <c r="J1172" i="2"/>
  <c r="K1171" i="2"/>
  <c r="J1171" i="2"/>
  <c r="J1170" i="2"/>
  <c r="J1169" i="2"/>
  <c r="J1168" i="2"/>
  <c r="J1167" i="2"/>
  <c r="J1166" i="2"/>
  <c r="J1165" i="2"/>
  <c r="J1164" i="2"/>
  <c r="J1163" i="2"/>
  <c r="J1162" i="2"/>
  <c r="J1161" i="2"/>
  <c r="J1160" i="2"/>
  <c r="J1159" i="2"/>
  <c r="J1158" i="2"/>
  <c r="J1157" i="2"/>
  <c r="J1156" i="2"/>
  <c r="J1155" i="2"/>
  <c r="K1154" i="2"/>
  <c r="J1154" i="2"/>
  <c r="J1153" i="2"/>
  <c r="J1152" i="2"/>
  <c r="J1151" i="2"/>
  <c r="J1150" i="2"/>
  <c r="J1149" i="2"/>
  <c r="J1148" i="2"/>
  <c r="J1147" i="2"/>
  <c r="J1146" i="2"/>
  <c r="J1145" i="2"/>
  <c r="J1144" i="2"/>
  <c r="J1143" i="2"/>
  <c r="J1142" i="2"/>
  <c r="J1141" i="2"/>
  <c r="J1140" i="2"/>
  <c r="J1139" i="2"/>
  <c r="J1138" i="2"/>
  <c r="J1137" i="2"/>
  <c r="J1136" i="2"/>
  <c r="J1135" i="2"/>
  <c r="J1134" i="2"/>
  <c r="J1133" i="2"/>
  <c r="J1132" i="2"/>
  <c r="J1131" i="2"/>
  <c r="J1130" i="2"/>
  <c r="J1129" i="2"/>
  <c r="J1128" i="2"/>
  <c r="J1127" i="2"/>
  <c r="J1126" i="2"/>
  <c r="J1125" i="2"/>
  <c r="K1124" i="2"/>
  <c r="J1124" i="2"/>
  <c r="K1123" i="2"/>
  <c r="J1123" i="2"/>
  <c r="J1122" i="2"/>
  <c r="J1121" i="2"/>
  <c r="J1120" i="2"/>
  <c r="J1119" i="2"/>
  <c r="K1118" i="2"/>
  <c r="J1118" i="2"/>
  <c r="J1117" i="2"/>
  <c r="J1116" i="2"/>
  <c r="J1115" i="2"/>
  <c r="J1114" i="2"/>
  <c r="J1113" i="2"/>
  <c r="J1112" i="2"/>
  <c r="J1111" i="2"/>
  <c r="J1110" i="2"/>
  <c r="K1109" i="2"/>
  <c r="J1109" i="2"/>
  <c r="J1108" i="2"/>
  <c r="J1107" i="2"/>
  <c r="J1106" i="2"/>
  <c r="J1105" i="2"/>
  <c r="J1104" i="2"/>
  <c r="J1103" i="2"/>
  <c r="J1102" i="2"/>
  <c r="K1101" i="2"/>
  <c r="J1101" i="2"/>
  <c r="J1100" i="2"/>
  <c r="J1099" i="2"/>
  <c r="J1098" i="2"/>
  <c r="J1097" i="2"/>
  <c r="J1096" i="2"/>
  <c r="J1095" i="2"/>
  <c r="J1094" i="2"/>
  <c r="J1093" i="2"/>
  <c r="J1092" i="2"/>
  <c r="J1091" i="2"/>
  <c r="J1090" i="2"/>
  <c r="J1089" i="2"/>
  <c r="K1088" i="2"/>
  <c r="J1088" i="2"/>
  <c r="J1087" i="2"/>
  <c r="J1086" i="2"/>
  <c r="J1085" i="2"/>
  <c r="J1084" i="2"/>
  <c r="J1083" i="2"/>
  <c r="J1082" i="2"/>
  <c r="J1081" i="2"/>
  <c r="J1080" i="2"/>
  <c r="J1079" i="2"/>
  <c r="J1078" i="2"/>
  <c r="J1077" i="2"/>
  <c r="J1076" i="2"/>
  <c r="J1075" i="2"/>
  <c r="K1074" i="2"/>
  <c r="J1074" i="2"/>
  <c r="K1073" i="2"/>
  <c r="J1073" i="2"/>
  <c r="J1072" i="2"/>
  <c r="J1071" i="2"/>
  <c r="J1070" i="2"/>
  <c r="J1069" i="2"/>
  <c r="J1068" i="2"/>
  <c r="J1067" i="2"/>
  <c r="J1066" i="2"/>
  <c r="J1065" i="2"/>
  <c r="J1064" i="2"/>
  <c r="J1063" i="2"/>
  <c r="J1062" i="2"/>
  <c r="J1061" i="2"/>
  <c r="K1060" i="2"/>
  <c r="J1060" i="2"/>
  <c r="K1059" i="2"/>
  <c r="J1059" i="2"/>
  <c r="J1058" i="2"/>
  <c r="J1057" i="2"/>
  <c r="J1056" i="2"/>
  <c r="J1055" i="2"/>
  <c r="J1054" i="2"/>
  <c r="J1053" i="2"/>
  <c r="J1052" i="2"/>
  <c r="J1051" i="2"/>
  <c r="J1050" i="2"/>
  <c r="J1049" i="2"/>
  <c r="J1048" i="2"/>
  <c r="J1047" i="2"/>
  <c r="J1046" i="2"/>
  <c r="J1045" i="2"/>
  <c r="J1044" i="2"/>
  <c r="J1043" i="2"/>
  <c r="J1042" i="2"/>
  <c r="J1041" i="2"/>
  <c r="J1040" i="2"/>
  <c r="J1039" i="2"/>
  <c r="J1038" i="2"/>
  <c r="J1037" i="2"/>
  <c r="J1036" i="2"/>
  <c r="J1035" i="2"/>
  <c r="J1034" i="2"/>
  <c r="J1033" i="2"/>
  <c r="J1032" i="2"/>
  <c r="J1031" i="2"/>
  <c r="J1030" i="2"/>
  <c r="J1029" i="2"/>
  <c r="J1028" i="2"/>
  <c r="J1027" i="2"/>
  <c r="J1026" i="2"/>
  <c r="J1025" i="2"/>
  <c r="J1024" i="2"/>
  <c r="J1023" i="2"/>
  <c r="J1022" i="2"/>
  <c r="J1021" i="2"/>
  <c r="J1020" i="2"/>
  <c r="J1019" i="2"/>
  <c r="J1018" i="2"/>
  <c r="J1017" i="2"/>
  <c r="J1016" i="2"/>
  <c r="J1015" i="2"/>
  <c r="J1014" i="2"/>
  <c r="J1013" i="2"/>
  <c r="J1012" i="2"/>
  <c r="K1011" i="2"/>
  <c r="J1011" i="2"/>
  <c r="J1010" i="2"/>
  <c r="J1009" i="2"/>
  <c r="J1008" i="2"/>
  <c r="J1007" i="2"/>
  <c r="J1006" i="2"/>
  <c r="J1005" i="2"/>
  <c r="J1004" i="2"/>
  <c r="J1003" i="2"/>
  <c r="J1002" i="2"/>
  <c r="J1001" i="2"/>
  <c r="J1000" i="2"/>
  <c r="J999" i="2"/>
  <c r="J998" i="2"/>
  <c r="J997" i="2"/>
  <c r="J996" i="2"/>
  <c r="J995" i="2"/>
  <c r="K994" i="2"/>
  <c r="J994" i="2"/>
  <c r="J993" i="2"/>
  <c r="J992" i="2"/>
  <c r="J991" i="2"/>
  <c r="J990" i="2"/>
  <c r="K989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K977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K961" i="2"/>
  <c r="J961" i="2"/>
  <c r="J960" i="2"/>
  <c r="J959" i="2"/>
  <c r="J958" i="2"/>
  <c r="J957" i="2"/>
  <c r="K956" i="2"/>
  <c r="J956" i="2"/>
  <c r="J955" i="2"/>
  <c r="J954" i="2"/>
  <c r="J953" i="2"/>
  <c r="J952" i="2"/>
  <c r="J951" i="2"/>
  <c r="J950" i="2"/>
  <c r="K949" i="2"/>
  <c r="J949" i="2"/>
  <c r="K948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K936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K917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K903" i="2"/>
  <c r="J903" i="2"/>
  <c r="J902" i="2"/>
  <c r="J901" i="2"/>
  <c r="J900" i="2"/>
  <c r="J899" i="2"/>
  <c r="J898" i="2"/>
  <c r="J897" i="2"/>
  <c r="J896" i="2"/>
  <c r="K895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K869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K856" i="2"/>
  <c r="J856" i="2"/>
  <c r="K855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K840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K808" i="2"/>
  <c r="J808" i="2"/>
  <c r="K807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K794" i="2"/>
  <c r="J794" i="2"/>
  <c r="J793" i="2"/>
  <c r="J792" i="2"/>
  <c r="J791" i="2"/>
  <c r="J790" i="2"/>
  <c r="J789" i="2"/>
  <c r="K788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K761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K746" i="2"/>
  <c r="J746" i="2"/>
  <c r="J745" i="2"/>
  <c r="J744" i="2"/>
  <c r="J743" i="2"/>
  <c r="J742" i="2"/>
  <c r="J741" i="2"/>
  <c r="K740" i="2"/>
  <c r="J740" i="2"/>
  <c r="J739" i="2"/>
  <c r="J738" i="2"/>
  <c r="J737" i="2"/>
  <c r="J736" i="2"/>
  <c r="J735" i="2"/>
  <c r="J734" i="2"/>
  <c r="J733" i="2"/>
  <c r="J732" i="2"/>
  <c r="K731" i="2"/>
  <c r="J731" i="2"/>
  <c r="J730" i="2"/>
  <c r="J729" i="2"/>
  <c r="J728" i="2"/>
  <c r="J727" i="2"/>
  <c r="K726" i="2"/>
  <c r="J726" i="2"/>
  <c r="J725" i="2"/>
  <c r="J724" i="2"/>
  <c r="J723" i="2"/>
  <c r="J722" i="2"/>
  <c r="J721" i="2"/>
  <c r="J720" i="2"/>
  <c r="J719" i="2"/>
  <c r="J718" i="2"/>
  <c r="J717" i="2"/>
  <c r="J716" i="2"/>
  <c r="K715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K694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K671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K654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K636" i="2"/>
  <c r="J636" i="2"/>
  <c r="J635" i="2"/>
  <c r="J634" i="2"/>
  <c r="J633" i="2"/>
  <c r="J632" i="2"/>
  <c r="K631" i="2"/>
  <c r="J631" i="2"/>
  <c r="J630" i="2"/>
  <c r="J629" i="2"/>
  <c r="J628" i="2"/>
  <c r="J627" i="2"/>
  <c r="J626" i="2"/>
  <c r="J625" i="2"/>
  <c r="J624" i="2"/>
  <c r="J623" i="2"/>
  <c r="J622" i="2"/>
  <c r="J621" i="2"/>
  <c r="K620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K605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K591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K560" i="2"/>
  <c r="J560" i="2"/>
  <c r="K559" i="2"/>
  <c r="J559" i="2"/>
  <c r="K558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K545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K514" i="2"/>
  <c r="J514" i="2"/>
  <c r="K513" i="2"/>
  <c r="J513" i="2"/>
  <c r="J512" i="2"/>
  <c r="J511" i="2"/>
  <c r="J510" i="2"/>
  <c r="J509" i="2"/>
  <c r="J508" i="2"/>
  <c r="J507" i="2"/>
  <c r="K506" i="2"/>
  <c r="J506" i="2"/>
  <c r="J505" i="2"/>
  <c r="J504" i="2"/>
  <c r="J503" i="2"/>
  <c r="J502" i="2"/>
  <c r="J501" i="2"/>
  <c r="J500" i="2"/>
  <c r="J499" i="2"/>
  <c r="K498" i="2"/>
  <c r="J498" i="2"/>
  <c r="J497" i="2"/>
  <c r="J496" i="2"/>
  <c r="J495" i="2"/>
  <c r="J494" i="2"/>
  <c r="J493" i="2"/>
  <c r="J492" i="2"/>
  <c r="K491" i="2"/>
  <c r="J491" i="2"/>
  <c r="J490" i="2"/>
  <c r="J489" i="2"/>
  <c r="J488" i="2"/>
  <c r="J487" i="2"/>
  <c r="J486" i="2"/>
  <c r="J485" i="2"/>
  <c r="J484" i="2"/>
  <c r="J483" i="2"/>
  <c r="J482" i="2"/>
  <c r="K481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K468" i="2"/>
  <c r="J468" i="2"/>
  <c r="K467" i="2"/>
  <c r="J467" i="2"/>
  <c r="J466" i="2"/>
  <c r="J465" i="2"/>
  <c r="J464" i="2"/>
  <c r="J463" i="2"/>
  <c r="J462" i="2"/>
  <c r="K461" i="2"/>
  <c r="J461" i="2"/>
  <c r="J460" i="2"/>
  <c r="J459" i="2"/>
  <c r="J458" i="2"/>
  <c r="J457" i="2"/>
  <c r="J456" i="2"/>
  <c r="J455" i="2"/>
  <c r="J454" i="2"/>
  <c r="K453" i="2"/>
  <c r="J453" i="2"/>
  <c r="J452" i="2"/>
  <c r="K451" i="2"/>
  <c r="J451" i="2"/>
  <c r="J450" i="2"/>
  <c r="J449" i="2"/>
  <c r="J448" i="2"/>
  <c r="J447" i="2"/>
  <c r="K446" i="2"/>
  <c r="J446" i="2"/>
  <c r="J445" i="2"/>
  <c r="J444" i="2"/>
  <c r="J443" i="2"/>
  <c r="J442" i="2"/>
  <c r="J441" i="2"/>
  <c r="J440" i="2"/>
  <c r="J439" i="2"/>
  <c r="J438" i="2"/>
  <c r="J437" i="2"/>
  <c r="J436" i="2"/>
  <c r="K435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K423" i="2"/>
  <c r="J423" i="2"/>
  <c r="K422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K408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K379" i="2"/>
  <c r="J379" i="2"/>
  <c r="K378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K365" i="2"/>
  <c r="J365" i="2"/>
  <c r="J364" i="2"/>
  <c r="K363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K351" i="2"/>
  <c r="J351" i="2"/>
  <c r="J350" i="2"/>
  <c r="J349" i="2"/>
  <c r="K348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K333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K321" i="2"/>
  <c r="J321" i="2"/>
  <c r="K320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K304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K291" i="2"/>
  <c r="J291" i="2"/>
  <c r="J290" i="2"/>
  <c r="J289" i="2"/>
  <c r="K288" i="2"/>
  <c r="J288" i="2"/>
  <c r="J287" i="2"/>
  <c r="J286" i="2"/>
  <c r="J285" i="2"/>
  <c r="J284" i="2"/>
  <c r="K283" i="2"/>
  <c r="J283" i="2"/>
  <c r="J282" i="2"/>
  <c r="J281" i="2"/>
  <c r="J280" i="2"/>
  <c r="J279" i="2"/>
  <c r="J278" i="2"/>
  <c r="J277" i="2"/>
  <c r="J276" i="2"/>
  <c r="K275" i="2"/>
  <c r="J275" i="2"/>
  <c r="K274" i="2"/>
  <c r="J274" i="2"/>
  <c r="J273" i="2"/>
  <c r="J272" i="2"/>
  <c r="J271" i="2"/>
  <c r="J270" i="2"/>
  <c r="K269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K245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K213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K200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K184" i="2"/>
  <c r="J184" i="2"/>
  <c r="J183" i="2"/>
  <c r="J182" i="2"/>
  <c r="J181" i="2"/>
  <c r="J180" i="2"/>
  <c r="K179" i="2"/>
  <c r="J179" i="2"/>
  <c r="J178" i="2"/>
  <c r="J177" i="2"/>
  <c r="J176" i="2"/>
  <c r="J175" i="2"/>
  <c r="J174" i="2"/>
  <c r="J173" i="2"/>
  <c r="J172" i="2"/>
  <c r="J171" i="2"/>
  <c r="J170" i="2"/>
  <c r="K169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K155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K141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K125" i="2"/>
  <c r="J125" i="2"/>
  <c r="J124" i="2"/>
  <c r="K123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K110" i="2"/>
  <c r="J110" i="2"/>
  <c r="J109" i="2"/>
  <c r="J108" i="2"/>
  <c r="J107" i="2"/>
  <c r="J106" i="2"/>
  <c r="J105" i="2"/>
  <c r="J104" i="2"/>
  <c r="J103" i="2"/>
  <c r="K102" i="2"/>
  <c r="J102" i="2"/>
  <c r="J101" i="2"/>
  <c r="J100" i="2"/>
  <c r="J99" i="2"/>
  <c r="J98" i="2"/>
  <c r="J97" i="2"/>
  <c r="J96" i="2"/>
  <c r="J95" i="2"/>
  <c r="J94" i="2"/>
  <c r="J93" i="2"/>
  <c r="J92" i="2"/>
  <c r="K91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K78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K64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K39" i="2"/>
  <c r="J39" i="2"/>
  <c r="J38" i="2"/>
  <c r="J37" i="2"/>
  <c r="J36" i="2"/>
  <c r="J35" i="2"/>
  <c r="J34" i="2"/>
  <c r="K33" i="2"/>
  <c r="J33" i="2"/>
  <c r="K32" i="2"/>
  <c r="J32" i="2"/>
  <c r="K31" i="2"/>
  <c r="J31" i="2"/>
  <c r="J30" i="2"/>
  <c r="J29" i="2"/>
  <c r="J28" i="2"/>
  <c r="K27" i="2"/>
  <c r="K26" i="2"/>
  <c r="K25" i="2"/>
  <c r="J25" i="2"/>
  <c r="K24" i="2"/>
  <c r="J24" i="2"/>
  <c r="J23" i="2"/>
  <c r="J22" i="2"/>
  <c r="K21" i="2"/>
  <c r="J21" i="2"/>
  <c r="K20" i="2"/>
  <c r="J20" i="2"/>
  <c r="J19" i="2"/>
  <c r="K18" i="2"/>
  <c r="J18" i="2"/>
  <c r="J17" i="2"/>
  <c r="J16" i="2"/>
  <c r="J15" i="2"/>
  <c r="J14" i="2"/>
  <c r="K11" i="2"/>
  <c r="J11" i="2"/>
  <c r="J10" i="2"/>
  <c r="J9" i="2"/>
  <c r="J8" i="2"/>
  <c r="K7" i="2"/>
  <c r="J7" i="2"/>
  <c r="K34" i="2" l="1"/>
  <c r="K173" i="2"/>
  <c r="K263" i="2"/>
  <c r="K1560" i="2"/>
  <c r="K249" i="2"/>
  <c r="K382" i="2"/>
  <c r="L382" i="2" s="1"/>
  <c r="K440" i="2"/>
  <c r="K610" i="2"/>
  <c r="K735" i="2"/>
  <c r="K875" i="2"/>
  <c r="K1350" i="2"/>
  <c r="K1445" i="2"/>
  <c r="K1748" i="2"/>
  <c r="L1748" i="2" s="1"/>
  <c r="K84" i="2"/>
  <c r="K130" i="2"/>
  <c r="L130" i="2" s="1"/>
  <c r="K162" i="2"/>
  <c r="L162" i="2" s="1"/>
  <c r="K204" i="2"/>
  <c r="L204" i="2" s="1"/>
  <c r="K295" i="2"/>
  <c r="L295" i="2" s="1"/>
  <c r="K326" i="2"/>
  <c r="L326" i="2" s="1"/>
  <c r="K473" i="2"/>
  <c r="L473" i="2" s="1"/>
  <c r="K519" i="2"/>
  <c r="K565" i="2"/>
  <c r="K660" i="2"/>
  <c r="K769" i="2"/>
  <c r="L769" i="2" s="1"/>
  <c r="K830" i="2"/>
  <c r="L830" i="2" s="1"/>
  <c r="K877" i="2"/>
  <c r="K1017" i="2"/>
  <c r="K1066" i="2"/>
  <c r="K1130" i="2"/>
  <c r="K1765" i="2"/>
  <c r="K1817" i="2"/>
  <c r="L1434" i="3"/>
  <c r="L1565" i="3"/>
  <c r="D31" i="8"/>
  <c r="K17" i="8"/>
  <c r="J17" i="8"/>
  <c r="I17" i="8"/>
  <c r="H17" i="8"/>
  <c r="G31" i="8"/>
  <c r="G17" i="8"/>
  <c r="D17" i="8"/>
  <c r="K639" i="2"/>
  <c r="K686" i="2"/>
  <c r="K718" i="2"/>
  <c r="K888" i="2"/>
  <c r="K1028" i="2"/>
  <c r="L1028" i="2" s="1"/>
  <c r="K1061" i="2"/>
  <c r="K1141" i="2"/>
  <c r="K1206" i="2"/>
  <c r="K1221" i="2"/>
  <c r="K1301" i="2"/>
  <c r="K1425" i="2"/>
  <c r="L1425" i="2" s="1"/>
  <c r="K1576" i="2"/>
  <c r="L1576" i="2" s="1"/>
  <c r="K1610" i="2"/>
  <c r="L1610" i="2" s="1"/>
  <c r="K1728" i="2"/>
  <c r="K1794" i="2"/>
  <c r="K1845" i="2"/>
  <c r="L1845" i="2" s="1"/>
  <c r="K1988" i="2"/>
  <c r="L1988" i="2" s="1"/>
  <c r="K32" i="8"/>
  <c r="G32" i="8"/>
  <c r="D32" i="8"/>
  <c r="J18" i="8"/>
  <c r="D18" i="8"/>
  <c r="I18" i="8"/>
  <c r="K65" i="2"/>
  <c r="L65" i="2" s="1"/>
  <c r="K95" i="2"/>
  <c r="K111" i="2"/>
  <c r="K186" i="2"/>
  <c r="K231" i="2"/>
  <c r="K276" i="2"/>
  <c r="K395" i="2"/>
  <c r="K439" i="2"/>
  <c r="K499" i="2"/>
  <c r="K531" i="2"/>
  <c r="K546" i="2"/>
  <c r="K577" i="2"/>
  <c r="L577" i="2" s="1"/>
  <c r="K624" i="2"/>
  <c r="L624" i="2" s="1"/>
  <c r="K781" i="2"/>
  <c r="L781" i="2" s="1"/>
  <c r="K827" i="2"/>
  <c r="L827" i="2" s="1"/>
  <c r="K857" i="2"/>
  <c r="L857" i="2" s="1"/>
  <c r="K937" i="2"/>
  <c r="K950" i="2"/>
  <c r="K1046" i="2"/>
  <c r="K1156" i="2"/>
  <c r="K1239" i="2"/>
  <c r="L1239" i="2" s="1"/>
  <c r="K1349" i="2"/>
  <c r="L1349" i="2" s="1"/>
  <c r="K1379" i="2"/>
  <c r="K1476" i="2"/>
  <c r="L1476" i="2" s="1"/>
  <c r="K1509" i="2"/>
  <c r="K1952" i="2"/>
  <c r="K352" i="2"/>
  <c r="K411" i="2"/>
  <c r="L411" i="2" s="1"/>
  <c r="K426" i="2"/>
  <c r="K454" i="2"/>
  <c r="L454" i="2" s="1"/>
  <c r="K640" i="2"/>
  <c r="L640" i="2" s="1"/>
  <c r="K766" i="2"/>
  <c r="L766" i="2" s="1"/>
  <c r="K796" i="2"/>
  <c r="L796" i="2" s="1"/>
  <c r="K1207" i="2"/>
  <c r="L1207" i="2" s="1"/>
  <c r="K1255" i="2"/>
  <c r="L1255" i="2" s="1"/>
  <c r="K1287" i="2"/>
  <c r="K1364" i="2"/>
  <c r="L1364" i="2" s="1"/>
  <c r="K1779" i="2"/>
  <c r="K1971" i="2"/>
  <c r="L1971" i="2" s="1"/>
  <c r="L261" i="3"/>
  <c r="K34" i="8"/>
  <c r="G34" i="8"/>
  <c r="G20" i="8"/>
  <c r="E20" i="8"/>
  <c r="I20" i="8"/>
  <c r="K218" i="2"/>
  <c r="K264" i="2"/>
  <c r="K309" i="2"/>
  <c r="K338" i="2"/>
  <c r="K396" i="2"/>
  <c r="L396" i="2" s="1"/>
  <c r="K486" i="2"/>
  <c r="L486" i="2" s="1"/>
  <c r="K547" i="2"/>
  <c r="L547" i="2" s="1"/>
  <c r="K625" i="2"/>
  <c r="L625" i="2" s="1"/>
  <c r="K673" i="2"/>
  <c r="L673" i="2" s="1"/>
  <c r="K720" i="2"/>
  <c r="L720" i="2" s="1"/>
  <c r="K828" i="2"/>
  <c r="L828" i="2" s="1"/>
  <c r="K844" i="2"/>
  <c r="K890" i="2"/>
  <c r="K951" i="2"/>
  <c r="L951" i="2" s="1"/>
  <c r="K983" i="2"/>
  <c r="L983" i="2" s="1"/>
  <c r="K1015" i="2"/>
  <c r="K1143" i="2"/>
  <c r="L1143" i="2" s="1"/>
  <c r="K1336" i="2"/>
  <c r="K1397" i="2"/>
  <c r="K1545" i="2"/>
  <c r="K1612" i="2"/>
  <c r="K1663" i="2"/>
  <c r="K1680" i="2"/>
  <c r="K1713" i="2"/>
  <c r="L1713" i="2" s="1"/>
  <c r="K1830" i="2"/>
  <c r="K83" i="2"/>
  <c r="L83" i="2" s="1"/>
  <c r="K161" i="2"/>
  <c r="L161" i="2" s="1"/>
  <c r="K203" i="2"/>
  <c r="L203" i="2" s="1"/>
  <c r="K294" i="2"/>
  <c r="L294" i="2" s="1"/>
  <c r="K579" i="2"/>
  <c r="L579" i="2" s="1"/>
  <c r="K659" i="2"/>
  <c r="L659" i="2" s="1"/>
  <c r="K751" i="2"/>
  <c r="L751" i="2" s="1"/>
  <c r="K783" i="2"/>
  <c r="K813" i="2"/>
  <c r="K967" i="2"/>
  <c r="L967" i="2" s="1"/>
  <c r="K1113" i="2"/>
  <c r="K1129" i="2"/>
  <c r="L1129" i="2" s="1"/>
  <c r="K1176" i="2"/>
  <c r="K1193" i="2"/>
  <c r="L1193" i="2" s="1"/>
  <c r="K1241" i="2"/>
  <c r="K1288" i="2"/>
  <c r="K1413" i="2"/>
  <c r="L1413" i="2" s="1"/>
  <c r="K1597" i="2"/>
  <c r="K1647" i="2"/>
  <c r="K1764" i="2"/>
  <c r="K1848" i="2"/>
  <c r="L1848" i="2" s="1"/>
  <c r="K1883" i="2"/>
  <c r="L1883" i="2" s="1"/>
  <c r="L1651" i="3"/>
  <c r="K53" i="2"/>
  <c r="K98" i="2"/>
  <c r="L98" i="2" s="1"/>
  <c r="K175" i="2"/>
  <c r="L175" i="2" s="1"/>
  <c r="K265" i="2"/>
  <c r="K339" i="2"/>
  <c r="K354" i="2"/>
  <c r="K383" i="2"/>
  <c r="K428" i="2"/>
  <c r="K487" i="2"/>
  <c r="L487" i="2" s="1"/>
  <c r="K534" i="2"/>
  <c r="K706" i="2"/>
  <c r="K908" i="2"/>
  <c r="K924" i="2"/>
  <c r="K1080" i="2"/>
  <c r="K1225" i="2"/>
  <c r="K1273" i="2"/>
  <c r="L1273" i="2" s="1"/>
  <c r="K1351" i="2"/>
  <c r="K1398" i="2"/>
  <c r="K1463" i="2"/>
  <c r="L1463" i="2" s="1"/>
  <c r="K1546" i="2"/>
  <c r="L1546" i="2" s="1"/>
  <c r="K1698" i="2"/>
  <c r="L1698" i="2" s="1"/>
  <c r="K1937" i="2"/>
  <c r="L1937" i="2" s="1"/>
  <c r="K1992" i="2"/>
  <c r="L1992" i="2" s="1"/>
  <c r="L1661" i="3"/>
  <c r="K70" i="2"/>
  <c r="K116" i="2"/>
  <c r="K191" i="2"/>
  <c r="K236" i="2"/>
  <c r="K252" i="2"/>
  <c r="L252" i="2" s="1"/>
  <c r="K281" i="2"/>
  <c r="K340" i="2"/>
  <c r="L340" i="2" s="1"/>
  <c r="K371" i="2"/>
  <c r="K384" i="2"/>
  <c r="K415" i="2"/>
  <c r="K429" i="2"/>
  <c r="K504" i="2"/>
  <c r="K598" i="2"/>
  <c r="K613" i="2"/>
  <c r="L613" i="2" s="1"/>
  <c r="K815" i="2"/>
  <c r="L815" i="2" s="1"/>
  <c r="K925" i="2"/>
  <c r="L925" i="2" s="1"/>
  <c r="K1003" i="2"/>
  <c r="L1003" i="2" s="1"/>
  <c r="K1051" i="2"/>
  <c r="L1051" i="2" s="1"/>
  <c r="K1274" i="2"/>
  <c r="L1274" i="2" s="1"/>
  <c r="K1307" i="2"/>
  <c r="K1339" i="2"/>
  <c r="K1431" i="2"/>
  <c r="K1448" i="2"/>
  <c r="K1481" i="2"/>
  <c r="K1547" i="2"/>
  <c r="K1632" i="2"/>
  <c r="K1734" i="2"/>
  <c r="K1749" i="2"/>
  <c r="K1993" i="2"/>
  <c r="L1370" i="3"/>
  <c r="L1379" i="3"/>
  <c r="K50" i="2"/>
  <c r="K174" i="2"/>
  <c r="K705" i="2"/>
  <c r="K938" i="2"/>
  <c r="L938" i="2" s="1"/>
  <c r="K129" i="2"/>
  <c r="L129" i="2" s="1"/>
  <c r="K148" i="2"/>
  <c r="L148" i="2" s="1"/>
  <c r="K163" i="2"/>
  <c r="L163" i="2" s="1"/>
  <c r="K313" i="2"/>
  <c r="L313" i="2" s="1"/>
  <c r="K693" i="2"/>
  <c r="K739" i="2"/>
  <c r="K801" i="2"/>
  <c r="K848" i="2"/>
  <c r="L848" i="2" s="1"/>
  <c r="K863" i="2"/>
  <c r="K894" i="2"/>
  <c r="L894" i="2" s="1"/>
  <c r="K955" i="2"/>
  <c r="K1067" i="2"/>
  <c r="K1179" i="2"/>
  <c r="K1260" i="2"/>
  <c r="K1324" i="2"/>
  <c r="K1369" i="2"/>
  <c r="K1385" i="2"/>
  <c r="L1385" i="2" s="1"/>
  <c r="K1515" i="2"/>
  <c r="L1515" i="2" s="1"/>
  <c r="K1818" i="2"/>
  <c r="L1818" i="2" s="1"/>
  <c r="K1869" i="2"/>
  <c r="L1869" i="2" s="1"/>
  <c r="K56" i="2"/>
  <c r="L56" i="2" s="1"/>
  <c r="K71" i="2"/>
  <c r="L71" i="2" s="1"/>
  <c r="K192" i="2"/>
  <c r="L192" i="2" s="1"/>
  <c r="K223" i="2"/>
  <c r="L223" i="2" s="1"/>
  <c r="K328" i="2"/>
  <c r="K372" i="2"/>
  <c r="K401" i="2"/>
  <c r="K416" i="2"/>
  <c r="K537" i="2"/>
  <c r="L537" i="2" s="1"/>
  <c r="K583" i="2"/>
  <c r="L583" i="2" s="1"/>
  <c r="K599" i="2"/>
  <c r="K646" i="2"/>
  <c r="K678" i="2"/>
  <c r="K911" i="2"/>
  <c r="K943" i="2"/>
  <c r="K1004" i="2"/>
  <c r="K1036" i="2"/>
  <c r="K1148" i="2"/>
  <c r="K1197" i="2"/>
  <c r="L1197" i="2" s="1"/>
  <c r="K1213" i="2"/>
  <c r="K1228" i="2"/>
  <c r="L1228" i="2" s="1"/>
  <c r="K1308" i="2"/>
  <c r="L1308" i="2" s="1"/>
  <c r="K1417" i="2"/>
  <c r="L1417" i="2" s="1"/>
  <c r="K1449" i="2"/>
  <c r="L1449" i="2" s="1"/>
  <c r="K1466" i="2"/>
  <c r="K1533" i="2"/>
  <c r="K1617" i="2"/>
  <c r="L1617" i="2" s="1"/>
  <c r="K1633" i="2"/>
  <c r="K1701" i="2"/>
  <c r="L1701" i="2" s="1"/>
  <c r="K1802" i="2"/>
  <c r="L1802" i="2" s="1"/>
  <c r="L406" i="3"/>
  <c r="L415" i="3"/>
  <c r="L510" i="3"/>
  <c r="L625" i="3"/>
  <c r="L673" i="3"/>
  <c r="L788" i="3"/>
  <c r="L798" i="3"/>
  <c r="L1220" i="3"/>
  <c r="K2001" i="2"/>
  <c r="L2001" i="2" s="1"/>
  <c r="K1980" i="2"/>
  <c r="L1980" i="2" s="1"/>
  <c r="K1959" i="2"/>
  <c r="K1938" i="2"/>
  <c r="L1938" i="2" s="1"/>
  <c r="K1917" i="2"/>
  <c r="L1917" i="2" s="1"/>
  <c r="K1885" i="2"/>
  <c r="L1885" i="2" s="1"/>
  <c r="K1864" i="2"/>
  <c r="K1843" i="2"/>
  <c r="K1822" i="2"/>
  <c r="K1801" i="2"/>
  <c r="L1801" i="2" s="1"/>
  <c r="K1780" i="2"/>
  <c r="L1780" i="2" s="1"/>
  <c r="K1759" i="2"/>
  <c r="K1738" i="2"/>
  <c r="K1717" i="2"/>
  <c r="L1717" i="2" s="1"/>
  <c r="K1685" i="2"/>
  <c r="K1664" i="2"/>
  <c r="K1643" i="2"/>
  <c r="K1622" i="2"/>
  <c r="L1622" i="2" s="1"/>
  <c r="K1601" i="2"/>
  <c r="K1998" i="2"/>
  <c r="L1998" i="2" s="1"/>
  <c r="K1977" i="2"/>
  <c r="K1945" i="2"/>
  <c r="L1945" i="2" s="1"/>
  <c r="K1924" i="2"/>
  <c r="L1924" i="2" s="1"/>
  <c r="K1903" i="2"/>
  <c r="K1882" i="2"/>
  <c r="L1882" i="2" s="1"/>
  <c r="K1861" i="2"/>
  <c r="L1861" i="2" s="1"/>
  <c r="K1840" i="2"/>
  <c r="K1819" i="2"/>
  <c r="K1798" i="2"/>
  <c r="K1777" i="2"/>
  <c r="K1745" i="2"/>
  <c r="K1724" i="2"/>
  <c r="K1703" i="2"/>
  <c r="K1682" i="2"/>
  <c r="L1682" i="2" s="1"/>
  <c r="K1661" i="2"/>
  <c r="K1640" i="2"/>
  <c r="K1619" i="2"/>
  <c r="K1598" i="2"/>
  <c r="L1598" i="2" s="1"/>
  <c r="K2007" i="2"/>
  <c r="K1975" i="2"/>
  <c r="L1975" i="2" s="1"/>
  <c r="K1954" i="2"/>
  <c r="L1954" i="2" s="1"/>
  <c r="K1933" i="2"/>
  <c r="L1933" i="2" s="1"/>
  <c r="K1912" i="2"/>
  <c r="L1912" i="2" s="1"/>
  <c r="K1891" i="2"/>
  <c r="L1891" i="2" s="1"/>
  <c r="K1870" i="2"/>
  <c r="L1870" i="2" s="1"/>
  <c r="K1849" i="2"/>
  <c r="L1849" i="2" s="1"/>
  <c r="K1828" i="2"/>
  <c r="K1807" i="2"/>
  <c r="K1775" i="2"/>
  <c r="K1754" i="2"/>
  <c r="L1754" i="2" s="1"/>
  <c r="K1733" i="2"/>
  <c r="K1712" i="2"/>
  <c r="L1712" i="2" s="1"/>
  <c r="K1691" i="2"/>
  <c r="K1670" i="2"/>
  <c r="K1649" i="2"/>
  <c r="K1628" i="2"/>
  <c r="K1607" i="2"/>
  <c r="K1967" i="2"/>
  <c r="L1967" i="2" s="1"/>
  <c r="K1944" i="2"/>
  <c r="K1910" i="2"/>
  <c r="K1899" i="2"/>
  <c r="K1888" i="2"/>
  <c r="L1888" i="2" s="1"/>
  <c r="K1865" i="2"/>
  <c r="L1865" i="2" s="1"/>
  <c r="K1842" i="2"/>
  <c r="L1842" i="2" s="1"/>
  <c r="K1831" i="2"/>
  <c r="L1831" i="2" s="1"/>
  <c r="K1763" i="2"/>
  <c r="L1763" i="2" s="1"/>
  <c r="K1729" i="2"/>
  <c r="K1718" i="2"/>
  <c r="K1695" i="2"/>
  <c r="K1650" i="2"/>
  <c r="L1650" i="2" s="1"/>
  <c r="K1638" i="2"/>
  <c r="L1638" i="2" s="1"/>
  <c r="K1627" i="2"/>
  <c r="L1627" i="2" s="1"/>
  <c r="K1615" i="2"/>
  <c r="K1604" i="2"/>
  <c r="K942" i="2"/>
  <c r="K852" i="2"/>
  <c r="K832" i="2"/>
  <c r="K812" i="2"/>
  <c r="K802" i="2"/>
  <c r="K782" i="2"/>
  <c r="L782" i="2" s="1"/>
  <c r="K772" i="2"/>
  <c r="K752" i="2"/>
  <c r="L752" i="2" s="1"/>
  <c r="K742" i="2"/>
  <c r="K722" i="2"/>
  <c r="L722" i="2" s="1"/>
  <c r="K712" i="2"/>
  <c r="L712" i="2" s="1"/>
  <c r="K702" i="2"/>
  <c r="L702" i="2" s="1"/>
  <c r="K692" i="2"/>
  <c r="K682" i="2"/>
  <c r="K672" i="2"/>
  <c r="K662" i="2"/>
  <c r="L662" i="2" s="1"/>
  <c r="K652" i="2"/>
  <c r="K642" i="2"/>
  <c r="L642" i="2" s="1"/>
  <c r="K632" i="2"/>
  <c r="K622" i="2"/>
  <c r="K612" i="2"/>
  <c r="K602" i="2"/>
  <c r="K592" i="2"/>
  <c r="K582" i="2"/>
  <c r="K572" i="2"/>
  <c r="K562" i="2"/>
  <c r="L562" i="2" s="1"/>
  <c r="K552" i="2"/>
  <c r="L552" i="2" s="1"/>
  <c r="K542" i="2"/>
  <c r="L542" i="2" s="1"/>
  <c r="K532" i="2"/>
  <c r="L532" i="2" s="1"/>
  <c r="K522" i="2"/>
  <c r="L522" i="2" s="1"/>
  <c r="K512" i="2"/>
  <c r="L512" i="2" s="1"/>
  <c r="K502" i="2"/>
  <c r="L502" i="2" s="1"/>
  <c r="K492" i="2"/>
  <c r="L492" i="2" s="1"/>
  <c r="K482" i="2"/>
  <c r="K472" i="2"/>
  <c r="K462" i="2"/>
  <c r="K452" i="2"/>
  <c r="K442" i="2"/>
  <c r="L442" i="2" s="1"/>
  <c r="K432" i="2"/>
  <c r="K2000" i="2"/>
  <c r="K1989" i="2"/>
  <c r="K1978" i="2"/>
  <c r="K1955" i="2"/>
  <c r="K1932" i="2"/>
  <c r="L1932" i="2" s="1"/>
  <c r="K1921" i="2"/>
  <c r="L1921" i="2" s="1"/>
  <c r="K1853" i="2"/>
  <c r="K1808" i="2"/>
  <c r="L1808" i="2" s="1"/>
  <c r="K1785" i="2"/>
  <c r="L1785" i="2" s="1"/>
  <c r="K1773" i="2"/>
  <c r="L1773" i="2" s="1"/>
  <c r="K1751" i="2"/>
  <c r="L1751" i="2" s="1"/>
  <c r="K1740" i="2"/>
  <c r="L1740" i="2" s="1"/>
  <c r="K1683" i="2"/>
  <c r="L1683" i="2" s="1"/>
  <c r="K1672" i="2"/>
  <c r="K1660" i="2"/>
  <c r="K1592" i="2"/>
  <c r="K1582" i="2"/>
  <c r="K1572" i="2"/>
  <c r="K1562" i="2"/>
  <c r="L1562" i="2" s="1"/>
  <c r="K1552" i="2"/>
  <c r="K1542" i="2"/>
  <c r="L1542" i="2" s="1"/>
  <c r="K1532" i="2"/>
  <c r="K1522" i="2"/>
  <c r="K1512" i="2"/>
  <c r="K1502" i="2"/>
  <c r="K1492" i="2"/>
  <c r="L1492" i="2" s="1"/>
  <c r="K1482" i="2"/>
  <c r="K1472" i="2"/>
  <c r="K1462" i="2"/>
  <c r="L1462" i="2" s="1"/>
  <c r="K1452" i="2"/>
  <c r="L1452" i="2" s="1"/>
  <c r="K1442" i="2"/>
  <c r="L1442" i="2" s="1"/>
  <c r="K1432" i="2"/>
  <c r="L1432" i="2" s="1"/>
  <c r="K1422" i="2"/>
  <c r="L1422" i="2" s="1"/>
  <c r="K1412" i="2"/>
  <c r="K1402" i="2"/>
  <c r="K1392" i="2"/>
  <c r="L1392" i="2" s="1"/>
  <c r="K1382" i="2"/>
  <c r="K1372" i="2"/>
  <c r="L1372" i="2" s="1"/>
  <c r="K1362" i="2"/>
  <c r="L1362" i="2" s="1"/>
  <c r="K1352" i="2"/>
  <c r="K1342" i="2"/>
  <c r="K1332" i="2"/>
  <c r="K1322" i="2"/>
  <c r="K1312" i="2"/>
  <c r="K1302" i="2"/>
  <c r="L1302" i="2" s="1"/>
  <c r="K1292" i="2"/>
  <c r="K1282" i="2"/>
  <c r="K1272" i="2"/>
  <c r="L1272" i="2" s="1"/>
  <c r="K1262" i="2"/>
  <c r="L1262" i="2" s="1"/>
  <c r="K1252" i="2"/>
  <c r="L1252" i="2" s="1"/>
  <c r="K1242" i="2"/>
  <c r="L1242" i="2" s="1"/>
  <c r="K1232" i="2"/>
  <c r="L1232" i="2" s="1"/>
  <c r="K1222" i="2"/>
  <c r="L1222" i="2" s="1"/>
  <c r="K1212" i="2"/>
  <c r="K1202" i="2"/>
  <c r="K1192" i="2"/>
  <c r="K1182" i="2"/>
  <c r="K1172" i="2"/>
  <c r="K1162" i="2"/>
  <c r="L1162" i="2" s="1"/>
  <c r="K1152" i="2"/>
  <c r="K1142" i="2"/>
  <c r="L1142" i="2" s="1"/>
  <c r="K1132" i="2"/>
  <c r="K1122" i="2"/>
  <c r="K1112" i="2"/>
  <c r="K1102" i="2"/>
  <c r="L1102" i="2" s="1"/>
  <c r="K1092" i="2"/>
  <c r="K1082" i="2"/>
  <c r="K1072" i="2"/>
  <c r="L1072" i="2" s="1"/>
  <c r="K1062" i="2"/>
  <c r="L1062" i="2" s="1"/>
  <c r="K1052" i="2"/>
  <c r="L1052" i="2" s="1"/>
  <c r="K1042" i="2"/>
  <c r="L1042" i="2" s="1"/>
  <c r="K1032" i="2"/>
  <c r="L1032" i="2" s="1"/>
  <c r="K1022" i="2"/>
  <c r="L1022" i="2" s="1"/>
  <c r="K1012" i="2"/>
  <c r="K1002" i="2"/>
  <c r="K992" i="2"/>
  <c r="K982" i="2"/>
  <c r="K972" i="2"/>
  <c r="L972" i="2" s="1"/>
  <c r="K962" i="2"/>
  <c r="L962" i="2" s="1"/>
  <c r="K952" i="2"/>
  <c r="K932" i="2"/>
  <c r="K922" i="2"/>
  <c r="K912" i="2"/>
  <c r="K902" i="2"/>
  <c r="K892" i="2"/>
  <c r="K882" i="2"/>
  <c r="K872" i="2"/>
  <c r="K862" i="2"/>
  <c r="L862" i="2" s="1"/>
  <c r="K842" i="2"/>
  <c r="L842" i="2" s="1"/>
  <c r="K822" i="2"/>
  <c r="L822" i="2" s="1"/>
  <c r="K792" i="2"/>
  <c r="L792" i="2" s="1"/>
  <c r="K762" i="2"/>
  <c r="L762" i="2" s="1"/>
  <c r="K1987" i="2"/>
  <c r="L1987" i="2" s="1"/>
  <c r="K1974" i="2"/>
  <c r="K1963" i="2"/>
  <c r="K1951" i="2"/>
  <c r="L1951" i="2" s="1"/>
  <c r="K1915" i="2"/>
  <c r="K1892" i="2"/>
  <c r="L1892" i="2" s="1"/>
  <c r="K1797" i="2"/>
  <c r="K1762" i="2"/>
  <c r="K1750" i="2"/>
  <c r="K1714" i="2"/>
  <c r="K1679" i="2"/>
  <c r="K1655" i="2"/>
  <c r="K1608" i="2"/>
  <c r="K1595" i="2"/>
  <c r="L1595" i="2" s="1"/>
  <c r="K1574" i="2"/>
  <c r="L1574" i="2" s="1"/>
  <c r="K1553" i="2"/>
  <c r="L1553" i="2" s="1"/>
  <c r="K1521" i="2"/>
  <c r="L1521" i="2" s="1"/>
  <c r="K1500" i="2"/>
  <c r="L1500" i="2" s="1"/>
  <c r="K1479" i="2"/>
  <c r="L1479" i="2" s="1"/>
  <c r="K1458" i="2"/>
  <c r="L1458" i="2" s="1"/>
  <c r="K1437" i="2"/>
  <c r="L1437" i="2" s="1"/>
  <c r="K1416" i="2"/>
  <c r="K1395" i="2"/>
  <c r="K1374" i="2"/>
  <c r="L1374" i="2" s="1"/>
  <c r="K1353" i="2"/>
  <c r="L1353" i="2" s="1"/>
  <c r="K1321" i="2"/>
  <c r="K1300" i="2"/>
  <c r="L1300" i="2" s="1"/>
  <c r="K1279" i="2"/>
  <c r="K1258" i="2"/>
  <c r="K1237" i="2"/>
  <c r="K1216" i="2"/>
  <c r="K1195" i="2"/>
  <c r="K1174" i="2"/>
  <c r="L1174" i="2" s="1"/>
  <c r="K1153" i="2"/>
  <c r="K1121" i="2"/>
  <c r="L1121" i="2" s="1"/>
  <c r="K1100" i="2"/>
  <c r="L1100" i="2" s="1"/>
  <c r="K1079" i="2"/>
  <c r="K1058" i="2"/>
  <c r="L1058" i="2" s="1"/>
  <c r="K1037" i="2"/>
  <c r="L1037" i="2" s="1"/>
  <c r="K1016" i="2"/>
  <c r="L1016" i="2" s="1"/>
  <c r="K995" i="2"/>
  <c r="L995" i="2" s="1"/>
  <c r="K974" i="2"/>
  <c r="K953" i="2"/>
  <c r="K921" i="2"/>
  <c r="K900" i="2"/>
  <c r="K879" i="2"/>
  <c r="L879" i="2" s="1"/>
  <c r="K858" i="2"/>
  <c r="L858" i="2" s="1"/>
  <c r="K837" i="2"/>
  <c r="K816" i="2"/>
  <c r="K795" i="2"/>
  <c r="K774" i="2"/>
  <c r="K753" i="2"/>
  <c r="K732" i="2"/>
  <c r="K711" i="2"/>
  <c r="K690" i="2"/>
  <c r="L690" i="2" s="1"/>
  <c r="K669" i="2"/>
  <c r="L669" i="2" s="1"/>
  <c r="K648" i="2"/>
  <c r="L648" i="2" s="1"/>
  <c r="K627" i="2"/>
  <c r="L627" i="2" s="1"/>
  <c r="K606" i="2"/>
  <c r="L606" i="2" s="1"/>
  <c r="K585" i="2"/>
  <c r="L585" i="2" s="1"/>
  <c r="K564" i="2"/>
  <c r="L564" i="2" s="1"/>
  <c r="K543" i="2"/>
  <c r="K511" i="2"/>
  <c r="K490" i="2"/>
  <c r="K469" i="2"/>
  <c r="L469" i="2" s="1"/>
  <c r="K448" i="2"/>
  <c r="K427" i="2"/>
  <c r="L427" i="2" s="1"/>
  <c r="K417" i="2"/>
  <c r="K407" i="2"/>
  <c r="L407" i="2" s="1"/>
  <c r="K397" i="2"/>
  <c r="K387" i="2"/>
  <c r="K377" i="2"/>
  <c r="K367" i="2"/>
  <c r="L367" i="2" s="1"/>
  <c r="K357" i="2"/>
  <c r="K347" i="2"/>
  <c r="L347" i="2" s="1"/>
  <c r="K337" i="2"/>
  <c r="L337" i="2" s="1"/>
  <c r="K327" i="2"/>
  <c r="L327" i="2" s="1"/>
  <c r="K317" i="2"/>
  <c r="L317" i="2" s="1"/>
  <c r="K307" i="2"/>
  <c r="L307" i="2" s="1"/>
  <c r="K297" i="2"/>
  <c r="L297" i="2" s="1"/>
  <c r="K287" i="2"/>
  <c r="L287" i="2" s="1"/>
  <c r="K277" i="2"/>
  <c r="K267" i="2"/>
  <c r="K257" i="2"/>
  <c r="L257" i="2" s="1"/>
  <c r="K247" i="2"/>
  <c r="L247" i="2" s="1"/>
  <c r="K237" i="2"/>
  <c r="L237" i="2" s="1"/>
  <c r="K227" i="2"/>
  <c r="L227" i="2" s="1"/>
  <c r="K217" i="2"/>
  <c r="K207" i="2"/>
  <c r="K197" i="2"/>
  <c r="K187" i="2"/>
  <c r="K177" i="2"/>
  <c r="K167" i="2"/>
  <c r="K157" i="2"/>
  <c r="L157" i="2" s="1"/>
  <c r="K147" i="2"/>
  <c r="K137" i="2"/>
  <c r="K127" i="2"/>
  <c r="L127" i="2" s="1"/>
  <c r="K117" i="2"/>
  <c r="L117" i="2" s="1"/>
  <c r="K107" i="2"/>
  <c r="L107" i="2" s="1"/>
  <c r="K97" i="2"/>
  <c r="L97" i="2" s="1"/>
  <c r="K87" i="2"/>
  <c r="L87" i="2" s="1"/>
  <c r="K77" i="2"/>
  <c r="K67" i="2"/>
  <c r="K57" i="2"/>
  <c r="L57" i="2" s="1"/>
  <c r="K47" i="2"/>
  <c r="L47" i="2" s="1"/>
  <c r="K1939" i="2"/>
  <c r="L1939" i="2" s="1"/>
  <c r="K1927" i="2"/>
  <c r="L1927" i="2" s="1"/>
  <c r="K1879" i="2"/>
  <c r="K1868" i="2"/>
  <c r="L1868" i="2" s="1"/>
  <c r="K1844" i="2"/>
  <c r="K1832" i="2"/>
  <c r="K1820" i="2"/>
  <c r="K1809" i="2"/>
  <c r="K1702" i="2"/>
  <c r="K1667" i="2"/>
  <c r="K1631" i="2"/>
  <c r="L1631" i="2" s="1"/>
  <c r="K1584" i="2"/>
  <c r="L1584" i="2" s="1"/>
  <c r="K1563" i="2"/>
  <c r="L1563" i="2" s="1"/>
  <c r="K1531" i="2"/>
  <c r="L1531" i="2" s="1"/>
  <c r="K1510" i="2"/>
  <c r="K1489" i="2"/>
  <c r="L1489" i="2" s="1"/>
  <c r="K1468" i="2"/>
  <c r="K1447" i="2"/>
  <c r="K1426" i="2"/>
  <c r="K1405" i="2"/>
  <c r="L1405" i="2" s="1"/>
  <c r="K1384" i="2"/>
  <c r="K1363" i="2"/>
  <c r="L1363" i="2" s="1"/>
  <c r="K1331" i="2"/>
  <c r="K1310" i="2"/>
  <c r="L1310" i="2" s="1"/>
  <c r="K1289" i="2"/>
  <c r="L1289" i="2" s="1"/>
  <c r="K1268" i="2"/>
  <c r="K1247" i="2"/>
  <c r="K1226" i="2"/>
  <c r="K1205" i="2"/>
  <c r="K1184" i="2"/>
  <c r="L1184" i="2" s="1"/>
  <c r="K1163" i="2"/>
  <c r="L1163" i="2" s="1"/>
  <c r="K1131" i="2"/>
  <c r="L1131" i="2" s="1"/>
  <c r="K1110" i="2"/>
  <c r="L1110" i="2" s="1"/>
  <c r="K1089" i="2"/>
  <c r="L1089" i="2" s="1"/>
  <c r="K1068" i="2"/>
  <c r="L1068" i="2" s="1"/>
  <c r="K1047" i="2"/>
  <c r="L1047" i="2" s="1"/>
  <c r="K1026" i="2"/>
  <c r="L1026" i="2" s="1"/>
  <c r="K1005" i="2"/>
  <c r="K984" i="2"/>
  <c r="K963" i="2"/>
  <c r="L963" i="2" s="1"/>
  <c r="K931" i="2"/>
  <c r="K910" i="2"/>
  <c r="L910" i="2" s="1"/>
  <c r="K889" i="2"/>
  <c r="K868" i="2"/>
  <c r="K847" i="2"/>
  <c r="K826" i="2"/>
  <c r="K805" i="2"/>
  <c r="K784" i="2"/>
  <c r="L784" i="2" s="1"/>
  <c r="K763" i="2"/>
  <c r="L763" i="2" s="1"/>
  <c r="K721" i="2"/>
  <c r="K700" i="2"/>
  <c r="K679" i="2"/>
  <c r="K658" i="2"/>
  <c r="L658" i="2" s="1"/>
  <c r="K637" i="2"/>
  <c r="L637" i="2" s="1"/>
  <c r="K616" i="2"/>
  <c r="L616" i="2" s="1"/>
  <c r="K595" i="2"/>
  <c r="K574" i="2"/>
  <c r="K553" i="2"/>
  <c r="K521" i="2"/>
  <c r="K500" i="2"/>
  <c r="K479" i="2"/>
  <c r="K458" i="2"/>
  <c r="L458" i="2" s="1"/>
  <c r="K437" i="2"/>
  <c r="K1970" i="2"/>
  <c r="K1947" i="2"/>
  <c r="K1887" i="2"/>
  <c r="K1875" i="2"/>
  <c r="K1863" i="2"/>
  <c r="K1839" i="2"/>
  <c r="K1804" i="2"/>
  <c r="K1769" i="2"/>
  <c r="L1769" i="2" s="1"/>
  <c r="K1687" i="2"/>
  <c r="L1687" i="2" s="1"/>
  <c r="K1651" i="2"/>
  <c r="L1651" i="2" s="1"/>
  <c r="K1614" i="2"/>
  <c r="L1614" i="2" s="1"/>
  <c r="K1580" i="2"/>
  <c r="L1580" i="2" s="1"/>
  <c r="K1559" i="2"/>
  <c r="L1559" i="2" s="1"/>
  <c r="K1538" i="2"/>
  <c r="L1538" i="2" s="1"/>
  <c r="K1517" i="2"/>
  <c r="K1496" i="2"/>
  <c r="K1475" i="2"/>
  <c r="K1454" i="2"/>
  <c r="K1433" i="2"/>
  <c r="L1433" i="2" s="1"/>
  <c r="K1401" i="2"/>
  <c r="L1401" i="2" s="1"/>
  <c r="K1380" i="2"/>
  <c r="K1359" i="2"/>
  <c r="K1338" i="2"/>
  <c r="K1317" i="2"/>
  <c r="K1296" i="2"/>
  <c r="K1275" i="2"/>
  <c r="K1254" i="2"/>
  <c r="K1233" i="2"/>
  <c r="L1233" i="2" s="1"/>
  <c r="K1201" i="2"/>
  <c r="L1201" i="2" s="1"/>
  <c r="K1180" i="2"/>
  <c r="L1180" i="2" s="1"/>
  <c r="K1159" i="2"/>
  <c r="L1159" i="2" s="1"/>
  <c r="K1138" i="2"/>
  <c r="L1138" i="2" s="1"/>
  <c r="K1117" i="2"/>
  <c r="L1117" i="2" s="1"/>
  <c r="K1096" i="2"/>
  <c r="K1075" i="2"/>
  <c r="K1054" i="2"/>
  <c r="K1033" i="2"/>
  <c r="L1033" i="2" s="1"/>
  <c r="K1973" i="2"/>
  <c r="L1973" i="2" s="1"/>
  <c r="K1961" i="2"/>
  <c r="K1935" i="2"/>
  <c r="K1898" i="2"/>
  <c r="K1859" i="2"/>
  <c r="K1834" i="2"/>
  <c r="K1810" i="2"/>
  <c r="L1810" i="2" s="1"/>
  <c r="K1772" i="2"/>
  <c r="K1760" i="2"/>
  <c r="L1760" i="2" s="1"/>
  <c r="K1735" i="2"/>
  <c r="K1723" i="2"/>
  <c r="L1723" i="2" s="1"/>
  <c r="K1699" i="2"/>
  <c r="L1699" i="2" s="1"/>
  <c r="K1674" i="2"/>
  <c r="L1674" i="2" s="1"/>
  <c r="K1648" i="2"/>
  <c r="L1648" i="2" s="1"/>
  <c r="K1611" i="2"/>
  <c r="L1611" i="2" s="1"/>
  <c r="K1575" i="2"/>
  <c r="L1575" i="2" s="1"/>
  <c r="K1564" i="2"/>
  <c r="L1564" i="2" s="1"/>
  <c r="K1541" i="2"/>
  <c r="K1507" i="2"/>
  <c r="L1507" i="2" s="1"/>
  <c r="K1473" i="2"/>
  <c r="K1450" i="2"/>
  <c r="L1450" i="2" s="1"/>
  <c r="K1439" i="2"/>
  <c r="K1348" i="2"/>
  <c r="K1337" i="2"/>
  <c r="K1326" i="2"/>
  <c r="K1269" i="2"/>
  <c r="K1246" i="2"/>
  <c r="L1246" i="2" s="1"/>
  <c r="K1235" i="2"/>
  <c r="K1178" i="2"/>
  <c r="L1178" i="2" s="1"/>
  <c r="K1167" i="2"/>
  <c r="L1167" i="2" s="1"/>
  <c r="K1099" i="2"/>
  <c r="L1099" i="2" s="1"/>
  <c r="K1065" i="2"/>
  <c r="L1065" i="2" s="1"/>
  <c r="K920" i="2"/>
  <c r="L920" i="2" s="1"/>
  <c r="K909" i="2"/>
  <c r="L909" i="2" s="1"/>
  <c r="K898" i="2"/>
  <c r="L898" i="2" s="1"/>
  <c r="K887" i="2"/>
  <c r="L887" i="2" s="1"/>
  <c r="K876" i="2"/>
  <c r="K865" i="2"/>
  <c r="K854" i="2"/>
  <c r="K843" i="2"/>
  <c r="L843" i="2" s="1"/>
  <c r="K733" i="2"/>
  <c r="K611" i="2"/>
  <c r="K600" i="2"/>
  <c r="K1948" i="2"/>
  <c r="L1948" i="2" s="1"/>
  <c r="K1922" i="2"/>
  <c r="K1909" i="2"/>
  <c r="K1884" i="2"/>
  <c r="L1884" i="2" s="1"/>
  <c r="K1872" i="2"/>
  <c r="K1847" i="2"/>
  <c r="K1821" i="2"/>
  <c r="L1821" i="2" s="1"/>
  <c r="K1795" i="2"/>
  <c r="K1784" i="2"/>
  <c r="L1784" i="2" s="1"/>
  <c r="K1747" i="2"/>
  <c r="L1747" i="2" s="1"/>
  <c r="K1710" i="2"/>
  <c r="L1710" i="2" s="1"/>
  <c r="K1635" i="2"/>
  <c r="L1635" i="2" s="1"/>
  <c r="K1623" i="2"/>
  <c r="L1623" i="2" s="1"/>
  <c r="K1586" i="2"/>
  <c r="K1551" i="2"/>
  <c r="K1529" i="2"/>
  <c r="K1518" i="2"/>
  <c r="L1518" i="2" s="1"/>
  <c r="K1495" i="2"/>
  <c r="K1484" i="2"/>
  <c r="L1484" i="2" s="1"/>
  <c r="K1461" i="2"/>
  <c r="K1427" i="2"/>
  <c r="L1427" i="2" s="1"/>
  <c r="K1393" i="2"/>
  <c r="K1370" i="2"/>
  <c r="K1314" i="2"/>
  <c r="K1303" i="2"/>
  <c r="K1291" i="2"/>
  <c r="L1291" i="2" s="1"/>
  <c r="K1280" i="2"/>
  <c r="K1257" i="2"/>
  <c r="L1257" i="2" s="1"/>
  <c r="K1223" i="2"/>
  <c r="K1200" i="2"/>
  <c r="L1200" i="2" s="1"/>
  <c r="K1189" i="2"/>
  <c r="L1189" i="2" s="1"/>
  <c r="K1155" i="2"/>
  <c r="L1155" i="2" s="1"/>
  <c r="K1144" i="2"/>
  <c r="L1144" i="2" s="1"/>
  <c r="K1133" i="2"/>
  <c r="L1133" i="2" s="1"/>
  <c r="K1087" i="2"/>
  <c r="K1076" i="2"/>
  <c r="L1076" i="2" s="1"/>
  <c r="K1053" i="2"/>
  <c r="L1053" i="2" s="1"/>
  <c r="K1030" i="2"/>
  <c r="L1030" i="2" s="1"/>
  <c r="K1019" i="2"/>
  <c r="L1019" i="2" s="1"/>
  <c r="K1008" i="2"/>
  <c r="K997" i="2"/>
  <c r="K986" i="2"/>
  <c r="K975" i="2"/>
  <c r="K964" i="2"/>
  <c r="L964" i="2" s="1"/>
  <c r="K831" i="2"/>
  <c r="K820" i="2"/>
  <c r="K809" i="2"/>
  <c r="K798" i="2"/>
  <c r="L798" i="2" s="1"/>
  <c r="K787" i="2"/>
  <c r="L787" i="2" s="1"/>
  <c r="K776" i="2"/>
  <c r="L776" i="2" s="1"/>
  <c r="K765" i="2"/>
  <c r="L765" i="2" s="1"/>
  <c r="K754" i="2"/>
  <c r="L754" i="2" s="1"/>
  <c r="K743" i="2"/>
  <c r="L743" i="2" s="1"/>
  <c r="K710" i="2"/>
  <c r="K699" i="2"/>
  <c r="K688" i="2"/>
  <c r="K677" i="2"/>
  <c r="L677" i="2" s="1"/>
  <c r="K666" i="2"/>
  <c r="K655" i="2"/>
  <c r="L655" i="2" s="1"/>
  <c r="K644" i="2"/>
  <c r="K1994" i="2"/>
  <c r="K1957" i="2"/>
  <c r="K1877" i="2"/>
  <c r="K1811" i="2"/>
  <c r="K1771" i="2"/>
  <c r="L1771" i="2" s="1"/>
  <c r="K1758" i="2"/>
  <c r="K1732" i="2"/>
  <c r="K1720" i="2"/>
  <c r="L1720" i="2" s="1"/>
  <c r="K1707" i="2"/>
  <c r="L1707" i="2" s="1"/>
  <c r="K1694" i="2"/>
  <c r="L1694" i="2" s="1"/>
  <c r="K1681" i="2"/>
  <c r="L1681" i="2" s="1"/>
  <c r="K1642" i="2"/>
  <c r="L1642" i="2" s="1"/>
  <c r="K1590" i="2"/>
  <c r="L1590" i="2" s="1"/>
  <c r="K1578" i="2"/>
  <c r="K1543" i="2"/>
  <c r="K1519" i="2"/>
  <c r="K1483" i="2"/>
  <c r="K1459" i="2"/>
  <c r="K1435" i="2"/>
  <c r="K1423" i="2"/>
  <c r="K1400" i="2"/>
  <c r="K1377" i="2"/>
  <c r="K1354" i="2"/>
  <c r="K1330" i="2"/>
  <c r="L1330" i="2" s="1"/>
  <c r="K1283" i="2"/>
  <c r="K1259" i="2"/>
  <c r="L1259" i="2" s="1"/>
  <c r="K1211" i="2"/>
  <c r="L1211" i="2" s="1"/>
  <c r="K1199" i="2"/>
  <c r="L1199" i="2" s="1"/>
  <c r="K1164" i="2"/>
  <c r="L1164" i="2" s="1"/>
  <c r="K1151" i="2"/>
  <c r="L1151" i="2" s="1"/>
  <c r="K1140" i="2"/>
  <c r="L1140" i="2" s="1"/>
  <c r="K1128" i="2"/>
  <c r="L1128" i="2" s="1"/>
  <c r="K999" i="2"/>
  <c r="L999" i="2" s="1"/>
  <c r="K976" i="2"/>
  <c r="K919" i="2"/>
  <c r="K896" i="2"/>
  <c r="K873" i="2"/>
  <c r="L873" i="2" s="1"/>
  <c r="K861" i="2"/>
  <c r="K838" i="2"/>
  <c r="L838" i="2" s="1"/>
  <c r="K803" i="2"/>
  <c r="K791" i="2"/>
  <c r="K768" i="2"/>
  <c r="K745" i="2"/>
  <c r="K734" i="2"/>
  <c r="L734" i="2" s="1"/>
  <c r="K723" i="2"/>
  <c r="K676" i="2"/>
  <c r="K653" i="2"/>
  <c r="L653" i="2" s="1"/>
  <c r="K641" i="2"/>
  <c r="L641" i="2" s="1"/>
  <c r="K630" i="2"/>
  <c r="L630" i="2" s="1"/>
  <c r="K619" i="2"/>
  <c r="L619" i="2" s="1"/>
  <c r="K596" i="2"/>
  <c r="K551" i="2"/>
  <c r="L551" i="2" s="1"/>
  <c r="K540" i="2"/>
  <c r="L540" i="2" s="1"/>
  <c r="K441" i="2"/>
  <c r="K430" i="2"/>
  <c r="K409" i="2"/>
  <c r="K388" i="2"/>
  <c r="K356" i="2"/>
  <c r="L356" i="2" s="1"/>
  <c r="K335" i="2"/>
  <c r="K314" i="2"/>
  <c r="K293" i="2"/>
  <c r="K272" i="2"/>
  <c r="K251" i="2"/>
  <c r="K230" i="2"/>
  <c r="L230" i="2" s="1"/>
  <c r="K209" i="2"/>
  <c r="K188" i="2"/>
  <c r="L188" i="2" s="1"/>
  <c r="K156" i="2"/>
  <c r="L156" i="2" s="1"/>
  <c r="K135" i="2"/>
  <c r="L135" i="2" s="1"/>
  <c r="K114" i="2"/>
  <c r="L114" i="2" s="1"/>
  <c r="K93" i="2"/>
  <c r="L93" i="2" s="1"/>
  <c r="K72" i="2"/>
  <c r="L72" i="2" s="1"/>
  <c r="K51" i="2"/>
  <c r="L51" i="2" s="1"/>
  <c r="K30" i="2"/>
  <c r="L30" i="2" s="1"/>
  <c r="K398" i="2"/>
  <c r="L398" i="2" s="1"/>
  <c r="K1995" i="2"/>
  <c r="K1983" i="2"/>
  <c r="L1983" i="2" s="1"/>
  <c r="K1969" i="2"/>
  <c r="K1942" i="2"/>
  <c r="L1942" i="2" s="1"/>
  <c r="K1929" i="2"/>
  <c r="L1929" i="2" s="1"/>
  <c r="K1890" i="2"/>
  <c r="K1862" i="2"/>
  <c r="K1850" i="2"/>
  <c r="K1823" i="2"/>
  <c r="K1744" i="2"/>
  <c r="K1668" i="2"/>
  <c r="K1629" i="2"/>
  <c r="L1629" i="2" s="1"/>
  <c r="K1602" i="2"/>
  <c r="L1602" i="2" s="1"/>
  <c r="K1566" i="2"/>
  <c r="K1554" i="2"/>
  <c r="L1554" i="2" s="1"/>
  <c r="K1530" i="2"/>
  <c r="K1506" i="2"/>
  <c r="L1506" i="2" s="1"/>
  <c r="K1494" i="2"/>
  <c r="L1494" i="2" s="1"/>
  <c r="K1470" i="2"/>
  <c r="L1470" i="2" s="1"/>
  <c r="K1446" i="2"/>
  <c r="K1411" i="2"/>
  <c r="K1388" i="2"/>
  <c r="L1388" i="2" s="1"/>
  <c r="K1365" i="2"/>
  <c r="L1365" i="2" s="1"/>
  <c r="K1318" i="2"/>
  <c r="K1306" i="2"/>
  <c r="L1306" i="2" s="1"/>
  <c r="K1294" i="2"/>
  <c r="K1270" i="2"/>
  <c r="K1234" i="2"/>
  <c r="K1187" i="2"/>
  <c r="K1175" i="2"/>
  <c r="K1116" i="2"/>
  <c r="K1105" i="2"/>
  <c r="K1093" i="2"/>
  <c r="L1093" i="2" s="1"/>
  <c r="K1081" i="2"/>
  <c r="L1081" i="2" s="1"/>
  <c r="K1069" i="2"/>
  <c r="K1057" i="2"/>
  <c r="L1057" i="2" s="1"/>
  <c r="K1045" i="2"/>
  <c r="L1045" i="2" s="1"/>
  <c r="K1034" i="2"/>
  <c r="L1034" i="2" s="1"/>
  <c r="K1010" i="2"/>
  <c r="L1010" i="2" s="1"/>
  <c r="K987" i="2"/>
  <c r="L987" i="2" s="1"/>
  <c r="K941" i="2"/>
  <c r="K930" i="2"/>
  <c r="K907" i="2"/>
  <c r="K884" i="2"/>
  <c r="K849" i="2"/>
  <c r="L849" i="2" s="1"/>
  <c r="K814" i="2"/>
  <c r="K779" i="2"/>
  <c r="L779" i="2" s="1"/>
  <c r="K756" i="2"/>
  <c r="K687" i="2"/>
  <c r="K664" i="2"/>
  <c r="K607" i="2"/>
  <c r="L607" i="2" s="1"/>
  <c r="K584" i="2"/>
  <c r="K573" i="2"/>
  <c r="K529" i="2"/>
  <c r="L529" i="2" s="1"/>
  <c r="K518" i="2"/>
  <c r="L518" i="2" s="1"/>
  <c r="K507" i="2"/>
  <c r="L507" i="2" s="1"/>
  <c r="K496" i="2"/>
  <c r="L496" i="2" s="1"/>
  <c r="K485" i="2"/>
  <c r="L485" i="2" s="1"/>
  <c r="K474" i="2"/>
  <c r="L474" i="2" s="1"/>
  <c r="K463" i="2"/>
  <c r="K419" i="2"/>
  <c r="K366" i="2"/>
  <c r="K345" i="2"/>
  <c r="L345" i="2" s="1"/>
  <c r="K324" i="2"/>
  <c r="K303" i="2"/>
  <c r="K282" i="2"/>
  <c r="K261" i="2"/>
  <c r="K240" i="2"/>
  <c r="K219" i="2"/>
  <c r="K198" i="2"/>
  <c r="K166" i="2"/>
  <c r="K145" i="2"/>
  <c r="L145" i="2" s="1"/>
  <c r="K124" i="2"/>
  <c r="K103" i="2"/>
  <c r="L103" i="2" s="1"/>
  <c r="K82" i="2"/>
  <c r="L82" i="2" s="1"/>
  <c r="K61" i="2"/>
  <c r="L61" i="2" s="1"/>
  <c r="K2005" i="2"/>
  <c r="L2005" i="2" s="1"/>
  <c r="K1981" i="2"/>
  <c r="L1981" i="2" s="1"/>
  <c r="K1953" i="2"/>
  <c r="L1953" i="2" s="1"/>
  <c r="K1940" i="2"/>
  <c r="K1913" i="2"/>
  <c r="K1833" i="2"/>
  <c r="K1793" i="2"/>
  <c r="L1793" i="2" s="1"/>
  <c r="K1768" i="2"/>
  <c r="K1755" i="2"/>
  <c r="K1742" i="2"/>
  <c r="K1704" i="2"/>
  <c r="K1678" i="2"/>
  <c r="K1665" i="2"/>
  <c r="K1639" i="2"/>
  <c r="K1504" i="2"/>
  <c r="K1480" i="2"/>
  <c r="K1456" i="2"/>
  <c r="K1444" i="2"/>
  <c r="L1444" i="2" s="1"/>
  <c r="K1420" i="2"/>
  <c r="L1420" i="2" s="1"/>
  <c r="K1409" i="2"/>
  <c r="L1409" i="2" s="1"/>
  <c r="K1386" i="2"/>
  <c r="L1386" i="2" s="1"/>
  <c r="K1304" i="2"/>
  <c r="L1304" i="2" s="1"/>
  <c r="K1267" i="2"/>
  <c r="L1267" i="2" s="1"/>
  <c r="K1231" i="2"/>
  <c r="L1231" i="2" s="1"/>
  <c r="K1185" i="2"/>
  <c r="L1185" i="2" s="1"/>
  <c r="K1137" i="2"/>
  <c r="L1137" i="2" s="1"/>
  <c r="K1114" i="2"/>
  <c r="K1103" i="2"/>
  <c r="L1103" i="2" s="1"/>
  <c r="K1055" i="2"/>
  <c r="L1055" i="2" s="1"/>
  <c r="K1043" i="2"/>
  <c r="K1031" i="2"/>
  <c r="K996" i="2"/>
  <c r="K939" i="2"/>
  <c r="K928" i="2"/>
  <c r="K905" i="2"/>
  <c r="K870" i="2"/>
  <c r="K835" i="2"/>
  <c r="K800" i="2"/>
  <c r="L800" i="2" s="1"/>
  <c r="K777" i="2"/>
  <c r="L777" i="2" s="1"/>
  <c r="K708" i="2"/>
  <c r="L708" i="2" s="1"/>
  <c r="K685" i="2"/>
  <c r="L685" i="2" s="1"/>
  <c r="K650" i="2"/>
  <c r="L650" i="2" s="1"/>
  <c r="K593" i="2"/>
  <c r="L593" i="2" s="1"/>
  <c r="K527" i="2"/>
  <c r="K516" i="2"/>
  <c r="K505" i="2"/>
  <c r="L505" i="2" s="1"/>
  <c r="K494" i="2"/>
  <c r="K483" i="2"/>
  <c r="L483" i="2" s="1"/>
  <c r="K406" i="2"/>
  <c r="L406" i="2" s="1"/>
  <c r="K385" i="2"/>
  <c r="K364" i="2"/>
  <c r="K343" i="2"/>
  <c r="K322" i="2"/>
  <c r="K301" i="2"/>
  <c r="K280" i="2"/>
  <c r="L280" i="2" s="1"/>
  <c r="K259" i="2"/>
  <c r="K238" i="2"/>
  <c r="L238" i="2" s="1"/>
  <c r="K206" i="2"/>
  <c r="L206" i="2" s="1"/>
  <c r="K185" i="2"/>
  <c r="L185" i="2" s="1"/>
  <c r="K164" i="2"/>
  <c r="L164" i="2" s="1"/>
  <c r="K143" i="2"/>
  <c r="L143" i="2" s="1"/>
  <c r="K122" i="2"/>
  <c r="L122" i="2" s="1"/>
  <c r="K101" i="2"/>
  <c r="L101" i="2" s="1"/>
  <c r="K80" i="2"/>
  <c r="K59" i="2"/>
  <c r="K2004" i="2"/>
  <c r="L2004" i="2" s="1"/>
  <c r="K1991" i="2"/>
  <c r="K1919" i="2"/>
  <c r="K1905" i="2"/>
  <c r="L1905" i="2" s="1"/>
  <c r="K1893" i="2"/>
  <c r="K1878" i="2"/>
  <c r="K1767" i="2"/>
  <c r="K1725" i="2"/>
  <c r="K1711" i="2"/>
  <c r="K1684" i="2"/>
  <c r="K1600" i="2"/>
  <c r="K1549" i="2"/>
  <c r="K1537" i="2"/>
  <c r="L1537" i="2" s="1"/>
  <c r="K1525" i="2"/>
  <c r="L1525" i="2" s="1"/>
  <c r="K1499" i="2"/>
  <c r="L1499" i="2" s="1"/>
  <c r="K1434" i="2"/>
  <c r="L1434" i="2" s="1"/>
  <c r="K1421" i="2"/>
  <c r="L1421" i="2" s="1"/>
  <c r="K1371" i="2"/>
  <c r="L1371" i="2" s="1"/>
  <c r="K1335" i="2"/>
  <c r="K1323" i="2"/>
  <c r="K1297" i="2"/>
  <c r="K1209" i="2"/>
  <c r="K1158" i="2"/>
  <c r="L1158" i="2" s="1"/>
  <c r="K1146" i="2"/>
  <c r="K1108" i="2"/>
  <c r="K1095" i="2"/>
  <c r="K1083" i="2"/>
  <c r="K1070" i="2"/>
  <c r="K1044" i="2"/>
  <c r="K981" i="2"/>
  <c r="K969" i="2"/>
  <c r="L969" i="2" s="1"/>
  <c r="K935" i="2"/>
  <c r="K923" i="2"/>
  <c r="L923" i="2" s="1"/>
  <c r="K897" i="2"/>
  <c r="K885" i="2"/>
  <c r="L885" i="2" s="1"/>
  <c r="K823" i="2"/>
  <c r="L823" i="2" s="1"/>
  <c r="K760" i="2"/>
  <c r="L760" i="2" s="1"/>
  <c r="K748" i="2"/>
  <c r="L748" i="2" s="1"/>
  <c r="K725" i="2"/>
  <c r="K701" i="2"/>
  <c r="K689" i="2"/>
  <c r="K651" i="2"/>
  <c r="L651" i="2" s="1"/>
  <c r="K615" i="2"/>
  <c r="L615" i="2" s="1"/>
  <c r="K603" i="2"/>
  <c r="L603" i="2" s="1"/>
  <c r="K590" i="2"/>
  <c r="K567" i="2"/>
  <c r="K556" i="2"/>
  <c r="K533" i="2"/>
  <c r="K484" i="2"/>
  <c r="L484" i="2" s="1"/>
  <c r="K460" i="2"/>
  <c r="K449" i="2"/>
  <c r="L449" i="2" s="1"/>
  <c r="K403" i="2"/>
  <c r="L403" i="2" s="1"/>
  <c r="K392" i="2"/>
  <c r="L392" i="2" s="1"/>
  <c r="K370" i="2"/>
  <c r="L370" i="2" s="1"/>
  <c r="K290" i="2"/>
  <c r="L290" i="2" s="1"/>
  <c r="K233" i="2"/>
  <c r="K222" i="2"/>
  <c r="L222" i="2" s="1"/>
  <c r="K211" i="2"/>
  <c r="L211" i="2" s="1"/>
  <c r="K154" i="2"/>
  <c r="K120" i="2"/>
  <c r="K109" i="2"/>
  <c r="K86" i="2"/>
  <c r="L86" i="2" s="1"/>
  <c r="K52" i="2"/>
  <c r="K1962" i="2"/>
  <c r="L1962" i="2" s="1"/>
  <c r="K1835" i="2"/>
  <c r="K1781" i="2"/>
  <c r="K1752" i="2"/>
  <c r="K1669" i="2"/>
  <c r="K1641" i="2"/>
  <c r="K1613" i="2"/>
  <c r="K1587" i="2"/>
  <c r="K1561" i="2"/>
  <c r="L1561" i="2" s="1"/>
  <c r="K1460" i="2"/>
  <c r="L1460" i="2" s="1"/>
  <c r="K1408" i="2"/>
  <c r="L1408" i="2" s="1"/>
  <c r="K1383" i="2"/>
  <c r="L1383" i="2" s="1"/>
  <c r="K1358" i="2"/>
  <c r="L1358" i="2" s="1"/>
  <c r="K1346" i="2"/>
  <c r="L1346" i="2" s="1"/>
  <c r="K1309" i="2"/>
  <c r="L1309" i="2" s="1"/>
  <c r="K1284" i="2"/>
  <c r="K1245" i="2"/>
  <c r="K1220" i="2"/>
  <c r="K1196" i="2"/>
  <c r="K1170" i="2"/>
  <c r="L1170" i="2" s="1"/>
  <c r="K1120" i="2"/>
  <c r="L1120" i="2" s="1"/>
  <c r="K1018" i="2"/>
  <c r="K993" i="2"/>
  <c r="L993" i="2" s="1"/>
  <c r="K946" i="2"/>
  <c r="K859" i="2"/>
  <c r="K810" i="2"/>
  <c r="K785" i="2"/>
  <c r="K713" i="2"/>
  <c r="K663" i="2"/>
  <c r="L663" i="2" s="1"/>
  <c r="K638" i="2"/>
  <c r="L638" i="2" s="1"/>
  <c r="K578" i="2"/>
  <c r="L578" i="2" s="1"/>
  <c r="K544" i="2"/>
  <c r="L544" i="2" s="1"/>
  <c r="K520" i="2"/>
  <c r="L520" i="2" s="1"/>
  <c r="K471" i="2"/>
  <c r="L471" i="2" s="1"/>
  <c r="K414" i="2"/>
  <c r="L414" i="2" s="1"/>
  <c r="K380" i="2"/>
  <c r="K358" i="2"/>
  <c r="K312" i="2"/>
  <c r="L312" i="2" s="1"/>
  <c r="K278" i="2"/>
  <c r="K244" i="2"/>
  <c r="L244" i="2" s="1"/>
  <c r="K176" i="2"/>
  <c r="L176" i="2" s="1"/>
  <c r="K142" i="2"/>
  <c r="K74" i="2"/>
  <c r="K2003" i="2"/>
  <c r="K1931" i="2"/>
  <c r="K1904" i="2"/>
  <c r="L1904" i="2" s="1"/>
  <c r="K1792" i="2"/>
  <c r="K1737" i="2"/>
  <c r="K1599" i="2"/>
  <c r="K1548" i="2"/>
  <c r="L1548" i="2" s="1"/>
  <c r="K1536" i="2"/>
  <c r="L1536" i="2" s="1"/>
  <c r="K1524" i="2"/>
  <c r="L1524" i="2" s="1"/>
  <c r="K1498" i="2"/>
  <c r="L1498" i="2" s="1"/>
  <c r="K1334" i="2"/>
  <c r="L1334" i="2" s="1"/>
  <c r="K1157" i="2"/>
  <c r="L1157" i="2" s="1"/>
  <c r="K1107" i="2"/>
  <c r="K1056" i="2"/>
  <c r="K1029" i="2"/>
  <c r="K980" i="2"/>
  <c r="K871" i="2"/>
  <c r="L871" i="2" s="1"/>
  <c r="K771" i="2"/>
  <c r="K747" i="2"/>
  <c r="K724" i="2"/>
  <c r="L724" i="2" s="1"/>
  <c r="K589" i="2"/>
  <c r="K566" i="2"/>
  <c r="K495" i="2"/>
  <c r="L495" i="2" s="1"/>
  <c r="K459" i="2"/>
  <c r="L459" i="2" s="1"/>
  <c r="K436" i="2"/>
  <c r="L436" i="2" s="1"/>
  <c r="K402" i="2"/>
  <c r="L402" i="2" s="1"/>
  <c r="K346" i="2"/>
  <c r="L346" i="2" s="1"/>
  <c r="K323" i="2"/>
  <c r="L323" i="2" s="1"/>
  <c r="K300" i="2"/>
  <c r="L300" i="2" s="1"/>
  <c r="K266" i="2"/>
  <c r="L266" i="2" s="1"/>
  <c r="K232" i="2"/>
  <c r="L232" i="2" s="1"/>
  <c r="K210" i="2"/>
  <c r="L210" i="2" s="1"/>
  <c r="K153" i="2"/>
  <c r="K108" i="2"/>
  <c r="K85" i="2"/>
  <c r="K1697" i="2"/>
  <c r="L1697" i="2" s="1"/>
  <c r="K1486" i="2"/>
  <c r="K1396" i="2"/>
  <c r="L1396" i="2" s="1"/>
  <c r="K1271" i="2"/>
  <c r="K1183" i="2"/>
  <c r="K1006" i="2"/>
  <c r="K957" i="2"/>
  <c r="K834" i="2"/>
  <c r="K797" i="2"/>
  <c r="K736" i="2"/>
  <c r="K675" i="2"/>
  <c r="L675" i="2" s="1"/>
  <c r="K626" i="2"/>
  <c r="L626" i="2" s="1"/>
  <c r="K508" i="2"/>
  <c r="K425" i="2"/>
  <c r="L425" i="2" s="1"/>
  <c r="K255" i="2"/>
  <c r="L255" i="2" s="1"/>
  <c r="K199" i="2"/>
  <c r="L199" i="2" s="1"/>
  <c r="K165" i="2"/>
  <c r="L165" i="2" s="1"/>
  <c r="K131" i="2"/>
  <c r="L131" i="2" s="1"/>
  <c r="K63" i="2"/>
  <c r="K1990" i="2"/>
  <c r="K1918" i="2"/>
  <c r="L1918" i="2" s="1"/>
  <c r="K1654" i="2"/>
  <c r="L1654" i="2" s="1"/>
  <c r="K1573" i="2"/>
  <c r="K1511" i="2"/>
  <c r="K1208" i="2"/>
  <c r="K1145" i="2"/>
  <c r="K1094" i="2"/>
  <c r="K968" i="2"/>
  <c r="K934" i="2"/>
  <c r="L934" i="2" s="1"/>
  <c r="K846" i="2"/>
  <c r="L846" i="2" s="1"/>
  <c r="K759" i="2"/>
  <c r="K614" i="2"/>
  <c r="L614" i="2" s="1"/>
  <c r="K555" i="2"/>
  <c r="L555" i="2" s="1"/>
  <c r="K391" i="2"/>
  <c r="L391" i="2" s="1"/>
  <c r="K369" i="2"/>
  <c r="L369" i="2" s="1"/>
  <c r="K334" i="2"/>
  <c r="L334" i="2" s="1"/>
  <c r="K289" i="2"/>
  <c r="L289" i="2" s="1"/>
  <c r="K221" i="2"/>
  <c r="K119" i="2"/>
  <c r="K96" i="2"/>
  <c r="L96" i="2" s="1"/>
  <c r="K28" i="2"/>
  <c r="L28" i="2" s="1"/>
  <c r="K1985" i="2"/>
  <c r="L1985" i="2" s="1"/>
  <c r="K1941" i="2"/>
  <c r="L1941" i="2" s="1"/>
  <c r="K1900" i="2"/>
  <c r="K1857" i="2"/>
  <c r="K1829" i="2"/>
  <c r="K1815" i="2"/>
  <c r="K1761" i="2"/>
  <c r="K1719" i="2"/>
  <c r="K1705" i="2"/>
  <c r="K1677" i="2"/>
  <c r="L1677" i="2" s="1"/>
  <c r="K1621" i="2"/>
  <c r="L1621" i="2" s="1"/>
  <c r="K1594" i="2"/>
  <c r="L1594" i="2" s="1"/>
  <c r="K1569" i="2"/>
  <c r="K1493" i="2"/>
  <c r="L1493" i="2" s="1"/>
  <c r="K1467" i="2"/>
  <c r="L1467" i="2" s="1"/>
  <c r="K1441" i="2"/>
  <c r="L1441" i="2" s="1"/>
  <c r="K1378" i="2"/>
  <c r="L1378" i="2" s="1"/>
  <c r="K1366" i="2"/>
  <c r="K1329" i="2"/>
  <c r="K1278" i="2"/>
  <c r="K1265" i="2"/>
  <c r="L1265" i="2" s="1"/>
  <c r="K1204" i="2"/>
  <c r="L1204" i="2" s="1"/>
  <c r="K1191" i="2"/>
  <c r="K1127" i="2"/>
  <c r="K1115" i="2"/>
  <c r="K1077" i="2"/>
  <c r="K1064" i="2"/>
  <c r="K1025" i="2"/>
  <c r="L1025" i="2" s="1"/>
  <c r="K1001" i="2"/>
  <c r="K929" i="2"/>
  <c r="K904" i="2"/>
  <c r="L904" i="2" s="1"/>
  <c r="K829" i="2"/>
  <c r="L829" i="2" s="1"/>
  <c r="K780" i="2"/>
  <c r="K767" i="2"/>
  <c r="L767" i="2" s="1"/>
  <c r="K755" i="2"/>
  <c r="L755" i="2" s="1"/>
  <c r="K719" i="2"/>
  <c r="L719" i="2" s="1"/>
  <c r="K707" i="2"/>
  <c r="K683" i="2"/>
  <c r="K550" i="2"/>
  <c r="K515" i="2"/>
  <c r="L515" i="2" s="1"/>
  <c r="K503" i="2"/>
  <c r="L503" i="2" s="1"/>
  <c r="K478" i="2"/>
  <c r="L478" i="2" s="1"/>
  <c r="K455" i="2"/>
  <c r="K444" i="2"/>
  <c r="L444" i="2" s="1"/>
  <c r="K421" i="2"/>
  <c r="K410" i="2"/>
  <c r="K353" i="2"/>
  <c r="K319" i="2"/>
  <c r="K308" i="2"/>
  <c r="L308" i="2" s="1"/>
  <c r="K296" i="2"/>
  <c r="L296" i="2" s="1"/>
  <c r="K285" i="2"/>
  <c r="L285" i="2" s="1"/>
  <c r="K228" i="2"/>
  <c r="L228" i="2" s="1"/>
  <c r="K205" i="2"/>
  <c r="L205" i="2" s="1"/>
  <c r="K194" i="2"/>
  <c r="L194" i="2" s="1"/>
  <c r="K172" i="2"/>
  <c r="L172" i="2" s="1"/>
  <c r="K138" i="2"/>
  <c r="L138" i="2" s="1"/>
  <c r="K115" i="2"/>
  <c r="K104" i="2"/>
  <c r="K92" i="2"/>
  <c r="K81" i="2"/>
  <c r="K58" i="2"/>
  <c r="K1871" i="2"/>
  <c r="K1788" i="2"/>
  <c r="K1731" i="2"/>
  <c r="K1662" i="2"/>
  <c r="K1634" i="2"/>
  <c r="K1581" i="2"/>
  <c r="K1556" i="2"/>
  <c r="L1556" i="2" s="1"/>
  <c r="K1544" i="2"/>
  <c r="K1428" i="2"/>
  <c r="L1428" i="2" s="1"/>
  <c r="K1415" i="2"/>
  <c r="L1415" i="2" s="1"/>
  <c r="K1403" i="2"/>
  <c r="L1403" i="2" s="1"/>
  <c r="K1390" i="2"/>
  <c r="L1390" i="2" s="1"/>
  <c r="K1341" i="2"/>
  <c r="L1341" i="2" s="1"/>
  <c r="K1316" i="2"/>
  <c r="L1316" i="2" s="1"/>
  <c r="K1290" i="2"/>
  <c r="L1290" i="2" s="1"/>
  <c r="K1240" i="2"/>
  <c r="K1227" i="2"/>
  <c r="K1215" i="2"/>
  <c r="L1215" i="2" s="1"/>
  <c r="K1177" i="2"/>
  <c r="K1165" i="2"/>
  <c r="L1165" i="2" s="1"/>
  <c r="K1050" i="2"/>
  <c r="L1050" i="2" s="1"/>
  <c r="K1038" i="2"/>
  <c r="K1013" i="2"/>
  <c r="L1013" i="2" s="1"/>
  <c r="K988" i="2"/>
  <c r="K916" i="2"/>
  <c r="K891" i="2"/>
  <c r="L891" i="2" s="1"/>
  <c r="K866" i="2"/>
  <c r="K841" i="2"/>
  <c r="L841" i="2" s="1"/>
  <c r="K817" i="2"/>
  <c r="L817" i="2" s="1"/>
  <c r="K730" i="2"/>
  <c r="L730" i="2" s="1"/>
  <c r="K695" i="2"/>
  <c r="L695" i="2" s="1"/>
  <c r="K670" i="2"/>
  <c r="L670" i="2" s="1"/>
  <c r="K645" i="2"/>
  <c r="L645" i="2" s="1"/>
  <c r="K633" i="2"/>
  <c r="L633" i="2" s="1"/>
  <c r="K621" i="2"/>
  <c r="L621" i="2" s="1"/>
  <c r="K609" i="2"/>
  <c r="K597" i="2"/>
  <c r="K561" i="2"/>
  <c r="K538" i="2"/>
  <c r="K466" i="2"/>
  <c r="L466" i="2" s="1"/>
  <c r="K386" i="2"/>
  <c r="L386" i="2" s="1"/>
  <c r="K375" i="2"/>
  <c r="K341" i="2"/>
  <c r="K330" i="2"/>
  <c r="K273" i="2"/>
  <c r="K262" i="2"/>
  <c r="K250" i="2"/>
  <c r="L250" i="2" s="1"/>
  <c r="K239" i="2"/>
  <c r="L239" i="2" s="1"/>
  <c r="K216" i="2"/>
  <c r="K182" i="2"/>
  <c r="L182" i="2" s="1"/>
  <c r="K160" i="2"/>
  <c r="L160" i="2" s="1"/>
  <c r="K149" i="2"/>
  <c r="L149" i="2" s="1"/>
  <c r="K126" i="2"/>
  <c r="L126" i="2" s="1"/>
  <c r="K69" i="2"/>
  <c r="L69" i="2" s="1"/>
  <c r="K46" i="2"/>
  <c r="L46" i="2" s="1"/>
  <c r="K23" i="2"/>
  <c r="K1997" i="2"/>
  <c r="K1984" i="2"/>
  <c r="K1925" i="2"/>
  <c r="L1925" i="2" s="1"/>
  <c r="K1911" i="2"/>
  <c r="L1911" i="2" s="1"/>
  <c r="K1814" i="2"/>
  <c r="L1814" i="2" s="1"/>
  <c r="K1800" i="2"/>
  <c r="K1774" i="2"/>
  <c r="K1690" i="2"/>
  <c r="K1620" i="2"/>
  <c r="K1593" i="2"/>
  <c r="K1568" i="2"/>
  <c r="K1505" i="2"/>
  <c r="K1982" i="2"/>
  <c r="L1982" i="2" s="1"/>
  <c r="K1920" i="2"/>
  <c r="L1920" i="2" s="1"/>
  <c r="K1889" i="2"/>
  <c r="L1889" i="2" s="1"/>
  <c r="K1858" i="2"/>
  <c r="K1799" i="2"/>
  <c r="L1799" i="2" s="1"/>
  <c r="K1753" i="2"/>
  <c r="L1753" i="2" s="1"/>
  <c r="K1708" i="2"/>
  <c r="L1708" i="2" s="1"/>
  <c r="K1571" i="2"/>
  <c r="K1557" i="2"/>
  <c r="K1528" i="2"/>
  <c r="L1528" i="2" s="1"/>
  <c r="K1430" i="2"/>
  <c r="L1430" i="2" s="1"/>
  <c r="K1320" i="2"/>
  <c r="L1320" i="2" s="1"/>
  <c r="K1238" i="2"/>
  <c r="L1238" i="2" s="1"/>
  <c r="K1224" i="2"/>
  <c r="K1168" i="2"/>
  <c r="K1126" i="2"/>
  <c r="K1098" i="2"/>
  <c r="K1041" i="2"/>
  <c r="K1027" i="2"/>
  <c r="L1027" i="2" s="1"/>
  <c r="K1014" i="2"/>
  <c r="K1000" i="2"/>
  <c r="L1000" i="2" s="1"/>
  <c r="K959" i="2"/>
  <c r="L959" i="2" s="1"/>
  <c r="K880" i="2"/>
  <c r="L880" i="2" s="1"/>
  <c r="K853" i="2"/>
  <c r="L853" i="2" s="1"/>
  <c r="K799" i="2"/>
  <c r="L799" i="2" s="1"/>
  <c r="K786" i="2"/>
  <c r="L786" i="2" s="1"/>
  <c r="K717" i="2"/>
  <c r="L717" i="2" s="1"/>
  <c r="K704" i="2"/>
  <c r="L704" i="2" s="1"/>
  <c r="K691" i="2"/>
  <c r="K649" i="2"/>
  <c r="K623" i="2"/>
  <c r="K581" i="2"/>
  <c r="L581" i="2" s="1"/>
  <c r="K569" i="2"/>
  <c r="L569" i="2" s="1"/>
  <c r="K530" i="2"/>
  <c r="K517" i="2"/>
  <c r="K464" i="2"/>
  <c r="K438" i="2"/>
  <c r="K413" i="2"/>
  <c r="K400" i="2"/>
  <c r="K362" i="2"/>
  <c r="L362" i="2" s="1"/>
  <c r="K350" i="2"/>
  <c r="L350" i="2" s="1"/>
  <c r="K325" i="2"/>
  <c r="K299" i="2"/>
  <c r="L299" i="2" s="1"/>
  <c r="K286" i="2"/>
  <c r="L286" i="2" s="1"/>
  <c r="K248" i="2"/>
  <c r="L248" i="2" s="1"/>
  <c r="K235" i="2"/>
  <c r="L235" i="2" s="1"/>
  <c r="K159" i="2"/>
  <c r="L159" i="2" s="1"/>
  <c r="K146" i="2"/>
  <c r="L146" i="2" s="1"/>
  <c r="K133" i="2"/>
  <c r="K94" i="2"/>
  <c r="K68" i="2"/>
  <c r="K55" i="2"/>
  <c r="L55" i="2" s="1"/>
  <c r="K43" i="2"/>
  <c r="L43" i="2" s="1"/>
  <c r="K1873" i="2"/>
  <c r="K1813" i="2"/>
  <c r="K1722" i="2"/>
  <c r="K1692" i="2"/>
  <c r="K1585" i="2"/>
  <c r="L1585" i="2" s="1"/>
  <c r="K1485" i="2"/>
  <c r="K1471" i="2"/>
  <c r="K1360" i="2"/>
  <c r="K1347" i="2"/>
  <c r="L1347" i="2" s="1"/>
  <c r="K1277" i="2"/>
  <c r="L1277" i="2" s="1"/>
  <c r="K1250" i="2"/>
  <c r="K1181" i="2"/>
  <c r="L1181" i="2" s="1"/>
  <c r="K1084" i="2"/>
  <c r="L1084" i="2" s="1"/>
  <c r="K971" i="2"/>
  <c r="L971" i="2" s="1"/>
  <c r="K947" i="2"/>
  <c r="K893" i="2"/>
  <c r="K825" i="2"/>
  <c r="L825" i="2" s="1"/>
  <c r="K757" i="2"/>
  <c r="K635" i="2"/>
  <c r="K594" i="2"/>
  <c r="L594" i="2" s="1"/>
  <c r="K489" i="2"/>
  <c r="K450" i="2"/>
  <c r="K311" i="2"/>
  <c r="K208" i="2"/>
  <c r="K183" i="2"/>
  <c r="L183" i="2" s="1"/>
  <c r="K106" i="2"/>
  <c r="K1965" i="2"/>
  <c r="K1934" i="2"/>
  <c r="L1934" i="2" s="1"/>
  <c r="K1902" i="2"/>
  <c r="K1827" i="2"/>
  <c r="L1827" i="2" s="1"/>
  <c r="K1783" i="2"/>
  <c r="L1783" i="2" s="1"/>
  <c r="K1675" i="2"/>
  <c r="L1675" i="2" s="1"/>
  <c r="K1645" i="2"/>
  <c r="L1645" i="2" s="1"/>
  <c r="K1630" i="2"/>
  <c r="L1630" i="2" s="1"/>
  <c r="K1570" i="2"/>
  <c r="L1570" i="2" s="1"/>
  <c r="K1429" i="2"/>
  <c r="L1429" i="2" s="1"/>
  <c r="K1387" i="2"/>
  <c r="K1333" i="2"/>
  <c r="L1333" i="2" s="1"/>
  <c r="K1319" i="2"/>
  <c r="L1319" i="2" s="1"/>
  <c r="K1125" i="2"/>
  <c r="L1125" i="2" s="1"/>
  <c r="K1097" i="2"/>
  <c r="K1040" i="2"/>
  <c r="L1040" i="2" s="1"/>
  <c r="K958" i="2"/>
  <c r="K906" i="2"/>
  <c r="K811" i="2"/>
  <c r="K770" i="2"/>
  <c r="L770" i="2" s="1"/>
  <c r="K729" i="2"/>
  <c r="K703" i="2"/>
  <c r="L703" i="2" s="1"/>
  <c r="K661" i="2"/>
  <c r="K580" i="2"/>
  <c r="L580" i="2" s="1"/>
  <c r="K541" i="2"/>
  <c r="L541" i="2" s="1"/>
  <c r="K424" i="2"/>
  <c r="L424" i="2" s="1"/>
  <c r="K399" i="2"/>
  <c r="L399" i="2" s="1"/>
  <c r="K361" i="2"/>
  <c r="L361" i="2" s="1"/>
  <c r="K336" i="2"/>
  <c r="K234" i="2"/>
  <c r="K158" i="2"/>
  <c r="K54" i="2"/>
  <c r="K1721" i="2"/>
  <c r="L1721" i="2" s="1"/>
  <c r="K1540" i="2"/>
  <c r="L1540" i="2" s="1"/>
  <c r="K1414" i="2"/>
  <c r="K1276" i="2"/>
  <c r="K1249" i="2"/>
  <c r="K1194" i="2"/>
  <c r="K1166" i="2"/>
  <c r="L1166" i="2" s="1"/>
  <c r="K970" i="2"/>
  <c r="K933" i="2"/>
  <c r="L933" i="2" s="1"/>
  <c r="K864" i="2"/>
  <c r="L864" i="2" s="1"/>
  <c r="K851" i="2"/>
  <c r="L851" i="2" s="1"/>
  <c r="K824" i="2"/>
  <c r="K647" i="2"/>
  <c r="L647" i="2" s="1"/>
  <c r="K634" i="2"/>
  <c r="L634" i="2" s="1"/>
  <c r="K528" i="2"/>
  <c r="L528" i="2" s="1"/>
  <c r="K488" i="2"/>
  <c r="L488" i="2" s="1"/>
  <c r="K310" i="2"/>
  <c r="K284" i="2"/>
  <c r="K220" i="2"/>
  <c r="K170" i="2"/>
  <c r="K144" i="2"/>
  <c r="L144" i="2" s="1"/>
  <c r="K105" i="2"/>
  <c r="L105" i="2" s="1"/>
  <c r="K66" i="2"/>
  <c r="K1979" i="2"/>
  <c r="L1979" i="2" s="1"/>
  <c r="K1949" i="2"/>
  <c r="K1901" i="2"/>
  <c r="K1855" i="2"/>
  <c r="K1782" i="2"/>
  <c r="K1644" i="2"/>
  <c r="L1644" i="2" s="1"/>
  <c r="K1583" i="2"/>
  <c r="K1526" i="2"/>
  <c r="L1526" i="2" s="1"/>
  <c r="K1469" i="2"/>
  <c r="K1399" i="2"/>
  <c r="L1399" i="2" s="1"/>
  <c r="K1514" i="2"/>
  <c r="L1514" i="2" s="1"/>
  <c r="K1457" i="2"/>
  <c r="L1457" i="2" s="1"/>
  <c r="K1263" i="2"/>
  <c r="L1263" i="2" s="1"/>
  <c r="K1210" i="2"/>
  <c r="L1210" i="2" s="1"/>
  <c r="K1139" i="2"/>
  <c r="K985" i="2"/>
  <c r="K839" i="2"/>
  <c r="K608" i="2"/>
  <c r="K476" i="2"/>
  <c r="K374" i="2"/>
  <c r="K260" i="2"/>
  <c r="L260" i="2" s="1"/>
  <c r="K195" i="2"/>
  <c r="K171" i="2"/>
  <c r="K1950" i="2"/>
  <c r="L1950" i="2" s="1"/>
  <c r="K1659" i="2"/>
  <c r="K1527" i="2"/>
  <c r="L1527" i="2" s="1"/>
  <c r="K1443" i="2"/>
  <c r="L1443" i="2" s="1"/>
  <c r="K1373" i="2"/>
  <c r="L1373" i="2" s="1"/>
  <c r="K1305" i="2"/>
  <c r="L1305" i="2" s="1"/>
  <c r="K1111" i="2"/>
  <c r="L1111" i="2" s="1"/>
  <c r="K716" i="2"/>
  <c r="K568" i="2"/>
  <c r="L568" i="2" s="1"/>
  <c r="K412" i="2"/>
  <c r="L412" i="2" s="1"/>
  <c r="K349" i="2"/>
  <c r="K298" i="2"/>
  <c r="K132" i="2"/>
  <c r="K79" i="2"/>
  <c r="L79" i="2" s="1"/>
  <c r="K42" i="2"/>
  <c r="L42" i="2" s="1"/>
  <c r="K1812" i="2"/>
  <c r="L1812" i="2" s="1"/>
  <c r="K1555" i="2"/>
  <c r="K1513" i="2"/>
  <c r="L1513" i="2" s="1"/>
  <c r="K1236" i="2"/>
  <c r="K998" i="2"/>
  <c r="K918" i="2"/>
  <c r="K878" i="2"/>
  <c r="K741" i="2"/>
  <c r="K674" i="2"/>
  <c r="K554" i="2"/>
  <c r="L554" i="2" s="1"/>
  <c r="K501" i="2"/>
  <c r="L501" i="2" s="1"/>
  <c r="K475" i="2"/>
  <c r="L475" i="2" s="1"/>
  <c r="K373" i="2"/>
  <c r="L373" i="2" s="1"/>
  <c r="K271" i="2"/>
  <c r="L271" i="2" s="1"/>
  <c r="K246" i="2"/>
  <c r="L246" i="2" s="1"/>
  <c r="K118" i="2"/>
  <c r="K1964" i="2"/>
  <c r="K1841" i="2"/>
  <c r="L1841" i="2" s="1"/>
  <c r="K1658" i="2"/>
  <c r="K1497" i="2"/>
  <c r="K1455" i="2"/>
  <c r="K1960" i="2"/>
  <c r="K1897" i="2"/>
  <c r="L1897" i="2" s="1"/>
  <c r="K1867" i="2"/>
  <c r="K1852" i="2"/>
  <c r="K1579" i="2"/>
  <c r="K1565" i="2"/>
  <c r="K1550" i="2"/>
  <c r="K1438" i="2"/>
  <c r="K1424" i="2"/>
  <c r="L1424" i="2" s="1"/>
  <c r="K1410" i="2"/>
  <c r="L1410" i="2" s="1"/>
  <c r="K1368" i="2"/>
  <c r="L1368" i="2" s="1"/>
  <c r="K1355" i="2"/>
  <c r="L1355" i="2" s="1"/>
  <c r="K1286" i="2"/>
  <c r="L1286" i="2" s="1"/>
  <c r="K1218" i="2"/>
  <c r="L1218" i="2" s="1"/>
  <c r="K1190" i="2"/>
  <c r="K1161" i="2"/>
  <c r="K1134" i="2"/>
  <c r="K1106" i="2"/>
  <c r="K1091" i="2"/>
  <c r="K1078" i="2"/>
  <c r="L1078" i="2" s="1"/>
  <c r="K1049" i="2"/>
  <c r="K1021" i="2"/>
  <c r="L1021" i="2" s="1"/>
  <c r="K979" i="2"/>
  <c r="K966" i="2"/>
  <c r="K954" i="2"/>
  <c r="K901" i="2"/>
  <c r="K860" i="2"/>
  <c r="K833" i="2"/>
  <c r="L833" i="2" s="1"/>
  <c r="K793" i="2"/>
  <c r="L793" i="2" s="1"/>
  <c r="K738" i="2"/>
  <c r="L738" i="2" s="1"/>
  <c r="K684" i="2"/>
  <c r="L684" i="2" s="1"/>
  <c r="K657" i="2"/>
  <c r="L657" i="2" s="1"/>
  <c r="K643" i="2"/>
  <c r="L643" i="2" s="1"/>
  <c r="K617" i="2"/>
  <c r="L617" i="2" s="1"/>
  <c r="K588" i="2"/>
  <c r="K576" i="2"/>
  <c r="K563" i="2"/>
  <c r="K549" i="2"/>
  <c r="K457" i="2"/>
  <c r="K445" i="2"/>
  <c r="L445" i="2" s="1"/>
  <c r="K420" i="2"/>
  <c r="K344" i="2"/>
  <c r="L344" i="2" s="1"/>
  <c r="K306" i="2"/>
  <c r="K268" i="2"/>
  <c r="K229" i="2"/>
  <c r="K140" i="2"/>
  <c r="K128" i="2"/>
  <c r="L128" i="2" s="1"/>
  <c r="K75" i="2"/>
  <c r="K9" i="2"/>
  <c r="K1928" i="2"/>
  <c r="L1928" i="2" s="1"/>
  <c r="K1881" i="2"/>
  <c r="L1881" i="2" s="1"/>
  <c r="K1837" i="2"/>
  <c r="L1837" i="2" s="1"/>
  <c r="K1791" i="2"/>
  <c r="L1791" i="2" s="1"/>
  <c r="K1778" i="2"/>
  <c r="L1778" i="2" s="1"/>
  <c r="K1730" i="2"/>
  <c r="K1715" i="2"/>
  <c r="K1700" i="2"/>
  <c r="K1624" i="2"/>
  <c r="K1609" i="2"/>
  <c r="K1535" i="2"/>
  <c r="K1508" i="2"/>
  <c r="K1478" i="2"/>
  <c r="K1465" i="2"/>
  <c r="K1451" i="2"/>
  <c r="K1381" i="2"/>
  <c r="L1381" i="2" s="1"/>
  <c r="K1327" i="2"/>
  <c r="K1313" i="2"/>
  <c r="K1299" i="2"/>
  <c r="K1244" i="2"/>
  <c r="L1244" i="2" s="1"/>
  <c r="K1230" i="2"/>
  <c r="K1147" i="2"/>
  <c r="L1147" i="2" s="1"/>
  <c r="K1063" i="2"/>
  <c r="L1063" i="2" s="1"/>
  <c r="K1035" i="2"/>
  <c r="L1035" i="2" s="1"/>
  <c r="K1007" i="2"/>
  <c r="L1007" i="2" s="1"/>
  <c r="K927" i="2"/>
  <c r="K914" i="2"/>
  <c r="K874" i="2"/>
  <c r="K819" i="2"/>
  <c r="K806" i="2"/>
  <c r="L806" i="2" s="1"/>
  <c r="K750" i="2"/>
  <c r="K697" i="2"/>
  <c r="K629" i="2"/>
  <c r="L629" i="2" s="1"/>
  <c r="K536" i="2"/>
  <c r="K524" i="2"/>
  <c r="K510" i="2"/>
  <c r="L510" i="2" s="1"/>
  <c r="K497" i="2"/>
  <c r="K470" i="2"/>
  <c r="L470" i="2" s="1"/>
  <c r="K394" i="2"/>
  <c r="L394" i="2" s="1"/>
  <c r="K381" i="2"/>
  <c r="L381" i="2" s="1"/>
  <c r="K331" i="2"/>
  <c r="L331" i="2" s="1"/>
  <c r="K318" i="2"/>
  <c r="L318" i="2" s="1"/>
  <c r="K254" i="2"/>
  <c r="L254" i="2" s="1"/>
  <c r="K242" i="2"/>
  <c r="L242" i="2" s="1"/>
  <c r="K215" i="2"/>
  <c r="L215" i="2" s="1"/>
  <c r="K202" i="2"/>
  <c r="K190" i="2"/>
  <c r="K178" i="2"/>
  <c r="K152" i="2"/>
  <c r="L152" i="2" s="1"/>
  <c r="K113" i="2"/>
  <c r="L113" i="2" s="1"/>
  <c r="K100" i="2"/>
  <c r="L100" i="2" s="1"/>
  <c r="K88" i="2"/>
  <c r="K62" i="2"/>
  <c r="K49" i="2"/>
  <c r="K1943" i="2"/>
  <c r="K1851" i="2"/>
  <c r="L1851" i="2" s="1"/>
  <c r="K1805" i="2"/>
  <c r="K1653" i="2"/>
  <c r="L1653" i="2" s="1"/>
  <c r="K1491" i="2"/>
  <c r="K1367" i="2"/>
  <c r="L1367" i="2" s="1"/>
  <c r="K1285" i="2"/>
  <c r="L1285" i="2" s="1"/>
  <c r="K1256" i="2"/>
  <c r="L1256" i="2" s="1"/>
  <c r="K1217" i="2"/>
  <c r="L1217" i="2" s="1"/>
  <c r="K1203" i="2"/>
  <c r="L1203" i="2" s="1"/>
  <c r="K1160" i="2"/>
  <c r="L1160" i="2" s="1"/>
  <c r="K1119" i="2"/>
  <c r="K1090" i="2"/>
  <c r="K1048" i="2"/>
  <c r="L1048" i="2" s="1"/>
  <c r="K1020" i="2"/>
  <c r="K978" i="2"/>
  <c r="L978" i="2" s="1"/>
  <c r="K965" i="2"/>
  <c r="L965" i="2" s="1"/>
  <c r="K886" i="2"/>
  <c r="K778" i="2"/>
  <c r="K764" i="2"/>
  <c r="K737" i="2"/>
  <c r="K656" i="2"/>
  <c r="K601" i="2"/>
  <c r="K587" i="2"/>
  <c r="K575" i="2"/>
  <c r="L575" i="2" s="1"/>
  <c r="K548" i="2"/>
  <c r="K456" i="2"/>
  <c r="L456" i="2" s="1"/>
  <c r="K431" i="2"/>
  <c r="L431" i="2" s="1"/>
  <c r="K368" i="2"/>
  <c r="L368" i="2" s="1"/>
  <c r="K355" i="2"/>
  <c r="L355" i="2" s="1"/>
  <c r="K305" i="2"/>
  <c r="L305" i="2" s="1"/>
  <c r="K292" i="2"/>
  <c r="K279" i="2"/>
  <c r="K139" i="2"/>
  <c r="K8" i="2"/>
  <c r="K1972" i="2"/>
  <c r="K1958" i="2"/>
  <c r="L1958" i="2" s="1"/>
  <c r="K1895" i="2"/>
  <c r="K1880" i="2"/>
  <c r="K1790" i="2"/>
  <c r="K1637" i="2"/>
  <c r="K1591" i="2"/>
  <c r="K1577" i="2"/>
  <c r="K1534" i="2"/>
  <c r="K1520" i="2"/>
  <c r="L1520" i="2" s="1"/>
  <c r="K1477" i="2"/>
  <c r="K1464" i="2"/>
  <c r="L1464" i="2" s="1"/>
  <c r="K1436" i="2"/>
  <c r="L1436" i="2" s="1"/>
  <c r="K1394" i="2"/>
  <c r="L1394" i="2" s="1"/>
  <c r="K1340" i="2"/>
  <c r="L1340" i="2" s="1"/>
  <c r="K1298" i="2"/>
  <c r="L1298" i="2" s="1"/>
  <c r="K1243" i="2"/>
  <c r="L1243" i="2" s="1"/>
  <c r="K1229" i="2"/>
  <c r="K1188" i="2"/>
  <c r="K1173" i="2"/>
  <c r="K1104" i="2"/>
  <c r="L1104" i="2" s="1"/>
  <c r="K991" i="2"/>
  <c r="L991" i="2" s="1"/>
  <c r="K940" i="2"/>
  <c r="K926" i="2"/>
  <c r="K913" i="2"/>
  <c r="K899" i="2"/>
  <c r="K845" i="2"/>
  <c r="K818" i="2"/>
  <c r="L818" i="2" s="1"/>
  <c r="K749" i="2"/>
  <c r="L749" i="2" s="1"/>
  <c r="K709" i="2"/>
  <c r="K696" i="2"/>
  <c r="L696" i="2" s="1"/>
  <c r="K668" i="2"/>
  <c r="L668" i="2" s="1"/>
  <c r="K628" i="2"/>
  <c r="L628" i="2" s="1"/>
  <c r="K535" i="2"/>
  <c r="L535" i="2" s="1"/>
  <c r="K523" i="2"/>
  <c r="L523" i="2" s="1"/>
  <c r="K509" i="2"/>
  <c r="L509" i="2" s="1"/>
  <c r="K443" i="2"/>
  <c r="K418" i="2"/>
  <c r="K405" i="2"/>
  <c r="K393" i="2"/>
  <c r="K342" i="2"/>
  <c r="L342" i="2" s="1"/>
  <c r="K253" i="2"/>
  <c r="L253" i="2" s="1"/>
  <c r="K241" i="2"/>
  <c r="K214" i="2"/>
  <c r="K201" i="2"/>
  <c r="K189" i="2"/>
  <c r="K151" i="2"/>
  <c r="K112" i="2"/>
  <c r="K99" i="2"/>
  <c r="L99" i="2" s="1"/>
  <c r="K73" i="2"/>
  <c r="L73" i="2" s="1"/>
  <c r="K48" i="2"/>
  <c r="L48" i="2" s="1"/>
  <c r="K134" i="2"/>
  <c r="L134" i="2" s="1"/>
  <c r="K193" i="2"/>
  <c r="L193" i="2" s="1"/>
  <c r="K224" i="2"/>
  <c r="L224" i="2" s="1"/>
  <c r="K315" i="2"/>
  <c r="L315" i="2" s="1"/>
  <c r="K359" i="2"/>
  <c r="L359" i="2" s="1"/>
  <c r="K477" i="2"/>
  <c r="K773" i="2"/>
  <c r="K850" i="2"/>
  <c r="L850" i="2" s="1"/>
  <c r="K881" i="2"/>
  <c r="K973" i="2"/>
  <c r="L973" i="2" s="1"/>
  <c r="K1085" i="2"/>
  <c r="K1198" i="2"/>
  <c r="K1418" i="2"/>
  <c r="K1603" i="2"/>
  <c r="K1618" i="2"/>
  <c r="K1787" i="2"/>
  <c r="L1787" i="2" s="1"/>
  <c r="K1803" i="2"/>
  <c r="L1803" i="2" s="1"/>
  <c r="K1854" i="2"/>
  <c r="L313" i="3"/>
  <c r="L779" i="3"/>
  <c r="K18" i="8"/>
  <c r="K14" i="2"/>
  <c r="L14" i="2" s="1"/>
  <c r="K89" i="2"/>
  <c r="L89" i="2" s="1"/>
  <c r="K180" i="2"/>
  <c r="L180" i="2" s="1"/>
  <c r="K270" i="2"/>
  <c r="L270" i="2" s="1"/>
  <c r="K447" i="2"/>
  <c r="K539" i="2"/>
  <c r="K680" i="2"/>
  <c r="L680" i="2" s="1"/>
  <c r="K758" i="2"/>
  <c r="L758" i="2" s="1"/>
  <c r="K804" i="2"/>
  <c r="L804" i="2" s="1"/>
  <c r="K990" i="2"/>
  <c r="L990" i="2" s="1"/>
  <c r="K1248" i="2"/>
  <c r="K150" i="2"/>
  <c r="K329" i="2"/>
  <c r="K944" i="2"/>
  <c r="K1149" i="2"/>
  <c r="L1149" i="2" s="1"/>
  <c r="K1214" i="2"/>
  <c r="L1214" i="2" s="1"/>
  <c r="K1356" i="2"/>
  <c r="L1356" i="2" s="1"/>
  <c r="K1501" i="2"/>
  <c r="L1501" i="2" s="1"/>
  <c r="L369" i="3"/>
  <c r="K256" i="2"/>
  <c r="L256" i="2" s="1"/>
  <c r="K433" i="2"/>
  <c r="L433" i="2" s="1"/>
  <c r="K570" i="2"/>
  <c r="L570" i="2" s="1"/>
  <c r="K665" i="2"/>
  <c r="K727" i="2"/>
  <c r="L727" i="2" s="1"/>
  <c r="K789" i="2"/>
  <c r="K1135" i="2"/>
  <c r="K1343" i="2"/>
  <c r="K1404" i="2"/>
  <c r="K1671" i="2"/>
  <c r="L1671" i="2" s="1"/>
  <c r="K1688" i="2"/>
  <c r="L1688" i="2" s="1"/>
  <c r="K1770" i="2"/>
  <c r="K1838" i="2"/>
  <c r="K1908" i="2"/>
  <c r="L341" i="3"/>
  <c r="L501" i="3"/>
  <c r="L789" i="3"/>
  <c r="L2001" i="3"/>
  <c r="K44" i="2"/>
  <c r="K121" i="2"/>
  <c r="L121" i="2" s="1"/>
  <c r="K225" i="2"/>
  <c r="L225" i="2" s="1"/>
  <c r="K316" i="2"/>
  <c r="L316" i="2" s="1"/>
  <c r="K360" i="2"/>
  <c r="L360" i="2" s="1"/>
  <c r="K389" i="2"/>
  <c r="L389" i="2" s="1"/>
  <c r="K404" i="2"/>
  <c r="L404" i="2" s="1"/>
  <c r="K493" i="2"/>
  <c r="K525" i="2"/>
  <c r="K586" i="2"/>
  <c r="K618" i="2"/>
  <c r="L618" i="2" s="1"/>
  <c r="K836" i="2"/>
  <c r="K867" i="2"/>
  <c r="L867" i="2" s="1"/>
  <c r="K945" i="2"/>
  <c r="K1023" i="2"/>
  <c r="L1023" i="2" s="1"/>
  <c r="K1039" i="2"/>
  <c r="K1071" i="2"/>
  <c r="K1086" i="2"/>
  <c r="K1150" i="2"/>
  <c r="L1150" i="2" s="1"/>
  <c r="K1295" i="2"/>
  <c r="L1295" i="2" s="1"/>
  <c r="K1311" i="2"/>
  <c r="K1357" i="2"/>
  <c r="L1357" i="2" s="1"/>
  <c r="K1389" i="2"/>
  <c r="L1389" i="2" s="1"/>
  <c r="K1419" i="2"/>
  <c r="L1419" i="2" s="1"/>
  <c r="K1588" i="2"/>
  <c r="L1588" i="2" s="1"/>
  <c r="K1739" i="2"/>
  <c r="L1739" i="2" s="1"/>
  <c r="L237" i="3"/>
  <c r="L332" i="3"/>
  <c r="K60" i="2"/>
  <c r="K90" i="2"/>
  <c r="K136" i="2"/>
  <c r="L136" i="2" s="1"/>
  <c r="K168" i="2"/>
  <c r="L168" i="2" s="1"/>
  <c r="K181" i="2"/>
  <c r="L181" i="2" s="1"/>
  <c r="K302" i="2"/>
  <c r="K376" i="2"/>
  <c r="K434" i="2"/>
  <c r="K557" i="2"/>
  <c r="K571" i="2"/>
  <c r="K681" i="2"/>
  <c r="K714" i="2"/>
  <c r="K728" i="2"/>
  <c r="L728" i="2" s="1"/>
  <c r="K775" i="2"/>
  <c r="L775" i="2" s="1"/>
  <c r="K790" i="2"/>
  <c r="L790" i="2" s="1"/>
  <c r="K821" i="2"/>
  <c r="L821" i="2" s="1"/>
  <c r="K883" i="2"/>
  <c r="L883" i="2" s="1"/>
  <c r="K915" i="2"/>
  <c r="L915" i="2" s="1"/>
  <c r="K1136" i="2"/>
  <c r="L1136" i="2" s="1"/>
  <c r="K1264" i="2"/>
  <c r="K1328" i="2"/>
  <c r="K1344" i="2"/>
  <c r="K1453" i="2"/>
  <c r="K1487" i="2"/>
  <c r="L1487" i="2" s="1"/>
  <c r="K1503" i="2"/>
  <c r="K1605" i="2"/>
  <c r="K1689" i="2"/>
  <c r="K1789" i="2"/>
  <c r="K1874" i="2"/>
  <c r="K1999" i="2"/>
  <c r="K45" i="2"/>
  <c r="K76" i="2"/>
  <c r="K196" i="2"/>
  <c r="L196" i="2" s="1"/>
  <c r="K212" i="2"/>
  <c r="L212" i="2" s="1"/>
  <c r="K226" i="2"/>
  <c r="L226" i="2" s="1"/>
  <c r="K243" i="2"/>
  <c r="L243" i="2" s="1"/>
  <c r="K258" i="2"/>
  <c r="L258" i="2" s="1"/>
  <c r="K332" i="2"/>
  <c r="L332" i="2" s="1"/>
  <c r="K390" i="2"/>
  <c r="L390" i="2" s="1"/>
  <c r="K465" i="2"/>
  <c r="K480" i="2"/>
  <c r="K526" i="2"/>
  <c r="K604" i="2"/>
  <c r="K667" i="2"/>
  <c r="L667" i="2" s="1"/>
  <c r="K698" i="2"/>
  <c r="L698" i="2" s="1"/>
  <c r="K744" i="2"/>
  <c r="K960" i="2"/>
  <c r="K1009" i="2"/>
  <c r="K1024" i="2"/>
  <c r="K1169" i="2"/>
  <c r="L1169" i="2" s="1"/>
  <c r="K1281" i="2"/>
  <c r="K1375" i="2"/>
  <c r="K1406" i="2"/>
  <c r="L1406" i="2" s="1"/>
  <c r="K1589" i="2"/>
  <c r="L1589" i="2" s="1"/>
  <c r="K1673" i="2"/>
  <c r="L1673" i="2" s="1"/>
  <c r="K1824" i="2"/>
  <c r="L1824" i="2" s="1"/>
  <c r="L219" i="3"/>
  <c r="L277" i="3"/>
  <c r="L287" i="3"/>
  <c r="L1438" i="3"/>
  <c r="L1447" i="3"/>
  <c r="L1238" i="3"/>
  <c r="E2016" i="3"/>
  <c r="E2019" i="3" s="1"/>
  <c r="E2009" i="3"/>
  <c r="E2010" i="3" s="1"/>
  <c r="E2017" i="2"/>
  <c r="K37" i="2"/>
  <c r="K16" i="2"/>
  <c r="K19" i="2"/>
  <c r="K40" i="2"/>
  <c r="K38" i="2"/>
  <c r="K41" i="2"/>
  <c r="K29" i="2"/>
  <c r="K17" i="2"/>
  <c r="K35" i="2"/>
  <c r="L35" i="2" s="1"/>
  <c r="K10" i="2"/>
  <c r="L10" i="2" s="1"/>
  <c r="K22" i="2"/>
  <c r="L22" i="2" s="1"/>
  <c r="K36" i="2"/>
  <c r="L36" i="2" s="1"/>
  <c r="L173" i="3"/>
  <c r="E2010" i="2"/>
  <c r="L10" i="3"/>
  <c r="L97" i="3"/>
  <c r="L467" i="3"/>
  <c r="L1809" i="3"/>
  <c r="L385" i="3"/>
  <c r="L129" i="3"/>
  <c r="L739" i="3"/>
  <c r="L1821" i="3"/>
  <c r="L1859" i="3"/>
  <c r="L412" i="3"/>
  <c r="L1006" i="3"/>
  <c r="L1206" i="3"/>
  <c r="K15" i="2"/>
  <c r="L109" i="3"/>
  <c r="H2019" i="3"/>
  <c r="I2019" i="3"/>
  <c r="L43" i="3"/>
  <c r="L82" i="3"/>
  <c r="L387" i="3"/>
  <c r="L424" i="3"/>
  <c r="L529" i="3"/>
  <c r="L548" i="3"/>
  <c r="L558" i="3"/>
  <c r="L606" i="3"/>
  <c r="L634" i="3"/>
  <c r="L817" i="3"/>
  <c r="L922" i="3"/>
  <c r="L931" i="3"/>
  <c r="L1159" i="3"/>
  <c r="L1592" i="3"/>
  <c r="L1688" i="3"/>
  <c r="L372" i="3"/>
  <c r="L381" i="3"/>
  <c r="L1094" i="3"/>
  <c r="L1733" i="3"/>
  <c r="F2016" i="3"/>
  <c r="F2017" i="3" s="1"/>
  <c r="F2009" i="3"/>
  <c r="F2017" i="2"/>
  <c r="F2019" i="2" s="1"/>
  <c r="F2010" i="2"/>
  <c r="F2011" i="2" s="1"/>
  <c r="F23" i="13" s="1"/>
  <c r="L353" i="3"/>
  <c r="L523" i="3"/>
  <c r="L533" i="3"/>
  <c r="L685" i="3"/>
  <c r="L1705" i="3"/>
  <c r="G2017" i="2"/>
  <c r="G2019" i="2" s="1"/>
  <c r="L51" i="3"/>
  <c r="L118" i="3"/>
  <c r="L128" i="3"/>
  <c r="L175" i="3"/>
  <c r="L251" i="3"/>
  <c r="L270" i="3"/>
  <c r="L524" i="3"/>
  <c r="L534" i="3"/>
  <c r="L553" i="3"/>
  <c r="L1312" i="3"/>
  <c r="L1331" i="3"/>
  <c r="L1687" i="3"/>
  <c r="L1925" i="3"/>
  <c r="L1014" i="3"/>
  <c r="L1407" i="3"/>
  <c r="L1643" i="3"/>
  <c r="L1023" i="3"/>
  <c r="L909" i="3"/>
  <c r="L36" i="3"/>
  <c r="L46" i="3"/>
  <c r="L368" i="3"/>
  <c r="L414" i="3"/>
  <c r="L681" i="3"/>
  <c r="L699" i="3"/>
  <c r="L853" i="3"/>
  <c r="L863" i="3"/>
  <c r="L891" i="3"/>
  <c r="L1205" i="3"/>
  <c r="L1223" i="3"/>
  <c r="L1298" i="3"/>
  <c r="L1398" i="3"/>
  <c r="L1493" i="3"/>
  <c r="L1803" i="3"/>
  <c r="L1813" i="3"/>
  <c r="K13" i="2"/>
  <c r="L13" i="2" s="1"/>
  <c r="L384" i="3"/>
  <c r="L411" i="3"/>
  <c r="L477" i="3"/>
  <c r="L1355" i="3"/>
  <c r="L1456" i="3"/>
  <c r="L1466" i="3"/>
  <c r="L1625" i="3"/>
  <c r="L1804" i="3"/>
  <c r="C5" i="12"/>
  <c r="F39" i="7"/>
  <c r="F5" i="12" s="1"/>
  <c r="J39" i="7"/>
  <c r="J5" i="12" s="1"/>
  <c r="G39" i="7"/>
  <c r="G5" i="12" s="1"/>
  <c r="L85" i="3"/>
  <c r="L197" i="3"/>
  <c r="L301" i="3"/>
  <c r="L603" i="3"/>
  <c r="L613" i="3"/>
  <c r="L1114" i="3"/>
  <c r="L1768" i="3"/>
  <c r="L452" i="3"/>
  <c r="L718" i="3"/>
  <c r="L881" i="3"/>
  <c r="L918" i="3"/>
  <c r="L1105" i="3"/>
  <c r="L1124" i="3"/>
  <c r="L1161" i="3"/>
  <c r="L1171" i="3"/>
  <c r="L1069" i="3"/>
  <c r="L1115" i="3"/>
  <c r="L1330" i="3"/>
  <c r="L55" i="3"/>
  <c r="L84" i="3"/>
  <c r="L103" i="3"/>
  <c r="L112" i="3"/>
  <c r="L121" i="3"/>
  <c r="L131" i="3"/>
  <c r="L149" i="3"/>
  <c r="L196" i="3"/>
  <c r="L580" i="3"/>
  <c r="L864" i="3"/>
  <c r="L977" i="3"/>
  <c r="L1264" i="3"/>
  <c r="L1320" i="3"/>
  <c r="L1448" i="3"/>
  <c r="L1748" i="3"/>
  <c r="L1824" i="3"/>
  <c r="L1833" i="3"/>
  <c r="L771" i="3"/>
  <c r="C6" i="12"/>
  <c r="I48" i="7"/>
  <c r="I6" i="12" s="1"/>
  <c r="E48" i="7"/>
  <c r="E6" i="12" s="1"/>
  <c r="D48" i="7"/>
  <c r="D6" i="12" s="1"/>
  <c r="L134" i="3"/>
  <c r="L180" i="3"/>
  <c r="L199" i="3"/>
  <c r="L208" i="3"/>
  <c r="L236" i="3"/>
  <c r="L283" i="3"/>
  <c r="L358" i="3"/>
  <c r="L395" i="3"/>
  <c r="L515" i="3"/>
  <c r="L525" i="3"/>
  <c r="L677" i="3"/>
  <c r="L687" i="3"/>
  <c r="L705" i="3"/>
  <c r="L1064" i="3"/>
  <c r="L1082" i="3"/>
  <c r="L1186" i="3"/>
  <c r="L1404" i="3"/>
  <c r="L1779" i="3"/>
  <c r="L1873" i="3"/>
  <c r="L162" i="3"/>
  <c r="L227" i="3"/>
  <c r="L246" i="3"/>
  <c r="L256" i="3"/>
  <c r="L312" i="3"/>
  <c r="L413" i="3"/>
  <c r="L451" i="3"/>
  <c r="L469" i="3"/>
  <c r="L479" i="3"/>
  <c r="L497" i="3"/>
  <c r="L516" i="3"/>
  <c r="L668" i="3"/>
  <c r="L905" i="3"/>
  <c r="L914" i="3"/>
  <c r="L971" i="3"/>
  <c r="L1525" i="3"/>
  <c r="L1543" i="3"/>
  <c r="L1742" i="3"/>
  <c r="L1883" i="3"/>
  <c r="L1713" i="3"/>
  <c r="L1731" i="3"/>
  <c r="L1955" i="3"/>
  <c r="L35" i="3"/>
  <c r="L139" i="3"/>
  <c r="L148" i="3"/>
  <c r="L167" i="3"/>
  <c r="L176" i="3"/>
  <c r="L232" i="3"/>
  <c r="L241" i="3"/>
  <c r="L260" i="3"/>
  <c r="L269" i="3"/>
  <c r="L315" i="3"/>
  <c r="L324" i="3"/>
  <c r="L333" i="3"/>
  <c r="L567" i="3"/>
  <c r="L585" i="3"/>
  <c r="L604" i="3"/>
  <c r="L614" i="3"/>
  <c r="L623" i="3"/>
  <c r="L660" i="3"/>
  <c r="L1263" i="3"/>
  <c r="L1555" i="3"/>
  <c r="L1584" i="3"/>
  <c r="L1593" i="3"/>
  <c r="L1659" i="3"/>
  <c r="L1695" i="3"/>
  <c r="L1732" i="3"/>
  <c r="L1741" i="3"/>
  <c r="L1928" i="3"/>
  <c r="L1937" i="3"/>
  <c r="L1984" i="3"/>
  <c r="C4" i="12"/>
  <c r="E30" i="7"/>
  <c r="E4" i="12" s="1"/>
  <c r="F30" i="7"/>
  <c r="F4" i="12" s="1"/>
  <c r="F9" i="12" s="1"/>
  <c r="L541" i="3"/>
  <c r="L709" i="3"/>
  <c r="L1167" i="3"/>
  <c r="L1230" i="3"/>
  <c r="L1653" i="3"/>
  <c r="L319" i="3"/>
  <c r="L430" i="3"/>
  <c r="L439" i="3"/>
  <c r="L476" i="3"/>
  <c r="L504" i="3"/>
  <c r="L542" i="3"/>
  <c r="L579" i="3"/>
  <c r="L691" i="3"/>
  <c r="L710" i="3"/>
  <c r="L748" i="3"/>
  <c r="L767" i="3"/>
  <c r="L785" i="3"/>
  <c r="L880" i="3"/>
  <c r="L927" i="3"/>
  <c r="L945" i="3"/>
  <c r="L1168" i="3"/>
  <c r="L1178" i="3"/>
  <c r="L1240" i="3"/>
  <c r="L1430" i="3"/>
  <c r="L1514" i="3"/>
  <c r="L1523" i="3"/>
  <c r="L1578" i="3"/>
  <c r="L1607" i="3"/>
  <c r="L29" i="3"/>
  <c r="L39" i="3"/>
  <c r="L244" i="3"/>
  <c r="L263" i="3"/>
  <c r="L281" i="3"/>
  <c r="L318" i="3"/>
  <c r="L345" i="3"/>
  <c r="L447" i="3"/>
  <c r="L492" i="3"/>
  <c r="L502" i="3"/>
  <c r="L521" i="3"/>
  <c r="L539" i="3"/>
  <c r="L559" i="3"/>
  <c r="L577" i="3"/>
  <c r="L586" i="3"/>
  <c r="L595" i="3"/>
  <c r="L763" i="3"/>
  <c r="L782" i="3"/>
  <c r="L801" i="3"/>
  <c r="L886" i="3"/>
  <c r="L913" i="3"/>
  <c r="L932" i="3"/>
  <c r="L969" i="3"/>
  <c r="L979" i="3"/>
  <c r="L1210" i="3"/>
  <c r="L1244" i="3"/>
  <c r="L1270" i="3"/>
  <c r="L1345" i="3"/>
  <c r="L1354" i="3"/>
  <c r="L1414" i="3"/>
  <c r="L1423" i="3"/>
  <c r="L1460" i="3"/>
  <c r="L1479" i="3"/>
  <c r="L1497" i="3"/>
  <c r="L1506" i="3"/>
  <c r="L1560" i="3"/>
  <c r="L1608" i="3"/>
  <c r="L12" i="3"/>
  <c r="L30" i="3"/>
  <c r="L124" i="3"/>
  <c r="L143" i="3"/>
  <c r="L152" i="3"/>
  <c r="L161" i="3"/>
  <c r="L226" i="3"/>
  <c r="L291" i="3"/>
  <c r="L300" i="3"/>
  <c r="L745" i="3"/>
  <c r="L764" i="3"/>
  <c r="L792" i="3"/>
  <c r="L951" i="3"/>
  <c r="L1099" i="3"/>
  <c r="L1193" i="3"/>
  <c r="L1219" i="3"/>
  <c r="L1336" i="3"/>
  <c r="L1424" i="3"/>
  <c r="I16" i="8"/>
  <c r="G16" i="8"/>
  <c r="K30" i="8"/>
  <c r="L7" i="3"/>
  <c r="L16" i="3"/>
  <c r="L52" i="3"/>
  <c r="L61" i="3"/>
  <c r="L71" i="3"/>
  <c r="L80" i="3"/>
  <c r="L125" i="3"/>
  <c r="L135" i="3"/>
  <c r="L144" i="3"/>
  <c r="L289" i="3"/>
  <c r="L316" i="3"/>
  <c r="L325" i="3"/>
  <c r="L361" i="3"/>
  <c r="L379" i="3"/>
  <c r="L388" i="3"/>
  <c r="L398" i="3"/>
  <c r="L462" i="3"/>
  <c r="L489" i="3"/>
  <c r="L694" i="3"/>
  <c r="L703" i="3"/>
  <c r="L740" i="3"/>
  <c r="L749" i="3"/>
  <c r="L815" i="3"/>
  <c r="L870" i="3"/>
  <c r="L897" i="3"/>
  <c r="L924" i="3"/>
  <c r="L933" i="3"/>
  <c r="L961" i="3"/>
  <c r="L988" i="3"/>
  <c r="L1016" i="3"/>
  <c r="L1025" i="3"/>
  <c r="L1034" i="3"/>
  <c r="L1043" i="3"/>
  <c r="L1107" i="3"/>
  <c r="L1152" i="3"/>
  <c r="L1162" i="3"/>
  <c r="L1215" i="3"/>
  <c r="L1224" i="3"/>
  <c r="L1241" i="3"/>
  <c r="L1294" i="3"/>
  <c r="L1384" i="3"/>
  <c r="L1401" i="3"/>
  <c r="L1482" i="3"/>
  <c r="L1544" i="3"/>
  <c r="L1618" i="3"/>
  <c r="L1791" i="3"/>
  <c r="L1810" i="3"/>
  <c r="L2006" i="3"/>
  <c r="L806" i="3"/>
  <c r="L833" i="3"/>
  <c r="L934" i="3"/>
  <c r="L943" i="3"/>
  <c r="L980" i="3"/>
  <c r="L989" i="3"/>
  <c r="L1464" i="3"/>
  <c r="L1473" i="3"/>
  <c r="L1572" i="3"/>
  <c r="L1801" i="3"/>
  <c r="L1922" i="3"/>
  <c r="L1960" i="3"/>
  <c r="L44" i="3"/>
  <c r="L53" i="3"/>
  <c r="L63" i="3"/>
  <c r="L127" i="3"/>
  <c r="L200" i="3"/>
  <c r="L264" i="3"/>
  <c r="L308" i="3"/>
  <c r="L317" i="3"/>
  <c r="L380" i="3"/>
  <c r="L390" i="3"/>
  <c r="L408" i="3"/>
  <c r="L621" i="3"/>
  <c r="L631" i="3"/>
  <c r="L649" i="3"/>
  <c r="L686" i="3"/>
  <c r="L797" i="3"/>
  <c r="L807" i="3"/>
  <c r="L825" i="3"/>
  <c r="L862" i="3"/>
  <c r="L916" i="3"/>
  <c r="L925" i="3"/>
  <c r="L935" i="3"/>
  <c r="L953" i="3"/>
  <c r="L981" i="3"/>
  <c r="L1072" i="3"/>
  <c r="L1081" i="3"/>
  <c r="L1126" i="3"/>
  <c r="L1350" i="3"/>
  <c r="L1446" i="3"/>
  <c r="L1455" i="3"/>
  <c r="L1465" i="3"/>
  <c r="L1474" i="3"/>
  <c r="L1527" i="3"/>
  <c r="L1563" i="3"/>
  <c r="L1619" i="3"/>
  <c r="L1691" i="3"/>
  <c r="L1895" i="3"/>
  <c r="L1913" i="3"/>
  <c r="L1951" i="3"/>
  <c r="K2006" i="2"/>
  <c r="L2006" i="2" s="1"/>
  <c r="K1996" i="2"/>
  <c r="K1986" i="2"/>
  <c r="L1986" i="2" s="1"/>
  <c r="K1976" i="2"/>
  <c r="L1976" i="2" s="1"/>
  <c r="K1966" i="2"/>
  <c r="L1966" i="2" s="1"/>
  <c r="K1956" i="2"/>
  <c r="L1956" i="2" s="1"/>
  <c r="K1946" i="2"/>
  <c r="L1946" i="2" s="1"/>
  <c r="K1936" i="2"/>
  <c r="L1936" i="2" s="1"/>
  <c r="K1926" i="2"/>
  <c r="L1926" i="2" s="1"/>
  <c r="K1916" i="2"/>
  <c r="L1916" i="2" s="1"/>
  <c r="K1906" i="2"/>
  <c r="K1896" i="2"/>
  <c r="K1886" i="2"/>
  <c r="K1876" i="2"/>
  <c r="K1866" i="2"/>
  <c r="K1856" i="2"/>
  <c r="K1846" i="2"/>
  <c r="K1836" i="2"/>
  <c r="K1826" i="2"/>
  <c r="K1816" i="2"/>
  <c r="K1806" i="2"/>
  <c r="K1796" i="2"/>
  <c r="K1786" i="2"/>
  <c r="L1786" i="2" s="1"/>
  <c r="K1776" i="2"/>
  <c r="L1776" i="2" s="1"/>
  <c r="K1766" i="2"/>
  <c r="L1766" i="2" s="1"/>
  <c r="K1756" i="2"/>
  <c r="L1756" i="2" s="1"/>
  <c r="K1746" i="2"/>
  <c r="L1746" i="2" s="1"/>
  <c r="K1736" i="2"/>
  <c r="L1736" i="2" s="1"/>
  <c r="K1726" i="2"/>
  <c r="L1726" i="2" s="1"/>
  <c r="K1716" i="2"/>
  <c r="L1716" i="2" s="1"/>
  <c r="K1706" i="2"/>
  <c r="K1696" i="2"/>
  <c r="K1686" i="2"/>
  <c r="L1686" i="2" s="1"/>
  <c r="K1676" i="2"/>
  <c r="K1666" i="2"/>
  <c r="L1666" i="2" s="1"/>
  <c r="K1656" i="2"/>
  <c r="K1646" i="2"/>
  <c r="K1636" i="2"/>
  <c r="L1636" i="2" s="1"/>
  <c r="K1626" i="2"/>
  <c r="K1616" i="2"/>
  <c r="K1606" i="2"/>
  <c r="K1596" i="2"/>
  <c r="L37" i="3"/>
  <c r="L47" i="3"/>
  <c r="L101" i="3"/>
  <c r="L120" i="3"/>
  <c r="L165" i="3"/>
  <c r="L184" i="3"/>
  <c r="L229" i="3"/>
  <c r="L248" i="3"/>
  <c r="L429" i="3"/>
  <c r="L448" i="3"/>
  <c r="L484" i="3"/>
  <c r="L503" i="3"/>
  <c r="L550" i="3"/>
  <c r="L560" i="3"/>
  <c r="L569" i="3"/>
  <c r="L596" i="3"/>
  <c r="L605" i="3"/>
  <c r="L651" i="3"/>
  <c r="L726" i="3"/>
  <c r="L735" i="3"/>
  <c r="L772" i="3"/>
  <c r="L827" i="3"/>
  <c r="L846" i="3"/>
  <c r="L1194" i="3"/>
  <c r="L1281" i="3"/>
  <c r="L1668" i="3"/>
  <c r="L1712" i="3"/>
  <c r="L1721" i="3"/>
  <c r="L1739" i="3"/>
  <c r="L1777" i="3"/>
  <c r="L1880" i="3"/>
  <c r="L1926" i="3"/>
  <c r="L1954" i="3"/>
  <c r="L1963" i="3"/>
  <c r="I2011" i="3"/>
  <c r="L1996" i="3"/>
  <c r="L2005" i="3"/>
  <c r="L1530" i="3"/>
  <c r="L1573" i="3"/>
  <c r="L1627" i="3"/>
  <c r="L1636" i="3"/>
  <c r="L1663" i="3"/>
  <c r="L1744" i="3"/>
  <c r="L1872" i="3"/>
  <c r="L1881" i="3"/>
  <c r="L1945" i="3"/>
  <c r="L1964" i="3"/>
  <c r="L1973" i="3"/>
  <c r="L1982" i="3"/>
  <c r="L77" i="3"/>
  <c r="L113" i="3"/>
  <c r="L221" i="3"/>
  <c r="L293" i="3"/>
  <c r="L337" i="3"/>
  <c r="L619" i="3"/>
  <c r="L701" i="3"/>
  <c r="L755" i="3"/>
  <c r="L819" i="3"/>
  <c r="L837" i="3"/>
  <c r="L1002" i="3"/>
  <c r="L1135" i="3"/>
  <c r="L1190" i="3"/>
  <c r="L1557" i="3"/>
  <c r="L1621" i="3"/>
  <c r="L1765" i="3"/>
  <c r="L1819" i="3"/>
  <c r="L1865" i="3"/>
  <c r="L15" i="3"/>
  <c r="L24" i="3"/>
  <c r="L78" i="3"/>
  <c r="L87" i="3"/>
  <c r="L141" i="3"/>
  <c r="L222" i="3"/>
  <c r="L249" i="3"/>
  <c r="L364" i="3"/>
  <c r="L373" i="3"/>
  <c r="L409" i="3"/>
  <c r="L629" i="3"/>
  <c r="L683" i="3"/>
  <c r="L765" i="3"/>
  <c r="L1038" i="3"/>
  <c r="L1286" i="3"/>
  <c r="L1295" i="3"/>
  <c r="L1462" i="3"/>
  <c r="L1471" i="3"/>
  <c r="L1829" i="3"/>
  <c r="L1893" i="3"/>
  <c r="L1939" i="3"/>
  <c r="K36" i="8"/>
  <c r="D36" i="8"/>
  <c r="L60" i="3"/>
  <c r="L142" i="3"/>
  <c r="L151" i="3"/>
  <c r="L160" i="3"/>
  <c r="L195" i="3"/>
  <c r="L204" i="3"/>
  <c r="L285" i="3"/>
  <c r="L329" i="3"/>
  <c r="L347" i="3"/>
  <c r="L374" i="3"/>
  <c r="L383" i="3"/>
  <c r="L436" i="3"/>
  <c r="L519" i="3"/>
  <c r="L593" i="3"/>
  <c r="L611" i="3"/>
  <c r="L630" i="3"/>
  <c r="L657" i="3"/>
  <c r="L684" i="3"/>
  <c r="L693" i="3"/>
  <c r="L721" i="3"/>
  <c r="L747" i="3"/>
  <c r="L766" i="3"/>
  <c r="L811" i="3"/>
  <c r="L829" i="3"/>
  <c r="L948" i="3"/>
  <c r="L957" i="3"/>
  <c r="L994" i="3"/>
  <c r="L1048" i="3"/>
  <c r="L1084" i="3"/>
  <c r="L1146" i="3"/>
  <c r="L1155" i="3"/>
  <c r="L1296" i="3"/>
  <c r="L1366" i="3"/>
  <c r="L1383" i="3"/>
  <c r="L1392" i="3"/>
  <c r="L1409" i="3"/>
  <c r="L1418" i="3"/>
  <c r="L1472" i="3"/>
  <c r="L1604" i="3"/>
  <c r="L1613" i="3"/>
  <c r="L1711" i="3"/>
  <c r="L1729" i="3"/>
  <c r="L1747" i="3"/>
  <c r="L1775" i="3"/>
  <c r="L1784" i="3"/>
  <c r="L1811" i="3"/>
  <c r="L1839" i="3"/>
  <c r="L1857" i="3"/>
  <c r="L1875" i="3"/>
  <c r="L1903" i="3"/>
  <c r="L1912" i="3"/>
  <c r="L1921" i="3"/>
  <c r="E2017" i="3"/>
  <c r="L1900" i="3"/>
  <c r="L1909" i="3"/>
  <c r="L1953" i="3"/>
  <c r="L1980" i="3"/>
  <c r="L1989" i="3"/>
  <c r="G2018" i="3"/>
  <c r="L1127" i="3"/>
  <c r="L1136" i="3"/>
  <c r="L1222" i="3"/>
  <c r="L1239" i="3"/>
  <c r="L1248" i="3"/>
  <c r="L1265" i="3"/>
  <c r="L1282" i="3"/>
  <c r="L1382" i="3"/>
  <c r="L1399" i="3"/>
  <c r="L1408" i="3"/>
  <c r="L1425" i="3"/>
  <c r="L1442" i="3"/>
  <c r="L1542" i="3"/>
  <c r="L1568" i="3"/>
  <c r="L1585" i="3"/>
  <c r="L1612" i="3"/>
  <c r="L1637" i="3"/>
  <c r="L1655" i="3"/>
  <c r="L1664" i="3"/>
  <c r="L1716" i="3"/>
  <c r="L1796" i="3"/>
  <c r="L1849" i="3"/>
  <c r="L1876" i="3"/>
  <c r="L1929" i="3"/>
  <c r="L1956" i="3"/>
  <c r="H2010" i="3"/>
  <c r="L563" i="3"/>
  <c r="L581" i="3"/>
  <c r="L617" i="3"/>
  <c r="L643" i="3"/>
  <c r="L661" i="3"/>
  <c r="L697" i="3"/>
  <c r="L723" i="3"/>
  <c r="L741" i="3"/>
  <c r="L777" i="3"/>
  <c r="L803" i="3"/>
  <c r="L821" i="3"/>
  <c r="L857" i="3"/>
  <c r="L883" i="3"/>
  <c r="L901" i="3"/>
  <c r="L937" i="3"/>
  <c r="L963" i="3"/>
  <c r="L1008" i="3"/>
  <c r="L1017" i="3"/>
  <c r="L1026" i="3"/>
  <c r="L1035" i="3"/>
  <c r="L1078" i="3"/>
  <c r="L1130" i="3"/>
  <c r="L1148" i="3"/>
  <c r="L1182" i="3"/>
  <c r="L1199" i="3"/>
  <c r="L1208" i="3"/>
  <c r="L1225" i="3"/>
  <c r="L1242" i="3"/>
  <c r="L1342" i="3"/>
  <c r="L1359" i="3"/>
  <c r="L1368" i="3"/>
  <c r="L1385" i="3"/>
  <c r="L1402" i="3"/>
  <c r="L1502" i="3"/>
  <c r="L1519" i="3"/>
  <c r="L1528" i="3"/>
  <c r="L1545" i="3"/>
  <c r="L1587" i="3"/>
  <c r="L1605" i="3"/>
  <c r="L1631" i="3"/>
  <c r="L1657" i="3"/>
  <c r="L1683" i="3"/>
  <c r="L1692" i="3"/>
  <c r="L1709" i="3"/>
  <c r="L1727" i="3"/>
  <c r="L1736" i="3"/>
  <c r="L1745" i="3"/>
  <c r="L1771" i="3"/>
  <c r="L1789" i="3"/>
  <c r="L1807" i="3"/>
  <c r="L1816" i="3"/>
  <c r="L1825" i="3"/>
  <c r="L1851" i="3"/>
  <c r="L1869" i="3"/>
  <c r="L1887" i="3"/>
  <c r="L1896" i="3"/>
  <c r="L1931" i="3"/>
  <c r="L1967" i="3"/>
  <c r="L1976" i="3"/>
  <c r="I2012" i="3"/>
  <c r="L508" i="3"/>
  <c r="L517" i="3"/>
  <c r="L527" i="3"/>
  <c r="L564" i="3"/>
  <c r="L582" i="3"/>
  <c r="L591" i="3"/>
  <c r="I2013" i="3"/>
  <c r="L653" i="3"/>
  <c r="L715" i="3"/>
  <c r="L733" i="3"/>
  <c r="L795" i="3"/>
  <c r="L813" i="3"/>
  <c r="L849" i="3"/>
  <c r="L875" i="3"/>
  <c r="L893" i="3"/>
  <c r="L929" i="3"/>
  <c r="L955" i="3"/>
  <c r="L991" i="3"/>
  <c r="L1009" i="3"/>
  <c r="L1018" i="3"/>
  <c r="L1104" i="3"/>
  <c r="L1174" i="3"/>
  <c r="L1183" i="3"/>
  <c r="L1192" i="3"/>
  <c r="L1209" i="3"/>
  <c r="L1226" i="3"/>
  <c r="L1326" i="3"/>
  <c r="L1343" i="3"/>
  <c r="L1352" i="3"/>
  <c r="L1369" i="3"/>
  <c r="L1386" i="3"/>
  <c r="L1486" i="3"/>
  <c r="L1503" i="3"/>
  <c r="L1579" i="3"/>
  <c r="L1597" i="3"/>
  <c r="L1649" i="3"/>
  <c r="L1676" i="3"/>
  <c r="L1701" i="3"/>
  <c r="L1719" i="3"/>
  <c r="L1728" i="3"/>
  <c r="L1763" i="3"/>
  <c r="L1781" i="3"/>
  <c r="L1799" i="3"/>
  <c r="L1808" i="3"/>
  <c r="L1817" i="3"/>
  <c r="L1843" i="3"/>
  <c r="L1861" i="3"/>
  <c r="L1879" i="3"/>
  <c r="L1888" i="3"/>
  <c r="L1923" i="3"/>
  <c r="L1959" i="3"/>
  <c r="L1968" i="3"/>
  <c r="L2003" i="3"/>
  <c r="L339" i="3"/>
  <c r="L366" i="3"/>
  <c r="L401" i="3"/>
  <c r="L419" i="3"/>
  <c r="L446" i="3"/>
  <c r="L500" i="3"/>
  <c r="L528" i="3"/>
  <c r="L537" i="3"/>
  <c r="L555" i="3"/>
  <c r="L574" i="3"/>
  <c r="L583" i="3"/>
  <c r="L636" i="3"/>
  <c r="L654" i="3"/>
  <c r="L663" i="3"/>
  <c r="L716" i="3"/>
  <c r="L734" i="3"/>
  <c r="L743" i="3"/>
  <c r="L796" i="3"/>
  <c r="L814" i="3"/>
  <c r="L823" i="3"/>
  <c r="L876" i="3"/>
  <c r="L894" i="3"/>
  <c r="L903" i="3"/>
  <c r="L956" i="3"/>
  <c r="L983" i="3"/>
  <c r="L1122" i="3"/>
  <c r="L1140" i="3"/>
  <c r="L1166" i="3"/>
  <c r="L1184" i="3"/>
  <c r="L1201" i="3"/>
  <c r="L1218" i="3"/>
  <c r="L1318" i="3"/>
  <c r="L1335" i="3"/>
  <c r="L1344" i="3"/>
  <c r="L1361" i="3"/>
  <c r="L1378" i="3"/>
  <c r="L1478" i="3"/>
  <c r="L1495" i="3"/>
  <c r="L1504" i="3"/>
  <c r="L1521" i="3"/>
  <c r="L1538" i="3"/>
  <c r="L1571" i="3"/>
  <c r="L1624" i="3"/>
  <c r="L1764" i="3"/>
  <c r="L1844" i="3"/>
  <c r="L1924" i="3"/>
  <c r="L2004" i="3"/>
  <c r="L1260" i="2"/>
  <c r="L1732" i="2"/>
  <c r="L1768" i="2"/>
  <c r="L1132" i="2"/>
  <c r="L1352" i="2"/>
  <c r="L1641" i="2"/>
  <c r="L1957" i="2"/>
  <c r="L1989" i="2"/>
  <c r="L1997" i="2"/>
  <c r="L302" i="2"/>
  <c r="L1906" i="2"/>
  <c r="L975" i="2"/>
  <c r="L979" i="2"/>
  <c r="L208" i="2"/>
  <c r="L216" i="2"/>
  <c r="L220" i="2"/>
  <c r="L908" i="2"/>
  <c r="L940" i="2"/>
  <c r="L980" i="2"/>
  <c r="L988" i="2"/>
  <c r="L1004" i="2"/>
  <c r="L1060" i="2"/>
  <c r="L109" i="2"/>
  <c r="L197" i="2"/>
  <c r="L229" i="2"/>
  <c r="L913" i="2"/>
  <c r="L997" i="2"/>
  <c r="L1061" i="2"/>
  <c r="L1069" i="2"/>
  <c r="L1073" i="2"/>
  <c r="L1097" i="2"/>
  <c r="L1109" i="2"/>
  <c r="L1113" i="2"/>
  <c r="L584" i="2"/>
  <c r="L604" i="2"/>
  <c r="L1583" i="2"/>
  <c r="L1587" i="2"/>
  <c r="L1591" i="2"/>
  <c r="L1935" i="2"/>
  <c r="L499" i="2"/>
  <c r="L511" i="2"/>
  <c r="L397" i="2"/>
  <c r="L461" i="2"/>
  <c r="L573" i="2"/>
  <c r="L589" i="2"/>
  <c r="L644" i="2"/>
  <c r="L1596" i="2"/>
  <c r="L202" i="2"/>
  <c r="L218" i="2"/>
  <c r="L649" i="2"/>
  <c r="L713" i="2"/>
  <c r="L733" i="2"/>
  <c r="L809" i="2"/>
  <c r="L91" i="2"/>
  <c r="L95" i="2"/>
  <c r="L115" i="2"/>
  <c r="L231" i="2"/>
  <c r="L279" i="2"/>
  <c r="L1074" i="2"/>
  <c r="L1082" i="2"/>
  <c r="L1090" i="2"/>
  <c r="L1094" i="2"/>
  <c r="L504" i="2"/>
  <c r="L508" i="2"/>
  <c r="L548" i="2"/>
  <c r="L560" i="2"/>
  <c r="L1834" i="2"/>
  <c r="L840" i="2"/>
  <c r="L1020" i="2"/>
  <c r="L1024" i="2"/>
  <c r="L1332" i="2"/>
  <c r="L262" i="2"/>
  <c r="L278" i="2"/>
  <c r="L1376" i="2"/>
  <c r="L1380" i="2"/>
  <c r="L494" i="2"/>
  <c r="L526" i="2"/>
  <c r="L622" i="2"/>
  <c r="L1041" i="2"/>
  <c r="L1161" i="2"/>
  <c r="L1469" i="2"/>
  <c r="L1477" i="2"/>
  <c r="L1481" i="2"/>
  <c r="L1485" i="2"/>
  <c r="L1497" i="2"/>
  <c r="L1517" i="2"/>
  <c r="L1533" i="2"/>
  <c r="L1625" i="2"/>
  <c r="L1637" i="2"/>
  <c r="L423" i="2"/>
  <c r="L623" i="2"/>
  <c r="L666" i="2"/>
  <c r="L802" i="2"/>
  <c r="L1146" i="2"/>
  <c r="L1154" i="2"/>
  <c r="L1314" i="2"/>
  <c r="L1322" i="2"/>
  <c r="L1566" i="2"/>
  <c r="L1618" i="2"/>
  <c r="L1665" i="2"/>
  <c r="L1729" i="2"/>
  <c r="L1749" i="2"/>
  <c r="L1761" i="2"/>
  <c r="L1781" i="2"/>
  <c r="L1797" i="2"/>
  <c r="L1893" i="2"/>
  <c r="L147" i="2"/>
  <c r="L187" i="2"/>
  <c r="L219" i="2"/>
  <c r="L620" i="2"/>
  <c r="L664" i="2"/>
  <c r="L688" i="2"/>
  <c r="L692" i="2"/>
  <c r="L700" i="2"/>
  <c r="L744" i="2"/>
  <c r="L764" i="2"/>
  <c r="L808" i="2"/>
  <c r="L1015" i="2"/>
  <c r="L1245" i="2"/>
  <c r="L1253" i="2"/>
  <c r="L1261" i="2"/>
  <c r="L1281" i="2"/>
  <c r="L1647" i="2"/>
  <c r="L1655" i="2"/>
  <c r="L1847" i="2"/>
  <c r="L1879" i="2"/>
  <c r="L1887" i="2"/>
  <c r="L1895" i="2"/>
  <c r="L1970" i="2"/>
  <c r="L2002" i="2"/>
  <c r="L343" i="2"/>
  <c r="L605" i="2"/>
  <c r="L661" i="2"/>
  <c r="L665" i="2"/>
  <c r="L705" i="2"/>
  <c r="L753" i="2"/>
  <c r="L761" i="2"/>
  <c r="L892" i="2"/>
  <c r="L896" i="2"/>
  <c r="L900" i="2"/>
  <c r="L932" i="2"/>
  <c r="L1202" i="2"/>
  <c r="L1234" i="2"/>
  <c r="L1301" i="2"/>
  <c r="L1313" i="2"/>
  <c r="L1397" i="2"/>
  <c r="L1488" i="2"/>
  <c r="L1552" i="2"/>
  <c r="L1840" i="2"/>
  <c r="L1880" i="2"/>
  <c r="L1896" i="2"/>
  <c r="L395" i="2"/>
  <c r="L462" i="2"/>
  <c r="L534" i="2"/>
  <c r="L538" i="2"/>
  <c r="L714" i="2"/>
  <c r="L726" i="2"/>
  <c r="L814" i="2"/>
  <c r="L834" i="2"/>
  <c r="L905" i="2"/>
  <c r="L949" i="2"/>
  <c r="L957" i="2"/>
  <c r="L1112" i="2"/>
  <c r="L1219" i="2"/>
  <c r="L1235" i="2"/>
  <c r="L1271" i="2"/>
  <c r="L1275" i="2"/>
  <c r="L1283" i="2"/>
  <c r="L1398" i="2"/>
  <c r="L1426" i="2"/>
  <c r="L1461" i="2"/>
  <c r="L1557" i="2"/>
  <c r="L1565" i="2"/>
  <c r="L1597" i="2"/>
  <c r="L1709" i="2"/>
  <c r="L1725" i="2"/>
  <c r="L94" i="2"/>
  <c r="L110" i="2"/>
  <c r="L174" i="2"/>
  <c r="L190" i="2"/>
  <c r="L198" i="2"/>
  <c r="L301" i="2"/>
  <c r="L333" i="2"/>
  <c r="L365" i="2"/>
  <c r="L408" i="2"/>
  <c r="L440" i="2"/>
  <c r="L1038" i="2"/>
  <c r="L1148" i="2"/>
  <c r="L1152" i="2"/>
  <c r="L1156" i="2"/>
  <c r="L1172" i="2"/>
  <c r="L1196" i="2"/>
  <c r="L1391" i="2"/>
  <c r="L1395" i="2"/>
  <c r="L1782" i="2"/>
  <c r="L1806" i="2"/>
  <c r="L1874" i="2"/>
  <c r="L1878" i="2"/>
  <c r="L1890" i="2"/>
  <c r="L1894" i="2"/>
  <c r="L1902" i="2"/>
  <c r="L1961" i="2"/>
  <c r="L1965" i="2"/>
  <c r="L1969" i="2"/>
  <c r="L325" i="2"/>
  <c r="L415" i="2"/>
  <c r="L419" i="2"/>
  <c r="L435" i="2"/>
  <c r="L443" i="2"/>
  <c r="L447" i="2"/>
  <c r="L451" i="2"/>
  <c r="L455" i="2"/>
  <c r="L18" i="2"/>
  <c r="L38" i="2"/>
  <c r="L15" i="2"/>
  <c r="L23" i="2"/>
  <c r="L31" i="2"/>
  <c r="L39" i="2"/>
  <c r="L240" i="2"/>
  <c r="L263" i="2"/>
  <c r="L142" i="2"/>
  <c r="L150" i="2"/>
  <c r="L154" i="2"/>
  <c r="L166" i="2"/>
  <c r="L52" i="2"/>
  <c r="L191" i="2"/>
  <c r="L339" i="2"/>
  <c r="L351" i="2"/>
  <c r="L371" i="2"/>
  <c r="L379" i="2"/>
  <c r="L383" i="2"/>
  <c r="L387" i="2"/>
  <c r="L422" i="2"/>
  <c r="L430" i="2"/>
  <c r="L438" i="2"/>
  <c r="L446" i="2"/>
  <c r="L493" i="2"/>
  <c r="L572" i="2"/>
  <c r="L576" i="2"/>
  <c r="L592" i="2"/>
  <c r="L596" i="2"/>
  <c r="L17" i="2"/>
  <c r="L21" i="2"/>
  <c r="L29" i="2"/>
  <c r="L116" i="2"/>
  <c r="L120" i="2"/>
  <c r="L269" i="2"/>
  <c r="L328" i="2"/>
  <c r="L376" i="2"/>
  <c r="L380" i="2"/>
  <c r="L384" i="2"/>
  <c r="L388" i="2"/>
  <c r="L525" i="2"/>
  <c r="L545" i="2"/>
  <c r="L119" i="2"/>
  <c r="L155" i="2"/>
  <c r="L167" i="2"/>
  <c r="L214" i="2"/>
  <c r="L245" i="2"/>
  <c r="L264" i="2"/>
  <c r="L268" i="2"/>
  <c r="L358" i="2"/>
  <c r="L366" i="2"/>
  <c r="L374" i="2"/>
  <c r="L460" i="2"/>
  <c r="L463" i="2"/>
  <c r="L467" i="2"/>
  <c r="L479" i="2"/>
  <c r="L553" i="2"/>
  <c r="L557" i="2"/>
  <c r="L601" i="2"/>
  <c r="L671" i="2"/>
  <c r="L699" i="2"/>
  <c r="L812" i="2"/>
  <c r="L820" i="2"/>
  <c r="L824" i="2"/>
  <c r="L836" i="2"/>
  <c r="L907" i="2"/>
  <c r="L911" i="2"/>
  <c r="L946" i="2"/>
  <c r="L954" i="2"/>
  <c r="L958" i="2"/>
  <c r="L966" i="2"/>
  <c r="L1001" i="2"/>
  <c r="L1249" i="2"/>
  <c r="L1296" i="2"/>
  <c r="L1312" i="2"/>
  <c r="L1473" i="2"/>
  <c r="L1505" i="2"/>
  <c r="L1549" i="2"/>
  <c r="L1577" i="2"/>
  <c r="L1581" i="2"/>
  <c r="L1593" i="2"/>
  <c r="L1604" i="2"/>
  <c r="L1758" i="2"/>
  <c r="L284" i="2"/>
  <c r="L429" i="2"/>
  <c r="L472" i="2"/>
  <c r="L476" i="2"/>
  <c r="L519" i="2"/>
  <c r="L550" i="2"/>
  <c r="L558" i="2"/>
  <c r="L797" i="2"/>
  <c r="L801" i="2"/>
  <c r="L844" i="2"/>
  <c r="L852" i="2"/>
  <c r="L856" i="2"/>
  <c r="L860" i="2"/>
  <c r="L868" i="2"/>
  <c r="L872" i="2"/>
  <c r="L998" i="2"/>
  <c r="L1124" i="2"/>
  <c r="L1328" i="2"/>
  <c r="L1348" i="2"/>
  <c r="L1474" i="2"/>
  <c r="L1490" i="2"/>
  <c r="L1616" i="2"/>
  <c r="L1628" i="2"/>
  <c r="L1632" i="2"/>
  <c r="L1668" i="2"/>
  <c r="L1775" i="2"/>
  <c r="L1807" i="2"/>
  <c r="L1811" i="2"/>
  <c r="L1866" i="2"/>
  <c r="L1898" i="2"/>
  <c r="L1949" i="2"/>
  <c r="L1960" i="2"/>
  <c r="L1996" i="2"/>
  <c r="L2003" i="2"/>
  <c r="L2007" i="2"/>
  <c r="L524" i="2"/>
  <c r="L527" i="2"/>
  <c r="L559" i="2"/>
  <c r="L602" i="2"/>
  <c r="L656" i="2"/>
  <c r="L676" i="2"/>
  <c r="L845" i="2"/>
  <c r="L861" i="2"/>
  <c r="L865" i="2"/>
  <c r="L877" i="2"/>
  <c r="L881" i="2"/>
  <c r="L889" i="2"/>
  <c r="L897" i="2"/>
  <c r="L901" i="2"/>
  <c r="L916" i="2"/>
  <c r="L924" i="2"/>
  <c r="L1046" i="2"/>
  <c r="L1325" i="2"/>
  <c r="L1337" i="2"/>
  <c r="L1404" i="2"/>
  <c r="L1491" i="2"/>
  <c r="L1523" i="2"/>
  <c r="L1601" i="2"/>
  <c r="L1633" i="2"/>
  <c r="L1661" i="2"/>
  <c r="L1680" i="2"/>
  <c r="L1692" i="2"/>
  <c r="L1696" i="2"/>
  <c r="L1700" i="2"/>
  <c r="L1993" i="2"/>
  <c r="L681" i="2"/>
  <c r="L689" i="2"/>
  <c r="L721" i="2"/>
  <c r="L725" i="2"/>
  <c r="L729" i="2"/>
  <c r="L756" i="2"/>
  <c r="L795" i="2"/>
  <c r="L866" i="2"/>
  <c r="L956" i="2"/>
  <c r="L960" i="2"/>
  <c r="L968" i="2"/>
  <c r="L1145" i="2"/>
  <c r="L1153" i="2"/>
  <c r="L1168" i="2"/>
  <c r="L1188" i="2"/>
  <c r="L1240" i="2"/>
  <c r="L1440" i="2"/>
  <c r="L1456" i="2"/>
  <c r="L1468" i="2"/>
  <c r="L1508" i="2"/>
  <c r="L1532" i="2"/>
  <c r="L1670" i="2"/>
  <c r="L1685" i="2"/>
  <c r="L1705" i="2"/>
  <c r="L1733" i="2"/>
  <c r="L1741" i="2"/>
  <c r="L1745" i="2"/>
  <c r="L1805" i="2"/>
  <c r="L1813" i="2"/>
  <c r="L1856" i="2"/>
  <c r="L1864" i="2"/>
  <c r="L1990" i="2"/>
  <c r="G2013" i="2"/>
  <c r="E8" i="10" s="1"/>
  <c r="L977" i="2"/>
  <c r="L981" i="2"/>
  <c r="L985" i="2"/>
  <c r="L989" i="2"/>
  <c r="L1079" i="2"/>
  <c r="L1091" i="2"/>
  <c r="L1107" i="2"/>
  <c r="L1173" i="2"/>
  <c r="L1177" i="2"/>
  <c r="L1209" i="2"/>
  <c r="L1221" i="2"/>
  <c r="L1225" i="2"/>
  <c r="L1237" i="2"/>
  <c r="L1241" i="2"/>
  <c r="L1268" i="2"/>
  <c r="L1315" i="2"/>
  <c r="L1323" i="2"/>
  <c r="L1445" i="2"/>
  <c r="L1453" i="2"/>
  <c r="L1572" i="2"/>
  <c r="L1603" i="2"/>
  <c r="L1619" i="2"/>
  <c r="L1714" i="2"/>
  <c r="L1718" i="2"/>
  <c r="L1901" i="2"/>
  <c r="L41" i="2"/>
  <c r="L60" i="2"/>
  <c r="L64" i="2"/>
  <c r="L80" i="2"/>
  <c r="L111" i="2"/>
  <c r="L118" i="2"/>
  <c r="L184" i="2"/>
  <c r="L267" i="2"/>
  <c r="L309" i="2"/>
  <c r="L336" i="2"/>
  <c r="L53" i="2"/>
  <c r="L84" i="2"/>
  <c r="L88" i="2"/>
  <c r="L123" i="2"/>
  <c r="L173" i="2"/>
  <c r="L207" i="2"/>
  <c r="L81" i="2"/>
  <c r="L104" i="2"/>
  <c r="L112" i="2"/>
  <c r="L139" i="2"/>
  <c r="L189" i="2"/>
  <c r="L200" i="2"/>
  <c r="L261" i="2"/>
  <c r="L272" i="2"/>
  <c r="L276" i="2"/>
  <c r="L283" i="2"/>
  <c r="L306" i="2"/>
  <c r="L310" i="2"/>
  <c r="L54" i="2"/>
  <c r="L151" i="2"/>
  <c r="L170" i="2"/>
  <c r="L319" i="2"/>
  <c r="L338" i="2"/>
  <c r="L19" i="2"/>
  <c r="L16" i="2"/>
  <c r="L24" i="2"/>
  <c r="L62" i="2"/>
  <c r="L66" i="2"/>
  <c r="L78" i="2"/>
  <c r="L59" i="2"/>
  <c r="L63" i="2"/>
  <c r="L67" i="2"/>
  <c r="L75" i="2"/>
  <c r="L137" i="2"/>
  <c r="L141" i="2"/>
  <c r="L221" i="2"/>
  <c r="L236" i="2"/>
  <c r="L251" i="2"/>
  <c r="L293" i="2"/>
  <c r="L304" i="2"/>
  <c r="L320" i="2"/>
  <c r="L324" i="2"/>
  <c r="L335" i="2"/>
  <c r="L437" i="2"/>
  <c r="L448" i="2"/>
  <c r="L452" i="2"/>
  <c r="L516" i="2"/>
  <c r="L539" i="2"/>
  <c r="L543" i="2"/>
  <c r="L600" i="2"/>
  <c r="L679" i="2"/>
  <c r="L687" i="2"/>
  <c r="L706" i="2"/>
  <c r="L736" i="2"/>
  <c r="L780" i="2"/>
  <c r="L837" i="2"/>
  <c r="L899" i="2"/>
  <c r="L918" i="2"/>
  <c r="L929" i="2"/>
  <c r="L948" i="2"/>
  <c r="L1018" i="2"/>
  <c r="L1049" i="2"/>
  <c r="L1266" i="2"/>
  <c r="L1278" i="2"/>
  <c r="L1282" i="2"/>
  <c r="L1541" i="2"/>
  <c r="L1545" i="2"/>
  <c r="L1762" i="2"/>
  <c r="L1770" i="2"/>
  <c r="L1774" i="2"/>
  <c r="L400" i="2"/>
  <c r="L453" i="2"/>
  <c r="L464" i="2"/>
  <c r="L468" i="2"/>
  <c r="L517" i="2"/>
  <c r="L536" i="2"/>
  <c r="L597" i="2"/>
  <c r="L660" i="2"/>
  <c r="L672" i="2"/>
  <c r="L711" i="2"/>
  <c r="L737" i="2"/>
  <c r="L740" i="2"/>
  <c r="L876" i="2"/>
  <c r="L884" i="2"/>
  <c r="L937" i="2"/>
  <c r="L941" i="2"/>
  <c r="L945" i="2"/>
  <c r="L953" i="2"/>
  <c r="L961" i="2"/>
  <c r="L976" i="2"/>
  <c r="L984" i="2"/>
  <c r="L996" i="2"/>
  <c r="L1108" i="2"/>
  <c r="L1116" i="2"/>
  <c r="L1236" i="2"/>
  <c r="L1329" i="2"/>
  <c r="L1605" i="2"/>
  <c r="L1609" i="2"/>
  <c r="L1731" i="2"/>
  <c r="L1999" i="2"/>
  <c r="G2012" i="2"/>
  <c r="F29" i="13" s="1"/>
  <c r="H2012" i="2"/>
  <c r="F7" i="10" s="1"/>
  <c r="L171" i="2"/>
  <c r="L179" i="2"/>
  <c r="L186" i="2"/>
  <c r="L213" i="2"/>
  <c r="L277" i="2"/>
  <c r="L288" i="2"/>
  <c r="L292" i="2"/>
  <c r="L303" i="2"/>
  <c r="L322" i="2"/>
  <c r="L341" i="2"/>
  <c r="L352" i="2"/>
  <c r="L363" i="2"/>
  <c r="L405" i="2"/>
  <c r="L416" i="2"/>
  <c r="L420" i="2"/>
  <c r="L480" i="2"/>
  <c r="L491" i="2"/>
  <c r="L556" i="2"/>
  <c r="L586" i="2"/>
  <c r="L598" i="2"/>
  <c r="L608" i="2"/>
  <c r="L612" i="2"/>
  <c r="L639" i="2"/>
  <c r="L741" i="2"/>
  <c r="L745" i="2"/>
  <c r="L789" i="2"/>
  <c r="L805" i="2"/>
  <c r="L816" i="2"/>
  <c r="L869" i="2"/>
  <c r="L912" i="2"/>
  <c r="L1012" i="2"/>
  <c r="L1043" i="2"/>
  <c r="L1077" i="2"/>
  <c r="L1085" i="2"/>
  <c r="L1101" i="2"/>
  <c r="L1105" i="2"/>
  <c r="L1205" i="2"/>
  <c r="L1213" i="2"/>
  <c r="L1229" i="2"/>
  <c r="L1689" i="2"/>
  <c r="L1693" i="2"/>
  <c r="L1984" i="2"/>
  <c r="L311" i="2"/>
  <c r="L349" i="2"/>
  <c r="L375" i="2"/>
  <c r="L413" i="2"/>
  <c r="L428" i="2"/>
  <c r="L439" i="2"/>
  <c r="L477" i="2"/>
  <c r="L549" i="2"/>
  <c r="L587" i="2"/>
  <c r="L609" i="2"/>
  <c r="L693" i="2"/>
  <c r="L697" i="2"/>
  <c r="L701" i="2"/>
  <c r="L742" i="2"/>
  <c r="L757" i="2"/>
  <c r="L768" i="2"/>
  <c r="L794" i="2"/>
  <c r="L813" i="2"/>
  <c r="L982" i="2"/>
  <c r="L1036" i="2"/>
  <c r="L1059" i="2"/>
  <c r="L1066" i="2"/>
  <c r="L1171" i="2"/>
  <c r="L1190" i="2"/>
  <c r="L1194" i="2"/>
  <c r="L1820" i="2"/>
  <c r="L1828" i="2"/>
  <c r="L1836" i="2"/>
  <c r="L357" i="2"/>
  <c r="L372" i="2"/>
  <c r="L421" i="2"/>
  <c r="L432" i="2"/>
  <c r="L500" i="2"/>
  <c r="L561" i="2"/>
  <c r="L599" i="2"/>
  <c r="L636" i="2"/>
  <c r="L678" i="2"/>
  <c r="L682" i="2"/>
  <c r="L686" i="2"/>
  <c r="L709" i="2"/>
  <c r="L750" i="2"/>
  <c r="L772" i="2"/>
  <c r="L878" i="2"/>
  <c r="L882" i="2"/>
  <c r="L890" i="2"/>
  <c r="L902" i="2"/>
  <c r="L917" i="2"/>
  <c r="L921" i="2"/>
  <c r="L955" i="2"/>
  <c r="L1005" i="2"/>
  <c r="L1009" i="2"/>
  <c r="L1017" i="2"/>
  <c r="L1029" i="2"/>
  <c r="L1044" i="2"/>
  <c r="L1106" i="2"/>
  <c r="L1187" i="2"/>
  <c r="L1379" i="2"/>
  <c r="L1504" i="2"/>
  <c r="L832" i="2"/>
  <c r="L893" i="2"/>
  <c r="L974" i="2"/>
  <c r="L1088" i="2"/>
  <c r="L1092" i="2"/>
  <c r="L1123" i="2"/>
  <c r="L1126" i="2"/>
  <c r="L1130" i="2"/>
  <c r="L1141" i="2"/>
  <c r="L1176" i="2"/>
  <c r="L1230" i="2"/>
  <c r="L1299" i="2"/>
  <c r="L1307" i="2"/>
  <c r="L1326" i="2"/>
  <c r="L1414" i="2"/>
  <c r="L1455" i="2"/>
  <c r="L1459" i="2"/>
  <c r="L1478" i="2"/>
  <c r="L1568" i="2"/>
  <c r="L1606" i="2"/>
  <c r="L1652" i="2"/>
  <c r="L1724" i="2"/>
  <c r="L1755" i="2"/>
  <c r="L1759" i="2"/>
  <c r="L1767" i="2"/>
  <c r="L1794" i="2"/>
  <c r="L1798" i="2"/>
  <c r="L1829" i="2"/>
  <c r="L1833" i="2"/>
  <c r="L1852" i="2"/>
  <c r="L1860" i="2"/>
  <c r="L1909" i="2"/>
  <c r="L1227" i="2"/>
  <c r="L1276" i="2"/>
  <c r="L1280" i="2"/>
  <c r="L1284" i="2"/>
  <c r="L1292" i="2"/>
  <c r="L1327" i="2"/>
  <c r="L1331" i="2"/>
  <c r="L1361" i="2"/>
  <c r="L1369" i="2"/>
  <c r="L1377" i="2"/>
  <c r="L1539" i="2"/>
  <c r="L1558" i="2"/>
  <c r="L1569" i="2"/>
  <c r="L1573" i="2"/>
  <c r="L1634" i="2"/>
  <c r="L1649" i="2"/>
  <c r="L1660" i="2"/>
  <c r="L1691" i="2"/>
  <c r="L1702" i="2"/>
  <c r="L1752" i="2"/>
  <c r="L1822" i="2"/>
  <c r="L1826" i="2"/>
  <c r="L1853" i="2"/>
  <c r="L1857" i="2"/>
  <c r="L1872" i="2"/>
  <c r="L1910" i="2"/>
  <c r="L1914" i="2"/>
  <c r="L1922" i="2"/>
  <c r="L1959" i="2"/>
  <c r="L1963" i="2"/>
  <c r="L1974" i="2"/>
  <c r="L1978" i="2"/>
  <c r="L1212" i="2"/>
  <c r="L1216" i="2"/>
  <c r="L1220" i="2"/>
  <c r="L1251" i="2"/>
  <c r="L1254" i="2"/>
  <c r="L1258" i="2"/>
  <c r="L1269" i="2"/>
  <c r="L1293" i="2"/>
  <c r="L1350" i="2"/>
  <c r="L1354" i="2"/>
  <c r="L1370" i="2"/>
  <c r="L1393" i="2"/>
  <c r="L1412" i="2"/>
  <c r="L1438" i="2"/>
  <c r="L1465" i="2"/>
  <c r="L1472" i="2"/>
  <c r="L1510" i="2"/>
  <c r="L1529" i="2"/>
  <c r="L1555" i="2"/>
  <c r="L1676" i="2"/>
  <c r="L1684" i="2"/>
  <c r="L1703" i="2"/>
  <c r="L1730" i="2"/>
  <c r="L1757" i="2"/>
  <c r="L1765" i="2"/>
  <c r="L1788" i="2"/>
  <c r="L1796" i="2"/>
  <c r="L1800" i="2"/>
  <c r="L1819" i="2"/>
  <c r="L1835" i="2"/>
  <c r="L1846" i="2"/>
  <c r="L1850" i="2"/>
  <c r="L1858" i="2"/>
  <c r="L1862" i="2"/>
  <c r="L1900" i="2"/>
  <c r="L1919" i="2"/>
  <c r="L1930" i="2"/>
  <c r="L1994" i="2"/>
  <c r="L1317" i="2"/>
  <c r="L1321" i="2"/>
  <c r="L1435" i="2"/>
  <c r="L1446" i="2"/>
  <c r="L1522" i="2"/>
  <c r="L1571" i="2"/>
  <c r="L1612" i="2"/>
  <c r="L1639" i="2"/>
  <c r="L1669" i="2"/>
  <c r="L1711" i="2"/>
  <c r="L1715" i="2"/>
  <c r="L1719" i="2"/>
  <c r="L1734" i="2"/>
  <c r="L1738" i="2"/>
  <c r="L1777" i="2"/>
  <c r="L1816" i="2"/>
  <c r="L1877" i="2"/>
  <c r="L1991" i="2"/>
  <c r="L1995" i="2"/>
  <c r="L33" i="2"/>
  <c r="L40" i="2"/>
  <c r="L37" i="2"/>
  <c r="I2018" i="2" s="1"/>
  <c r="L77" i="2"/>
  <c r="L195" i="2"/>
  <c r="L259" i="2"/>
  <c r="L11" i="2"/>
  <c r="L20" i="2"/>
  <c r="L34" i="2"/>
  <c r="L45" i="2"/>
  <c r="L49" i="2"/>
  <c r="L70" i="2"/>
  <c r="L74" i="2"/>
  <c r="L275" i="2"/>
  <c r="L291" i="2"/>
  <c r="L32" i="2"/>
  <c r="L50" i="2"/>
  <c r="L68" i="2"/>
  <c r="L125" i="2"/>
  <c r="L132" i="2"/>
  <c r="L153" i="2"/>
  <c r="L234" i="2"/>
  <c r="L282" i="2"/>
  <c r="L298" i="2"/>
  <c r="L314" i="2"/>
  <c r="L330" i="2"/>
  <c r="L378" i="2"/>
  <c r="L410" i="2"/>
  <c r="L426" i="2"/>
  <c r="L490" i="2"/>
  <c r="L506" i="2"/>
  <c r="L571" i="2"/>
  <c r="L574" i="2"/>
  <c r="L590" i="2"/>
  <c r="L718" i="2"/>
  <c r="L732" i="2"/>
  <c r="L44" i="2"/>
  <c r="L58" i="2"/>
  <c r="L76" i="2"/>
  <c r="L90" i="2"/>
  <c r="L108" i="2"/>
  <c r="L133" i="2"/>
  <c r="L140" i="2"/>
  <c r="L177" i="2"/>
  <c r="L209" i="2"/>
  <c r="L241" i="2"/>
  <c r="L273" i="2"/>
  <c r="L321" i="2"/>
  <c r="L353" i="2"/>
  <c r="L385" i="2"/>
  <c r="L401" i="2"/>
  <c r="L417" i="2"/>
  <c r="L465" i="2"/>
  <c r="L481" i="2"/>
  <c r="L497" i="2"/>
  <c r="L513" i="2"/>
  <c r="L533" i="2"/>
  <c r="L565" i="2"/>
  <c r="L591" i="2"/>
  <c r="L610" i="2"/>
  <c r="L646" i="2"/>
  <c r="L652" i="2"/>
  <c r="L715" i="2"/>
  <c r="L158" i="2"/>
  <c r="L354" i="2"/>
  <c r="L418" i="2"/>
  <c r="L434" i="2"/>
  <c r="L450" i="2"/>
  <c r="L482" i="2"/>
  <c r="L498" i="2"/>
  <c r="L514" i="2"/>
  <c r="L530" i="2"/>
  <c r="L546" i="2"/>
  <c r="L566" i="2"/>
  <c r="L582" i="2"/>
  <c r="L588" i="2"/>
  <c r="L631" i="2"/>
  <c r="L788" i="2"/>
  <c r="L102" i="2"/>
  <c r="L178" i="2"/>
  <c r="L274" i="2"/>
  <c r="L348" i="2"/>
  <c r="L364" i="2"/>
  <c r="L85" i="2"/>
  <c r="L92" i="2"/>
  <c r="L106" i="2"/>
  <c r="L124" i="2"/>
  <c r="L169" i="2"/>
  <c r="L201" i="2"/>
  <c r="L217" i="2"/>
  <c r="L233" i="2"/>
  <c r="L249" i="2"/>
  <c r="L265" i="2"/>
  <c r="L281" i="2"/>
  <c r="L329" i="2"/>
  <c r="L377" i="2"/>
  <c r="L393" i="2"/>
  <c r="L409" i="2"/>
  <c r="L441" i="2"/>
  <c r="L457" i="2"/>
  <c r="L489" i="2"/>
  <c r="L521" i="2"/>
  <c r="L567" i="2"/>
  <c r="L632" i="2"/>
  <c r="L635" i="2"/>
  <c r="L654" i="2"/>
  <c r="L683" i="2"/>
  <c r="L785" i="2"/>
  <c r="L1002" i="2"/>
  <c r="L1083" i="2"/>
  <c r="L1086" i="2"/>
  <c r="L1096" i="2"/>
  <c r="L1224" i="2"/>
  <c r="L1288" i="2"/>
  <c r="L1360" i="2"/>
  <c r="L928" i="2"/>
  <c r="L992" i="2"/>
  <c r="L1056" i="2"/>
  <c r="L1248" i="2"/>
  <c r="L1640" i="2"/>
  <c r="L674" i="2"/>
  <c r="L694" i="2"/>
  <c r="L710" i="2"/>
  <c r="L716" i="2"/>
  <c r="L746" i="2"/>
  <c r="L783" i="2"/>
  <c r="L888" i="2"/>
  <c r="L922" i="2"/>
  <c r="L939" i="2"/>
  <c r="L942" i="2"/>
  <c r="L952" i="2"/>
  <c r="L986" i="2"/>
  <c r="L1006" i="2"/>
  <c r="L1067" i="2"/>
  <c r="L1070" i="2"/>
  <c r="L1080" i="2"/>
  <c r="L1114" i="2"/>
  <c r="L1134" i="2"/>
  <c r="L1195" i="2"/>
  <c r="L1198" i="2"/>
  <c r="L1208" i="2"/>
  <c r="L1324" i="2"/>
  <c r="L1344" i="2"/>
  <c r="L1382" i="2"/>
  <c r="L1475" i="2"/>
  <c r="L1482" i="2"/>
  <c r="L1519" i="2"/>
  <c r="L1667" i="2"/>
  <c r="I2013" i="2"/>
  <c r="G8" i="15" s="1"/>
  <c r="L773" i="2"/>
  <c r="L906" i="2"/>
  <c r="L926" i="2"/>
  <c r="L936" i="2"/>
  <c r="L943" i="2"/>
  <c r="L970" i="2"/>
  <c r="L1054" i="2"/>
  <c r="L1064" i="2"/>
  <c r="L1071" i="2"/>
  <c r="L1098" i="2"/>
  <c r="L1115" i="2"/>
  <c r="L1118" i="2"/>
  <c r="L1135" i="2"/>
  <c r="L1179" i="2"/>
  <c r="L1182" i="2"/>
  <c r="L1192" i="2"/>
  <c r="L1226" i="2"/>
  <c r="L1297" i="2"/>
  <c r="L1335" i="2"/>
  <c r="L1400" i="2"/>
  <c r="L1411" i="2"/>
  <c r="L1418" i="2"/>
  <c r="L1512" i="2"/>
  <c r="L1516" i="2"/>
  <c r="L1586" i="2"/>
  <c r="L1657" i="2"/>
  <c r="I2014" i="2"/>
  <c r="G9" i="15" s="1"/>
  <c r="G2014" i="2"/>
  <c r="F39" i="13" s="1"/>
  <c r="L731" i="2"/>
  <c r="L774" i="2"/>
  <c r="L854" i="2"/>
  <c r="L870" i="2"/>
  <c r="L886" i="2"/>
  <c r="L930" i="2"/>
  <c r="L947" i="2"/>
  <c r="L950" i="2"/>
  <c r="L994" i="2"/>
  <c r="L1011" i="2"/>
  <c r="L1014" i="2"/>
  <c r="L1075" i="2"/>
  <c r="L1122" i="2"/>
  <c r="L1139" i="2"/>
  <c r="L1186" i="2"/>
  <c r="L1206" i="2"/>
  <c r="L1250" i="2"/>
  <c r="L1270" i="2"/>
  <c r="L1318" i="2"/>
  <c r="L1339" i="2"/>
  <c r="L1342" i="2"/>
  <c r="L1366" i="2"/>
  <c r="L1387" i="2"/>
  <c r="L1502" i="2"/>
  <c r="L1509" i="2"/>
  <c r="L1620" i="2"/>
  <c r="L778" i="2"/>
  <c r="L807" i="2"/>
  <c r="L810" i="2"/>
  <c r="L826" i="2"/>
  <c r="L839" i="2"/>
  <c r="L855" i="2"/>
  <c r="L874" i="2"/>
  <c r="L914" i="2"/>
  <c r="L931" i="2"/>
  <c r="L944" i="2"/>
  <c r="L1008" i="2"/>
  <c r="L1264" i="2"/>
  <c r="L1336" i="2"/>
  <c r="L1384" i="2"/>
  <c r="L1448" i="2"/>
  <c r="L1613" i="2"/>
  <c r="L1294" i="2"/>
  <c r="L1338" i="2"/>
  <c r="L1402" i="2"/>
  <c r="L1466" i="2"/>
  <c r="L1483" i="2"/>
  <c r="L1486" i="2"/>
  <c r="L1496" i="2"/>
  <c r="L1530" i="2"/>
  <c r="L1547" i="2"/>
  <c r="L1550" i="2"/>
  <c r="L1560" i="2"/>
  <c r="L1624" i="2"/>
  <c r="L1658" i="2"/>
  <c r="L1678" i="2"/>
  <c r="L1722" i="2"/>
  <c r="L1742" i="2"/>
  <c r="L1779" i="2"/>
  <c r="L1789" i="2"/>
  <c r="L1804" i="2"/>
  <c r="L1823" i="2"/>
  <c r="L1830" i="2"/>
  <c r="L1844" i="2"/>
  <c r="L1854" i="2"/>
  <c r="L1871" i="2"/>
  <c r="L1908" i="2"/>
  <c r="L1955" i="2"/>
  <c r="L1968" i="2"/>
  <c r="L1972" i="2"/>
  <c r="H2013" i="2"/>
  <c r="F8" i="15" s="1"/>
  <c r="L1416" i="2"/>
  <c r="L1480" i="2"/>
  <c r="L1534" i="2"/>
  <c r="L1544" i="2"/>
  <c r="L1578" i="2"/>
  <c r="L1608" i="2"/>
  <c r="L1659" i="2"/>
  <c r="L1662" i="2"/>
  <c r="L1672" i="2"/>
  <c r="L1706" i="2"/>
  <c r="L1790" i="2"/>
  <c r="L1838" i="2"/>
  <c r="L1855" i="2"/>
  <c r="L1952" i="2"/>
  <c r="L1750" i="2"/>
  <c r="G2011" i="2"/>
  <c r="F24" i="12" s="1"/>
  <c r="L1451" i="2"/>
  <c r="L1454" i="2"/>
  <c r="L1579" i="2"/>
  <c r="L1582" i="2"/>
  <c r="L1592" i="2"/>
  <c r="L1626" i="2"/>
  <c r="L1643" i="2"/>
  <c r="L1646" i="2"/>
  <c r="L1656" i="2"/>
  <c r="L1690" i="2"/>
  <c r="L1737" i="2"/>
  <c r="L1744" i="2"/>
  <c r="L1764" i="2"/>
  <c r="L1809" i="2"/>
  <c r="L1815" i="2"/>
  <c r="L1832" i="2"/>
  <c r="L1839" i="2"/>
  <c r="L1876" i="2"/>
  <c r="L1886" i="2"/>
  <c r="L1903" i="2"/>
  <c r="L1913" i="2"/>
  <c r="L1923" i="2"/>
  <c r="L1940" i="2"/>
  <c r="L1943" i="2"/>
  <c r="L2000" i="2"/>
  <c r="H2011" i="2"/>
  <c r="F6" i="10" s="1"/>
  <c r="L1863" i="2"/>
  <c r="L1873" i="2"/>
  <c r="L1947" i="2"/>
  <c r="L1964" i="2"/>
  <c r="L1704" i="2"/>
  <c r="L1600" i="2"/>
  <c r="L1664" i="2"/>
  <c r="L1728" i="2"/>
  <c r="L1944" i="2"/>
  <c r="H2021" i="2"/>
  <c r="L831" i="2"/>
  <c r="L847" i="2"/>
  <c r="L863" i="2"/>
  <c r="L919" i="2"/>
  <c r="L1175" i="2"/>
  <c r="L1303" i="2"/>
  <c r="L1431" i="2"/>
  <c r="L1495" i="2"/>
  <c r="L1792" i="2"/>
  <c r="L739" i="2"/>
  <c r="L791" i="2"/>
  <c r="L803" i="2"/>
  <c r="L819" i="2"/>
  <c r="L835" i="2"/>
  <c r="L903" i="2"/>
  <c r="L1031" i="2"/>
  <c r="L1095" i="2"/>
  <c r="L1223" i="2"/>
  <c r="L1287" i="2"/>
  <c r="L1351" i="2"/>
  <c r="L1543" i="2"/>
  <c r="L1607" i="2"/>
  <c r="L611" i="2"/>
  <c r="L707" i="2"/>
  <c r="L927" i="2"/>
  <c r="L1119" i="2"/>
  <c r="L1183" i="2"/>
  <c r="L1247" i="2"/>
  <c r="L1311" i="2"/>
  <c r="L1375" i="2"/>
  <c r="L1439" i="2"/>
  <c r="L1503" i="2"/>
  <c r="L1567" i="2"/>
  <c r="L1695" i="2"/>
  <c r="I2012" i="2"/>
  <c r="L1039" i="2"/>
  <c r="L1359" i="2"/>
  <c r="L1423" i="2"/>
  <c r="L1551" i="2"/>
  <c r="L1615" i="2"/>
  <c r="L1679" i="2"/>
  <c r="L531" i="2"/>
  <c r="L759" i="2"/>
  <c r="L771" i="2"/>
  <c r="L811" i="2"/>
  <c r="L859" i="2"/>
  <c r="L875" i="2"/>
  <c r="L935" i="2"/>
  <c r="L1127" i="2"/>
  <c r="L1191" i="2"/>
  <c r="L1447" i="2"/>
  <c r="L1511" i="2"/>
  <c r="L563" i="2"/>
  <c r="L595" i="2"/>
  <c r="L691" i="2"/>
  <c r="L723" i="2"/>
  <c r="L735" i="2"/>
  <c r="L747" i="2"/>
  <c r="L895" i="2"/>
  <c r="L1087" i="2"/>
  <c r="L1279" i="2"/>
  <c r="L1343" i="2"/>
  <c r="L1407" i="2"/>
  <c r="L1471" i="2"/>
  <c r="L1535" i="2"/>
  <c r="L1599" i="2"/>
  <c r="L1663" i="2"/>
  <c r="L1727" i="2"/>
  <c r="L1795" i="2"/>
  <c r="L1772" i="2"/>
  <c r="L1817" i="2"/>
  <c r="L1867" i="2"/>
  <c r="L1899" i="2"/>
  <c r="L1915" i="2"/>
  <c r="L1931" i="2"/>
  <c r="L1843" i="2"/>
  <c r="L1859" i="2"/>
  <c r="L1875" i="2"/>
  <c r="L1907" i="2"/>
  <c r="L1743" i="2"/>
  <c r="L1825" i="2"/>
  <c r="L1977" i="2"/>
  <c r="L1735" i="2"/>
  <c r="I2021" i="2"/>
  <c r="I2011" i="2"/>
  <c r="L494" i="3"/>
  <c r="H2014" i="2"/>
  <c r="F2021" i="2"/>
  <c r="L478" i="3"/>
  <c r="L1000" i="3"/>
  <c r="L1040" i="3"/>
  <c r="L1073" i="3"/>
  <c r="L1176" i="3"/>
  <c r="L984" i="3"/>
  <c r="L1032" i="3"/>
  <c r="L1041" i="3"/>
  <c r="L1089" i="3"/>
  <c r="L976" i="3"/>
  <c r="L1074" i="3"/>
  <c r="L1160" i="3"/>
  <c r="L1024" i="3"/>
  <c r="L1033" i="3"/>
  <c r="L1056" i="3"/>
  <c r="L1065" i="3"/>
  <c r="L1080" i="3"/>
  <c r="L1096" i="3"/>
  <c r="L1112" i="3"/>
  <c r="L1128" i="3"/>
  <c r="L1144" i="3"/>
  <c r="L1564" i="3"/>
  <c r="L1580" i="3"/>
  <c r="L1644" i="3"/>
  <c r="L1708" i="3"/>
  <c r="L1761" i="3"/>
  <c r="L1793" i="3"/>
  <c r="L1551" i="3"/>
  <c r="L1588" i="3"/>
  <c r="L1652" i="3"/>
  <c r="L1901" i="3"/>
  <c r="L1933" i="3"/>
  <c r="L1965" i="3"/>
  <c r="L1997" i="3"/>
  <c r="L1596" i="3"/>
  <c r="L1660" i="3"/>
  <c r="L1753" i="3"/>
  <c r="L1785" i="3"/>
  <c r="E9" i="12"/>
  <c r="D30" i="7"/>
  <c r="D4" i="12" s="1"/>
  <c r="D9" i="12" s="1"/>
  <c r="K39" i="7"/>
  <c r="K5" i="12" s="1"/>
  <c r="J48" i="7"/>
  <c r="J6" i="12" s="1"/>
  <c r="I34" i="8"/>
  <c r="H34" i="8"/>
  <c r="H20" i="8"/>
  <c r="F34" i="8"/>
  <c r="F20" i="8"/>
  <c r="E34" i="8"/>
  <c r="J34" i="8"/>
  <c r="H14" i="8"/>
  <c r="H15" i="8"/>
  <c r="H16" i="8"/>
  <c r="D20" i="8"/>
  <c r="D23" i="8"/>
  <c r="G28" i="8"/>
  <c r="K33" i="8"/>
  <c r="G36" i="8"/>
  <c r="I2018" i="3"/>
  <c r="K48" i="7"/>
  <c r="K6" i="12" s="1"/>
  <c r="I35" i="8"/>
  <c r="H35" i="8"/>
  <c r="H21" i="8"/>
  <c r="F35" i="8"/>
  <c r="F21" i="8"/>
  <c r="E35" i="8"/>
  <c r="J35" i="8"/>
  <c r="I14" i="8"/>
  <c r="I15" i="8"/>
  <c r="I21" i="8"/>
  <c r="G23" i="8"/>
  <c r="D34" i="8"/>
  <c r="I28" i="8"/>
  <c r="H28" i="8"/>
  <c r="F28" i="8"/>
  <c r="E28" i="8"/>
  <c r="J28" i="8"/>
  <c r="I36" i="8"/>
  <c r="H36" i="8"/>
  <c r="H22" i="8"/>
  <c r="F36" i="8"/>
  <c r="F22" i="8"/>
  <c r="E36" i="8"/>
  <c r="E22" i="8"/>
  <c r="J36" i="8"/>
  <c r="J22" i="8"/>
  <c r="J14" i="8"/>
  <c r="D19" i="8"/>
  <c r="I23" i="8"/>
  <c r="G2013" i="3"/>
  <c r="O20" i="15"/>
  <c r="O20" i="10"/>
  <c r="I29" i="8"/>
  <c r="H29" i="8"/>
  <c r="F29" i="8"/>
  <c r="E29" i="8"/>
  <c r="J29" i="8"/>
  <c r="I37" i="8"/>
  <c r="H37" i="8"/>
  <c r="H23" i="8"/>
  <c r="G37" i="8"/>
  <c r="F37" i="8"/>
  <c r="F23" i="8"/>
  <c r="E37" i="8"/>
  <c r="E23" i="8"/>
  <c r="J37" i="8"/>
  <c r="J23" i="8"/>
  <c r="K14" i="8"/>
  <c r="K15" i="8"/>
  <c r="E19" i="8"/>
  <c r="K23" i="8"/>
  <c r="G29" i="8"/>
  <c r="K37" i="8"/>
  <c r="H2013" i="3"/>
  <c r="H30" i="7"/>
  <c r="H4" i="12" s="1"/>
  <c r="H9" i="12" s="1"/>
  <c r="F48" i="7"/>
  <c r="F6" i="12" s="1"/>
  <c r="I30" i="8"/>
  <c r="H30" i="8"/>
  <c r="F30" i="8"/>
  <c r="E30" i="8"/>
  <c r="J30" i="8"/>
  <c r="D14" i="8"/>
  <c r="D15" i="8"/>
  <c r="D16" i="8"/>
  <c r="G19" i="8"/>
  <c r="J20" i="8"/>
  <c r="D22" i="8"/>
  <c r="K29" i="8"/>
  <c r="D35" i="8"/>
  <c r="G2011" i="3"/>
  <c r="H2012" i="3"/>
  <c r="E2018" i="3"/>
  <c r="G2020" i="3"/>
  <c r="I30" i="7"/>
  <c r="I4" i="12" s="1"/>
  <c r="I9" i="12" s="1"/>
  <c r="H39" i="7"/>
  <c r="H5" i="12" s="1"/>
  <c r="G48" i="7"/>
  <c r="G6" i="12" s="1"/>
  <c r="I31" i="8"/>
  <c r="H31" i="8"/>
  <c r="F31" i="8"/>
  <c r="E31" i="8"/>
  <c r="J31" i="8"/>
  <c r="E14" i="8"/>
  <c r="E24" i="8" s="1"/>
  <c r="E15" i="8"/>
  <c r="E16" i="8"/>
  <c r="E17" i="8"/>
  <c r="E18" i="8"/>
  <c r="I19" i="8"/>
  <c r="K20" i="8"/>
  <c r="G22" i="8"/>
  <c r="D30" i="8"/>
  <c r="D38" i="8" s="1"/>
  <c r="D7" i="12" s="1"/>
  <c r="G35" i="8"/>
  <c r="G2010" i="3"/>
  <c r="H2011" i="3"/>
  <c r="G2019" i="3"/>
  <c r="H2020" i="3"/>
  <c r="K18" i="7"/>
  <c r="K3" i="12" s="1"/>
  <c r="J30" i="7"/>
  <c r="J4" i="12" s="1"/>
  <c r="J9" i="12" s="1"/>
  <c r="I39" i="7"/>
  <c r="I5" i="12" s="1"/>
  <c r="H48" i="7"/>
  <c r="H6" i="12" s="1"/>
  <c r="I32" i="8"/>
  <c r="H32" i="8"/>
  <c r="H18" i="8"/>
  <c r="F32" i="8"/>
  <c r="F18" i="8"/>
  <c r="E32" i="8"/>
  <c r="J32" i="8"/>
  <c r="F14" i="8"/>
  <c r="F15" i="8"/>
  <c r="F16" i="8"/>
  <c r="F17" i="8"/>
  <c r="G18" i="8"/>
  <c r="J19" i="8"/>
  <c r="D21" i="8"/>
  <c r="I22" i="8"/>
  <c r="G30" i="8"/>
  <c r="K35" i="8"/>
  <c r="K30" i="7"/>
  <c r="K4" i="12" s="1"/>
  <c r="I33" i="8"/>
  <c r="H33" i="8"/>
  <c r="H19" i="8"/>
  <c r="F33" i="8"/>
  <c r="F19" i="8"/>
  <c r="E33" i="8"/>
  <c r="J33" i="8"/>
  <c r="K19" i="8"/>
  <c r="G33" i="8"/>
  <c r="L9" i="13"/>
  <c r="D10" i="13" s="1"/>
  <c r="E10" i="13"/>
  <c r="E12" i="13" s="1"/>
  <c r="F10" i="13"/>
  <c r="F12" i="13" s="1"/>
  <c r="H10" i="13"/>
  <c r="H12" i="13" s="1"/>
  <c r="J10" i="13"/>
  <c r="J12" i="13" s="1"/>
  <c r="I36" i="14"/>
  <c r="F36" i="14"/>
  <c r="I23" i="4" s="1"/>
  <c r="G36" i="14"/>
  <c r="I24" i="4" s="1"/>
  <c r="F2011" i="3" l="1"/>
  <c r="F2010" i="3"/>
  <c r="L2010" i="3" s="1"/>
  <c r="F2012" i="3"/>
  <c r="F2013" i="3"/>
  <c r="L2017" i="3"/>
  <c r="F2020" i="3"/>
  <c r="F4" i="3"/>
  <c r="Q11" i="4" s="1"/>
  <c r="Q14" i="4" s="1"/>
  <c r="F2018" i="3"/>
  <c r="G24" i="8"/>
  <c r="F2019" i="3"/>
  <c r="L2019" i="3" s="1"/>
  <c r="E2014" i="2"/>
  <c r="L2014" i="2" s="1"/>
  <c r="E2012" i="2"/>
  <c r="C7" i="15" s="1"/>
  <c r="E2013" i="2"/>
  <c r="C8" i="15" s="1"/>
  <c r="E2011" i="2"/>
  <c r="F22" i="13" s="1"/>
  <c r="F2014" i="2"/>
  <c r="D9" i="15" s="1"/>
  <c r="F2013" i="2"/>
  <c r="D8" i="15" s="1"/>
  <c r="F2012" i="2"/>
  <c r="F28" i="13" s="1"/>
  <c r="E2021" i="2"/>
  <c r="E2019" i="2"/>
  <c r="E2018" i="2"/>
  <c r="E2020" i="2"/>
  <c r="E2013" i="3"/>
  <c r="E2020" i="3"/>
  <c r="K38" i="8"/>
  <c r="K7" i="12" s="1"/>
  <c r="E2012" i="3"/>
  <c r="L2012" i="3" s="1"/>
  <c r="E2011" i="3"/>
  <c r="L2011" i="3" s="1"/>
  <c r="G2008" i="3" s="1"/>
  <c r="K9" i="12"/>
  <c r="I2019" i="2"/>
  <c r="H2019" i="2"/>
  <c r="H2018" i="2"/>
  <c r="G2021" i="2"/>
  <c r="G2018" i="2"/>
  <c r="H2020" i="2"/>
  <c r="F2018" i="2"/>
  <c r="G2020" i="2"/>
  <c r="I2020" i="2"/>
  <c r="F32" i="12"/>
  <c r="I32" i="12" s="1"/>
  <c r="C8" i="10"/>
  <c r="F32" i="13"/>
  <c r="G32" i="13" s="1"/>
  <c r="E7" i="15"/>
  <c r="E7" i="10"/>
  <c r="F30" i="13"/>
  <c r="I30" i="13" s="1"/>
  <c r="F36" i="12"/>
  <c r="I36" i="12" s="1"/>
  <c r="G8" i="10"/>
  <c r="F36" i="13"/>
  <c r="H36" i="13" s="1"/>
  <c r="E8" i="15"/>
  <c r="F34" i="13"/>
  <c r="H34" i="13" s="1"/>
  <c r="G9" i="10"/>
  <c r="F41" i="12"/>
  <c r="G41" i="12" s="1"/>
  <c r="F41" i="13"/>
  <c r="G41" i="13" s="1"/>
  <c r="E9" i="10"/>
  <c r="E9" i="15"/>
  <c r="F8" i="10"/>
  <c r="F39" i="12"/>
  <c r="H39" i="12" s="1"/>
  <c r="F34" i="12"/>
  <c r="H34" i="12" s="1"/>
  <c r="F29" i="12"/>
  <c r="H29" i="12" s="1"/>
  <c r="E6" i="15"/>
  <c r="F35" i="12"/>
  <c r="G35" i="12" s="1"/>
  <c r="D6" i="10"/>
  <c r="F35" i="13"/>
  <c r="I35" i="13" s="1"/>
  <c r="F24" i="13"/>
  <c r="G24" i="13" s="1"/>
  <c r="F30" i="12"/>
  <c r="H30" i="12" s="1"/>
  <c r="F6" i="15"/>
  <c r="F7" i="15"/>
  <c r="E6" i="10"/>
  <c r="F2020" i="2"/>
  <c r="F25" i="12"/>
  <c r="G25" i="12" s="1"/>
  <c r="F25" i="13"/>
  <c r="H25" i="13" s="1"/>
  <c r="D6" i="15"/>
  <c r="F23" i="12"/>
  <c r="I23" i="12" s="1"/>
  <c r="F4" i="2"/>
  <c r="P11" i="4" s="1"/>
  <c r="P14" i="4" s="1"/>
  <c r="G38" i="8"/>
  <c r="G7" i="12" s="1"/>
  <c r="O18" i="15"/>
  <c r="D61" i="13"/>
  <c r="O18" i="10"/>
  <c r="D61" i="12"/>
  <c r="F24" i="8"/>
  <c r="H38" i="8"/>
  <c r="H7" i="12" s="1"/>
  <c r="G6" i="15"/>
  <c r="F26" i="13"/>
  <c r="F26" i="12"/>
  <c r="G6" i="10"/>
  <c r="H23" i="13"/>
  <c r="G23" i="13"/>
  <c r="I23" i="13"/>
  <c r="O19" i="15"/>
  <c r="O19" i="10"/>
  <c r="L2018" i="3"/>
  <c r="F38" i="8"/>
  <c r="F7" i="12" s="1"/>
  <c r="K10" i="13"/>
  <c r="K12" i="13" s="1"/>
  <c r="I10" i="13"/>
  <c r="I12" i="13" s="1"/>
  <c r="G10" i="13"/>
  <c r="G12" i="13" s="1"/>
  <c r="K24" i="8"/>
  <c r="I38" i="8"/>
  <c r="I7" i="12" s="1"/>
  <c r="I39" i="13"/>
  <c r="G39" i="13"/>
  <c r="H39" i="13"/>
  <c r="D12" i="13"/>
  <c r="D24" i="8"/>
  <c r="I24" i="8"/>
  <c r="F9" i="15"/>
  <c r="F40" i="13"/>
  <c r="F9" i="10"/>
  <c r="F40" i="12"/>
  <c r="F27" i="12"/>
  <c r="C7" i="10"/>
  <c r="I29" i="13"/>
  <c r="H29" i="13"/>
  <c r="G29" i="13"/>
  <c r="F31" i="13"/>
  <c r="G7" i="15"/>
  <c r="G7" i="10"/>
  <c r="F31" i="12"/>
  <c r="J24" i="8"/>
  <c r="L2013" i="3"/>
  <c r="H24" i="8"/>
  <c r="H24" i="12"/>
  <c r="G24" i="12"/>
  <c r="I24" i="12"/>
  <c r="L9" i="12"/>
  <c r="J10" i="12" s="1"/>
  <c r="J12" i="12" s="1"/>
  <c r="L2020" i="3"/>
  <c r="J38" i="8"/>
  <c r="J7" i="12" s="1"/>
  <c r="C6" i="15"/>
  <c r="E38" i="8"/>
  <c r="E7" i="12" s="1"/>
  <c r="C9" i="15"/>
  <c r="F37" i="13"/>
  <c r="C9" i="10"/>
  <c r="F37" i="12"/>
  <c r="D9" i="10" l="1"/>
  <c r="F38" i="12"/>
  <c r="F38" i="13"/>
  <c r="G38" i="13" s="1"/>
  <c r="F27" i="13"/>
  <c r="F33" i="13"/>
  <c r="G33" i="13" s="1"/>
  <c r="L2021" i="2"/>
  <c r="G2015" i="3"/>
  <c r="F28" i="12"/>
  <c r="D7" i="15"/>
  <c r="C6" i="10"/>
  <c r="H6" i="10" s="1"/>
  <c r="D8" i="10"/>
  <c r="L2012" i="2"/>
  <c r="L2011" i="2"/>
  <c r="G2009" i="2" s="1"/>
  <c r="L2019" i="2"/>
  <c r="D7" i="10"/>
  <c r="F33" i="12"/>
  <c r="H33" i="12" s="1"/>
  <c r="H8" i="15"/>
  <c r="L2013" i="2"/>
  <c r="F22" i="12"/>
  <c r="I22" i="12" s="1"/>
  <c r="L2018" i="2"/>
  <c r="H32" i="12"/>
  <c r="G32" i="12"/>
  <c r="G30" i="13"/>
  <c r="I41" i="13"/>
  <c r="H41" i="13"/>
  <c r="H30" i="13"/>
  <c r="H36" i="12"/>
  <c r="L2020" i="2"/>
  <c r="H32" i="13"/>
  <c r="I32" i="13"/>
  <c r="G36" i="12"/>
  <c r="G34" i="13"/>
  <c r="I34" i="13"/>
  <c r="H41" i="12"/>
  <c r="G29" i="12"/>
  <c r="I29" i="12"/>
  <c r="I41" i="12"/>
  <c r="G25" i="13"/>
  <c r="H35" i="12"/>
  <c r="G36" i="13"/>
  <c r="I36" i="13"/>
  <c r="I35" i="12"/>
  <c r="G34" i="12"/>
  <c r="G35" i="13"/>
  <c r="H35" i="13"/>
  <c r="I39" i="12"/>
  <c r="I24" i="13"/>
  <c r="H24" i="13"/>
  <c r="I34" i="12"/>
  <c r="G39" i="12"/>
  <c r="H8" i="10"/>
  <c r="H25" i="12"/>
  <c r="G30" i="12"/>
  <c r="I25" i="12"/>
  <c r="I30" i="12"/>
  <c r="I25" i="13"/>
  <c r="H33" i="13"/>
  <c r="G33" i="12"/>
  <c r="I33" i="12"/>
  <c r="I33" i="13"/>
  <c r="H6" i="15"/>
  <c r="G23" i="12"/>
  <c r="H23" i="12"/>
  <c r="O11" i="4"/>
  <c r="R11" i="4" s="1"/>
  <c r="L11" i="4" s="1"/>
  <c r="H9" i="10"/>
  <c r="I26" i="13"/>
  <c r="H26" i="13"/>
  <c r="G26" i="13"/>
  <c r="I28" i="12"/>
  <c r="H28" i="12"/>
  <c r="G28" i="12"/>
  <c r="H7" i="10"/>
  <c r="H28" i="13"/>
  <c r="I28" i="13"/>
  <c r="G28" i="13"/>
  <c r="H27" i="12"/>
  <c r="G27" i="12"/>
  <c r="I27" i="12"/>
  <c r="L10" i="13"/>
  <c r="I10" i="12"/>
  <c r="I12" i="12" s="1"/>
  <c r="I37" i="12"/>
  <c r="H37" i="12"/>
  <c r="G37" i="12"/>
  <c r="D10" i="12"/>
  <c r="I31" i="12"/>
  <c r="H31" i="12"/>
  <c r="G31" i="12"/>
  <c r="I27" i="13"/>
  <c r="H27" i="13"/>
  <c r="G27" i="13"/>
  <c r="L12" i="13"/>
  <c r="D13" i="13" s="1"/>
  <c r="H40" i="13"/>
  <c r="G40" i="13"/>
  <c r="I40" i="13"/>
  <c r="F10" i="12"/>
  <c r="F12" i="12" s="1"/>
  <c r="G10" i="12"/>
  <c r="G12" i="12" s="1"/>
  <c r="H7" i="15"/>
  <c r="E10" i="12"/>
  <c r="E12" i="12" s="1"/>
  <c r="H10" i="12"/>
  <c r="H12" i="12" s="1"/>
  <c r="G37" i="13"/>
  <c r="I37" i="13"/>
  <c r="H37" i="13"/>
  <c r="G38" i="12"/>
  <c r="H38" i="12"/>
  <c r="I38" i="12"/>
  <c r="I40" i="12"/>
  <c r="H40" i="12"/>
  <c r="G40" i="12"/>
  <c r="I22" i="13"/>
  <c r="G22" i="13"/>
  <c r="H22" i="13"/>
  <c r="H9" i="15"/>
  <c r="K10" i="12"/>
  <c r="K12" i="12" s="1"/>
  <c r="I38" i="13"/>
  <c r="H38" i="13"/>
  <c r="G31" i="13"/>
  <c r="I31" i="13"/>
  <c r="H31" i="13"/>
  <c r="I26" i="12"/>
  <c r="G26" i="12"/>
  <c r="H26" i="12"/>
  <c r="G22" i="12" l="1"/>
  <c r="H22" i="12"/>
  <c r="G13" i="13"/>
  <c r="G15" i="13" s="1"/>
  <c r="G2016" i="2"/>
  <c r="H10" i="10"/>
  <c r="G42" i="12"/>
  <c r="G43" i="12" s="1"/>
  <c r="G48" i="12" s="1"/>
  <c r="H42" i="12"/>
  <c r="H43" i="12" s="1"/>
  <c r="H48" i="12" s="1"/>
  <c r="H10" i="15"/>
  <c r="D15" i="13"/>
  <c r="I42" i="12"/>
  <c r="I43" i="12" s="1"/>
  <c r="I48" i="12" s="1"/>
  <c r="F13" i="13"/>
  <c r="F15" i="13" s="1"/>
  <c r="J13" i="13"/>
  <c r="J15" i="13" s="1"/>
  <c r="H13" i="13"/>
  <c r="H15" i="13" s="1"/>
  <c r="E13" i="13"/>
  <c r="E15" i="13" s="1"/>
  <c r="L10" i="12"/>
  <c r="D12" i="12"/>
  <c r="H42" i="13"/>
  <c r="H43" i="13" s="1"/>
  <c r="H48" i="13" s="1"/>
  <c r="G42" i="13"/>
  <c r="G43" i="13" s="1"/>
  <c r="G48" i="13" s="1"/>
  <c r="I42" i="13"/>
  <c r="I43" i="13" s="1"/>
  <c r="I48" i="13" s="1"/>
  <c r="I13" i="13"/>
  <c r="I15" i="13" s="1"/>
  <c r="K13" i="13"/>
  <c r="K15" i="13" s="1"/>
  <c r="J48" i="12" l="1"/>
  <c r="D51" i="12" s="1"/>
  <c r="L12" i="12"/>
  <c r="J48" i="13"/>
  <c r="D51" i="13" s="1"/>
  <c r="L15" i="13"/>
  <c r="G16" i="13" s="1"/>
  <c r="G18" i="13" s="1"/>
  <c r="L13" i="13"/>
  <c r="I49" i="12" l="1"/>
  <c r="F8" i="11" s="1"/>
  <c r="K8" i="11" s="1"/>
  <c r="L8" i="11" s="1"/>
  <c r="H49" i="12"/>
  <c r="F7" i="11" s="1"/>
  <c r="K7" i="11" s="1"/>
  <c r="L7" i="11" s="1"/>
  <c r="G49" i="12"/>
  <c r="F6" i="11" s="1"/>
  <c r="K6" i="11" s="1"/>
  <c r="L6" i="11" s="1"/>
  <c r="I49" i="13"/>
  <c r="H49" i="13"/>
  <c r="G49" i="13"/>
  <c r="E16" i="13"/>
  <c r="E18" i="13" s="1"/>
  <c r="I16" i="13"/>
  <c r="I18" i="13" s="1"/>
  <c r="D16" i="13"/>
  <c r="K16" i="13"/>
  <c r="K18" i="13" s="1"/>
  <c r="H16" i="13"/>
  <c r="H18" i="13" s="1"/>
  <c r="I53" i="13"/>
  <c r="G53" i="13"/>
  <c r="E53" i="13"/>
  <c r="D53" i="13"/>
  <c r="J16" i="13"/>
  <c r="J18" i="13" s="1"/>
  <c r="F16" i="13"/>
  <c r="F18" i="13" s="1"/>
  <c r="J13" i="12"/>
  <c r="J15" i="12" s="1"/>
  <c r="I13" i="12"/>
  <c r="I15" i="12" s="1"/>
  <c r="H13" i="12"/>
  <c r="H15" i="12" s="1"/>
  <c r="K13" i="12"/>
  <c r="K15" i="12" s="1"/>
  <c r="E13" i="12"/>
  <c r="E15" i="12" s="1"/>
  <c r="G13" i="12"/>
  <c r="G15" i="12" s="1"/>
  <c r="F13" i="12"/>
  <c r="F15" i="12" s="1"/>
  <c r="D13" i="12"/>
  <c r="J53" i="13" l="1"/>
  <c r="F53" i="13"/>
  <c r="F98" i="13" s="1"/>
  <c r="L31" i="11"/>
  <c r="K31" i="11"/>
  <c r="F31" i="11"/>
  <c r="F92" i="13"/>
  <c r="F84" i="13"/>
  <c r="F91" i="13"/>
  <c r="F97" i="13"/>
  <c r="F89" i="13"/>
  <c r="F81" i="13"/>
  <c r="F96" i="13"/>
  <c r="F88" i="13"/>
  <c r="F80" i="13"/>
  <c r="F95" i="13"/>
  <c r="F85" i="13"/>
  <c r="F76" i="13"/>
  <c r="F77" i="13"/>
  <c r="F75" i="13"/>
  <c r="F74" i="13"/>
  <c r="F86" i="13"/>
  <c r="F78" i="13"/>
  <c r="F73" i="13"/>
  <c r="F57" i="13"/>
  <c r="F63" i="13" s="1"/>
  <c r="F83" i="13"/>
  <c r="F71" i="13"/>
  <c r="F94" i="13"/>
  <c r="F87" i="13"/>
  <c r="F90" i="13"/>
  <c r="F93" i="13"/>
  <c r="F79" i="13"/>
  <c r="F82" i="13"/>
  <c r="F72" i="13"/>
  <c r="E93" i="13"/>
  <c r="E85" i="13"/>
  <c r="E92" i="13"/>
  <c r="E98" i="13"/>
  <c r="E90" i="13"/>
  <c r="E82" i="13"/>
  <c r="E97" i="13"/>
  <c r="E89" i="13"/>
  <c r="E81" i="13"/>
  <c r="E94" i="13"/>
  <c r="E88" i="13"/>
  <c r="E84" i="13"/>
  <c r="E80" i="13"/>
  <c r="E95" i="13"/>
  <c r="E76" i="13"/>
  <c r="E77" i="13"/>
  <c r="E75" i="13"/>
  <c r="E74" i="13"/>
  <c r="E87" i="13"/>
  <c r="E79" i="13"/>
  <c r="E72" i="13"/>
  <c r="E91" i="13"/>
  <c r="E78" i="13"/>
  <c r="E57" i="13"/>
  <c r="E63" i="13" s="1"/>
  <c r="E71" i="13"/>
  <c r="E86" i="13"/>
  <c r="E83" i="13"/>
  <c r="E73" i="13"/>
  <c r="E96" i="13"/>
  <c r="G91" i="13"/>
  <c r="G83" i="13"/>
  <c r="G98" i="13"/>
  <c r="G96" i="13"/>
  <c r="G88" i="13"/>
  <c r="G80" i="13"/>
  <c r="G95" i="13"/>
  <c r="G87" i="13"/>
  <c r="G79" i="13"/>
  <c r="G97" i="13"/>
  <c r="G92" i="13"/>
  <c r="G85" i="13"/>
  <c r="G76" i="13"/>
  <c r="G89" i="13"/>
  <c r="G81" i="13"/>
  <c r="G77" i="13"/>
  <c r="G75" i="13"/>
  <c r="G74" i="13"/>
  <c r="G86" i="13"/>
  <c r="G78" i="13"/>
  <c r="G73" i="13"/>
  <c r="G57" i="13"/>
  <c r="G63" i="13" s="1"/>
  <c r="G93" i="13"/>
  <c r="G90" i="13"/>
  <c r="G82" i="13"/>
  <c r="G72" i="13"/>
  <c r="G94" i="13"/>
  <c r="G84" i="13"/>
  <c r="G71" i="13"/>
  <c r="H53" i="13"/>
  <c r="L16" i="13"/>
  <c r="D18" i="13"/>
  <c r="L18" i="13" s="1"/>
  <c r="D94" i="13"/>
  <c r="D86" i="13"/>
  <c r="D93" i="13"/>
  <c r="D91" i="13"/>
  <c r="D83" i="13"/>
  <c r="D75" i="13"/>
  <c r="D98" i="13"/>
  <c r="D90" i="13"/>
  <c r="D82" i="13"/>
  <c r="D71" i="13"/>
  <c r="D97" i="13"/>
  <c r="D88" i="13"/>
  <c r="D84" i="13"/>
  <c r="D80" i="13"/>
  <c r="D92" i="13"/>
  <c r="D95" i="13"/>
  <c r="D89" i="13"/>
  <c r="D85" i="13"/>
  <c r="D81" i="13"/>
  <c r="D76" i="13"/>
  <c r="D96" i="13"/>
  <c r="D78" i="13"/>
  <c r="D73" i="13"/>
  <c r="D57" i="13"/>
  <c r="D74" i="13"/>
  <c r="D87" i="13"/>
  <c r="D77" i="13"/>
  <c r="D79" i="13"/>
  <c r="D72" i="13"/>
  <c r="I97" i="13"/>
  <c r="I89" i="13"/>
  <c r="I81" i="13"/>
  <c r="I96" i="13"/>
  <c r="I94" i="13"/>
  <c r="I86" i="13"/>
  <c r="I78" i="13"/>
  <c r="I93" i="13"/>
  <c r="I85" i="13"/>
  <c r="I77" i="13"/>
  <c r="I95" i="13"/>
  <c r="I75" i="13"/>
  <c r="I74" i="13"/>
  <c r="I73" i="13"/>
  <c r="I57" i="13"/>
  <c r="I63" i="13" s="1"/>
  <c r="I72" i="13"/>
  <c r="I98" i="13"/>
  <c r="I90" i="13"/>
  <c r="I82" i="13"/>
  <c r="I71" i="13"/>
  <c r="I87" i="13"/>
  <c r="I83" i="13"/>
  <c r="I79" i="13"/>
  <c r="I88" i="13"/>
  <c r="I80" i="13"/>
  <c r="I84" i="13"/>
  <c r="I76" i="13"/>
  <c r="I92" i="13"/>
  <c r="I91" i="13"/>
  <c r="D15" i="12"/>
  <c r="L13" i="12"/>
  <c r="J96" i="13"/>
  <c r="J88" i="13"/>
  <c r="J80" i="13"/>
  <c r="J95" i="13"/>
  <c r="J93" i="13"/>
  <c r="J85" i="13"/>
  <c r="J77" i="13"/>
  <c r="J92" i="13"/>
  <c r="J84" i="13"/>
  <c r="J76" i="13"/>
  <c r="J89" i="13"/>
  <c r="J81" i="13"/>
  <c r="J73" i="13"/>
  <c r="J57" i="13"/>
  <c r="J63" i="13" s="1"/>
  <c r="J72" i="13"/>
  <c r="J98" i="13"/>
  <c r="J90" i="13"/>
  <c r="J86" i="13"/>
  <c r="J82" i="13"/>
  <c r="J78" i="13"/>
  <c r="J71" i="13"/>
  <c r="J87" i="13"/>
  <c r="J83" i="13"/>
  <c r="J79" i="13"/>
  <c r="J91" i="13"/>
  <c r="J94" i="13"/>
  <c r="J74" i="13"/>
  <c r="J97" i="13"/>
  <c r="J75" i="13"/>
  <c r="K53" i="13"/>
  <c r="D63" i="13" l="1"/>
  <c r="E99" i="13"/>
  <c r="E129" i="13"/>
  <c r="E121" i="13"/>
  <c r="E113" i="13"/>
  <c r="E105" i="13"/>
  <c r="E128" i="13"/>
  <c r="E120" i="13"/>
  <c r="E112" i="13"/>
  <c r="E104" i="13"/>
  <c r="E126" i="13"/>
  <c r="E118" i="13"/>
  <c r="E110" i="13"/>
  <c r="E125" i="13"/>
  <c r="E117" i="13"/>
  <c r="E109" i="13"/>
  <c r="E124" i="13"/>
  <c r="E116" i="13"/>
  <c r="E108" i="13"/>
  <c r="E127" i="13"/>
  <c r="E119" i="13"/>
  <c r="E111" i="13"/>
  <c r="E103" i="13"/>
  <c r="E130" i="13"/>
  <c r="E122" i="13"/>
  <c r="E114" i="13"/>
  <c r="E106" i="13"/>
  <c r="E123" i="13"/>
  <c r="E115" i="13"/>
  <c r="E107" i="13"/>
  <c r="F99" i="13"/>
  <c r="I125" i="13"/>
  <c r="I117" i="13"/>
  <c r="I109" i="13"/>
  <c r="I124" i="13"/>
  <c r="I116" i="13"/>
  <c r="I108" i="13"/>
  <c r="I130" i="13"/>
  <c r="I122" i="13"/>
  <c r="I114" i="13"/>
  <c r="I106" i="13"/>
  <c r="I129" i="13"/>
  <c r="I121" i="13"/>
  <c r="I113" i="13"/>
  <c r="I105" i="13"/>
  <c r="I127" i="13"/>
  <c r="I119" i="13"/>
  <c r="I111" i="13"/>
  <c r="I103" i="13"/>
  <c r="I128" i="13"/>
  <c r="I120" i="13"/>
  <c r="I112" i="13"/>
  <c r="I104" i="13"/>
  <c r="I123" i="13"/>
  <c r="I115" i="13"/>
  <c r="I107" i="13"/>
  <c r="I126" i="13"/>
  <c r="I118" i="13"/>
  <c r="I110" i="13"/>
  <c r="K95" i="13"/>
  <c r="K87" i="13"/>
  <c r="K79" i="13"/>
  <c r="K94" i="13"/>
  <c r="K92" i="13"/>
  <c r="K84" i="13"/>
  <c r="K76" i="13"/>
  <c r="K91" i="13"/>
  <c r="K83" i="13"/>
  <c r="K77" i="13"/>
  <c r="K72" i="13"/>
  <c r="K98" i="13"/>
  <c r="K90" i="13"/>
  <c r="K86" i="13"/>
  <c r="K82" i="13"/>
  <c r="K78" i="13"/>
  <c r="K71" i="13"/>
  <c r="K93" i="13"/>
  <c r="K96" i="13"/>
  <c r="K97" i="13"/>
  <c r="K75" i="13"/>
  <c r="K74" i="13"/>
  <c r="K81" i="13"/>
  <c r="K80" i="13"/>
  <c r="K73" i="13"/>
  <c r="K89" i="13"/>
  <c r="K88" i="13"/>
  <c r="K85" i="13"/>
  <c r="K57" i="13"/>
  <c r="K63" i="13" s="1"/>
  <c r="F128" i="13"/>
  <c r="F120" i="13"/>
  <c r="F112" i="13"/>
  <c r="F104" i="13"/>
  <c r="F127" i="13"/>
  <c r="F119" i="13"/>
  <c r="F111" i="13"/>
  <c r="F103" i="13"/>
  <c r="F125" i="13"/>
  <c r="F117" i="13"/>
  <c r="F109" i="13"/>
  <c r="F124" i="13"/>
  <c r="F116" i="13"/>
  <c r="F108" i="13"/>
  <c r="F126" i="13"/>
  <c r="F118" i="13"/>
  <c r="F110" i="13"/>
  <c r="F129" i="13"/>
  <c r="F121" i="13"/>
  <c r="F113" i="13"/>
  <c r="F105" i="13"/>
  <c r="F130" i="13"/>
  <c r="F122" i="13"/>
  <c r="F114" i="13"/>
  <c r="F106" i="13"/>
  <c r="F123" i="13"/>
  <c r="F115" i="13"/>
  <c r="F107" i="13"/>
  <c r="L15" i="12"/>
  <c r="D16" i="12" s="1"/>
  <c r="J124" i="13"/>
  <c r="J116" i="13"/>
  <c r="J108" i="13"/>
  <c r="J123" i="13"/>
  <c r="J115" i="13"/>
  <c r="J107" i="13"/>
  <c r="J129" i="13"/>
  <c r="J121" i="13"/>
  <c r="J113" i="13"/>
  <c r="J105" i="13"/>
  <c r="J128" i="13"/>
  <c r="J120" i="13"/>
  <c r="J112" i="13"/>
  <c r="J104" i="13"/>
  <c r="J127" i="13"/>
  <c r="J119" i="13"/>
  <c r="J111" i="13"/>
  <c r="J103" i="13"/>
  <c r="J130" i="13"/>
  <c r="J122" i="13"/>
  <c r="J114" i="13"/>
  <c r="J106" i="13"/>
  <c r="J125" i="13"/>
  <c r="J117" i="13"/>
  <c r="J109" i="13"/>
  <c r="J126" i="13"/>
  <c r="J118" i="13"/>
  <c r="J110" i="13"/>
  <c r="H98" i="13"/>
  <c r="H90" i="13"/>
  <c r="H82" i="13"/>
  <c r="H97" i="13"/>
  <c r="H95" i="13"/>
  <c r="H87" i="13"/>
  <c r="H79" i="13"/>
  <c r="H94" i="13"/>
  <c r="H86" i="13"/>
  <c r="H78" i="13"/>
  <c r="H92" i="13"/>
  <c r="H85" i="13"/>
  <c r="H76" i="13"/>
  <c r="H89" i="13"/>
  <c r="H81" i="13"/>
  <c r="H77" i="13"/>
  <c r="H75" i="13"/>
  <c r="H74" i="13"/>
  <c r="H73" i="13"/>
  <c r="H57" i="13"/>
  <c r="H63" i="13" s="1"/>
  <c r="H93" i="13"/>
  <c r="H72" i="13"/>
  <c r="H96" i="13"/>
  <c r="H71" i="13"/>
  <c r="H91" i="13"/>
  <c r="E156" i="13" s="1"/>
  <c r="F156" i="13" s="1"/>
  <c r="G156" i="13" s="1"/>
  <c r="H84" i="13"/>
  <c r="H83" i="13"/>
  <c r="H80" i="13"/>
  <c r="H88" i="13"/>
  <c r="G127" i="13"/>
  <c r="G119" i="13"/>
  <c r="G111" i="13"/>
  <c r="G103" i="13"/>
  <c r="G126" i="13"/>
  <c r="G118" i="13"/>
  <c r="G110" i="13"/>
  <c r="G124" i="13"/>
  <c r="G116" i="13"/>
  <c r="G108" i="13"/>
  <c r="G123" i="13"/>
  <c r="G115" i="13"/>
  <c r="G107" i="13"/>
  <c r="G129" i="13"/>
  <c r="G121" i="13"/>
  <c r="G113" i="13"/>
  <c r="G105" i="13"/>
  <c r="G130" i="13"/>
  <c r="G122" i="13"/>
  <c r="G114" i="13"/>
  <c r="G106" i="13"/>
  <c r="G125" i="13"/>
  <c r="G117" i="13"/>
  <c r="G109" i="13"/>
  <c r="G128" i="13"/>
  <c r="G120" i="13"/>
  <c r="G112" i="13"/>
  <c r="G104" i="13"/>
  <c r="J99" i="13"/>
  <c r="I99" i="13"/>
  <c r="D55" i="13"/>
  <c r="D99" i="13"/>
  <c r="G99" i="13"/>
  <c r="E141" i="13" l="1"/>
  <c r="F141" i="13" s="1"/>
  <c r="G141" i="13" s="1"/>
  <c r="E153" i="13"/>
  <c r="F153" i="13" s="1"/>
  <c r="G153" i="13" s="1"/>
  <c r="E136" i="13"/>
  <c r="F136" i="13" s="1"/>
  <c r="G136" i="13" s="1"/>
  <c r="E154" i="13"/>
  <c r="F154" i="13" s="1"/>
  <c r="G154" i="13" s="1"/>
  <c r="E152" i="13"/>
  <c r="F152" i="13" s="1"/>
  <c r="G152" i="13" s="1"/>
  <c r="E148" i="13"/>
  <c r="F148" i="13" s="1"/>
  <c r="G148" i="13" s="1"/>
  <c r="E160" i="13"/>
  <c r="F160" i="13" s="1"/>
  <c r="G160" i="13" s="1"/>
  <c r="E158" i="13"/>
  <c r="F158" i="13" s="1"/>
  <c r="G158" i="13" s="1"/>
  <c r="E145" i="13"/>
  <c r="F145" i="13" s="1"/>
  <c r="G145" i="13" s="1"/>
  <c r="E143" i="13"/>
  <c r="F143" i="13" s="1"/>
  <c r="G143" i="13" s="1"/>
  <c r="E149" i="13"/>
  <c r="F149" i="13" s="1"/>
  <c r="G149" i="13" s="1"/>
  <c r="E139" i="13"/>
  <c r="F139" i="13" s="1"/>
  <c r="G139" i="13" s="1"/>
  <c r="E151" i="13"/>
  <c r="F151" i="13" s="1"/>
  <c r="G151" i="13" s="1"/>
  <c r="E138" i="13"/>
  <c r="F138" i="13" s="1"/>
  <c r="G138" i="13" s="1"/>
  <c r="E147" i="13"/>
  <c r="F147" i="13" s="1"/>
  <c r="G147" i="13" s="1"/>
  <c r="E137" i="13"/>
  <c r="F137" i="13" s="1"/>
  <c r="G137" i="13" s="1"/>
  <c r="E162" i="13"/>
  <c r="F162" i="13" s="1"/>
  <c r="G162" i="13" s="1"/>
  <c r="E150" i="13"/>
  <c r="F150" i="13" s="1"/>
  <c r="G150" i="13" s="1"/>
  <c r="E146" i="13"/>
  <c r="F146" i="13" s="1"/>
  <c r="G146" i="13" s="1"/>
  <c r="E157" i="13"/>
  <c r="F157" i="13" s="1"/>
  <c r="G157" i="13" s="1"/>
  <c r="E140" i="13"/>
  <c r="F140" i="13" s="1"/>
  <c r="G140" i="13" s="1"/>
  <c r="E142" i="13"/>
  <c r="F142" i="13" s="1"/>
  <c r="G142" i="13" s="1"/>
  <c r="E161" i="13"/>
  <c r="F161" i="13" s="1"/>
  <c r="G161" i="13" s="1"/>
  <c r="E144" i="13"/>
  <c r="F144" i="13" s="1"/>
  <c r="G144" i="13" s="1"/>
  <c r="E155" i="13"/>
  <c r="F155" i="13" s="1"/>
  <c r="G155" i="13" s="1"/>
  <c r="E163" i="13"/>
  <c r="F163" i="13" s="1"/>
  <c r="G163" i="13" s="1"/>
  <c r="E159" i="13"/>
  <c r="F159" i="13" s="1"/>
  <c r="G159" i="13" s="1"/>
  <c r="H99" i="13"/>
  <c r="F131" i="13"/>
  <c r="F16" i="12"/>
  <c r="H16" i="12"/>
  <c r="K16" i="12"/>
  <c r="G16" i="12"/>
  <c r="J16" i="12"/>
  <c r="E16" i="12"/>
  <c r="I16" i="12"/>
  <c r="D18" i="12"/>
  <c r="L18" i="12" s="1"/>
  <c r="L16" i="12"/>
  <c r="K123" i="13"/>
  <c r="K115" i="13"/>
  <c r="K107" i="13"/>
  <c r="K130" i="13"/>
  <c r="K122" i="13"/>
  <c r="K114" i="13"/>
  <c r="K106" i="13"/>
  <c r="K128" i="13"/>
  <c r="K120" i="13"/>
  <c r="K112" i="13"/>
  <c r="K104" i="13"/>
  <c r="K127" i="13"/>
  <c r="K119" i="13"/>
  <c r="K111" i="13"/>
  <c r="K103" i="13"/>
  <c r="K125" i="13"/>
  <c r="K117" i="13"/>
  <c r="K109" i="13"/>
  <c r="K129" i="13"/>
  <c r="K121" i="13"/>
  <c r="K113" i="13"/>
  <c r="K105" i="13"/>
  <c r="K126" i="13"/>
  <c r="K118" i="13"/>
  <c r="K110" i="13"/>
  <c r="K124" i="13"/>
  <c r="K116" i="13"/>
  <c r="K108" i="13"/>
  <c r="H126" i="13"/>
  <c r="H118" i="13"/>
  <c r="H110" i="13"/>
  <c r="H125" i="13"/>
  <c r="H117" i="13"/>
  <c r="H109" i="13"/>
  <c r="H123" i="13"/>
  <c r="H115" i="13"/>
  <c r="H107" i="13"/>
  <c r="H130" i="13"/>
  <c r="H122" i="13"/>
  <c r="H114" i="13"/>
  <c r="H106" i="13"/>
  <c r="H124" i="13"/>
  <c r="H116" i="13"/>
  <c r="H108" i="13"/>
  <c r="H127" i="13"/>
  <c r="H119" i="13"/>
  <c r="H111" i="13"/>
  <c r="H103" i="13"/>
  <c r="H128" i="13"/>
  <c r="H120" i="13"/>
  <c r="H112" i="13"/>
  <c r="H104" i="13"/>
  <c r="H129" i="13"/>
  <c r="H121" i="13"/>
  <c r="H113" i="13"/>
  <c r="H105" i="13"/>
  <c r="E131" i="13"/>
  <c r="D59" i="13"/>
  <c r="J59" i="13" s="1"/>
  <c r="H59" i="13" s="1"/>
  <c r="G131" i="13"/>
  <c r="J131" i="13"/>
  <c r="K99" i="13"/>
  <c r="I131" i="13"/>
  <c r="D130" i="13"/>
  <c r="D122" i="13"/>
  <c r="D114" i="13"/>
  <c r="D106" i="13"/>
  <c r="D129" i="13"/>
  <c r="D121" i="13"/>
  <c r="D113" i="13"/>
  <c r="D105" i="13"/>
  <c r="D127" i="13"/>
  <c r="D119" i="13"/>
  <c r="D111" i="13"/>
  <c r="D103" i="13"/>
  <c r="D126" i="13"/>
  <c r="D118" i="13"/>
  <c r="D110" i="13"/>
  <c r="D124" i="13"/>
  <c r="D116" i="13"/>
  <c r="D108" i="13"/>
  <c r="D65" i="13"/>
  <c r="D128" i="13"/>
  <c r="D120" i="13"/>
  <c r="D112" i="13"/>
  <c r="D104" i="13"/>
  <c r="D123" i="13"/>
  <c r="D115" i="13"/>
  <c r="D107" i="13"/>
  <c r="D125" i="13"/>
  <c r="D117" i="13"/>
  <c r="D109" i="13"/>
  <c r="I158" i="13" l="1"/>
  <c r="J158" i="13" s="1"/>
  <c r="K158" i="13" s="1"/>
  <c r="I150" i="13"/>
  <c r="J150" i="13" s="1"/>
  <c r="K150" i="13" s="1"/>
  <c r="I161" i="13"/>
  <c r="J161" i="13" s="1"/>
  <c r="K161" i="13" s="1"/>
  <c r="I139" i="13"/>
  <c r="J139" i="13" s="1"/>
  <c r="K139" i="13" s="1"/>
  <c r="I154" i="13"/>
  <c r="J154" i="13" s="1"/>
  <c r="K154" i="13" s="1"/>
  <c r="I151" i="13"/>
  <c r="J151" i="13" s="1"/>
  <c r="K151" i="13" s="1"/>
  <c r="I162" i="13"/>
  <c r="J162" i="13" s="1"/>
  <c r="K162" i="13" s="1"/>
  <c r="I152" i="13"/>
  <c r="J152" i="13" s="1"/>
  <c r="K152" i="13" s="1"/>
  <c r="I160" i="13"/>
  <c r="J160" i="13" s="1"/>
  <c r="K160" i="13" s="1"/>
  <c r="I163" i="13"/>
  <c r="J163" i="13" s="1"/>
  <c r="K163" i="13" s="1"/>
  <c r="I144" i="13"/>
  <c r="J144" i="13" s="1"/>
  <c r="K144" i="13" s="1"/>
  <c r="I147" i="13"/>
  <c r="J147" i="13" s="1"/>
  <c r="K147" i="13" s="1"/>
  <c r="I142" i="13"/>
  <c r="J142" i="13" s="1"/>
  <c r="K142" i="13" s="1"/>
  <c r="I153" i="13"/>
  <c r="J153" i="13" s="1"/>
  <c r="K153" i="13" s="1"/>
  <c r="I159" i="13"/>
  <c r="J159" i="13" s="1"/>
  <c r="K159" i="13" s="1"/>
  <c r="I145" i="13"/>
  <c r="E18" i="12"/>
  <c r="E53" i="12"/>
  <c r="J18" i="12"/>
  <c r="J53" i="12"/>
  <c r="G18" i="12"/>
  <c r="G53" i="12"/>
  <c r="D131" i="13"/>
  <c r="I136" i="13"/>
  <c r="K18" i="12"/>
  <c r="K53" i="12"/>
  <c r="I140" i="13"/>
  <c r="I141" i="13"/>
  <c r="I155" i="13"/>
  <c r="H131" i="13"/>
  <c r="D53" i="12"/>
  <c r="H18" i="12"/>
  <c r="H53" i="12"/>
  <c r="K131" i="13"/>
  <c r="F18" i="12"/>
  <c r="F53" i="12"/>
  <c r="I148" i="13"/>
  <c r="I157" i="13"/>
  <c r="I149" i="13"/>
  <c r="I156" i="13"/>
  <c r="I138" i="13"/>
  <c r="I137" i="13"/>
  <c r="I143" i="13"/>
  <c r="I146" i="13"/>
  <c r="I18" i="12"/>
  <c r="I53" i="12"/>
  <c r="D98" i="12" l="1"/>
  <c r="E163" i="12" s="1"/>
  <c r="F163" i="12" s="1"/>
  <c r="G163" i="12" s="1"/>
  <c r="D90" i="12"/>
  <c r="E155" i="12" s="1"/>
  <c r="F155" i="12" s="1"/>
  <c r="G155" i="12" s="1"/>
  <c r="D97" i="12"/>
  <c r="E162" i="12" s="1"/>
  <c r="F162" i="12" s="1"/>
  <c r="G162" i="12" s="1"/>
  <c r="D89" i="12"/>
  <c r="E154" i="12" s="1"/>
  <c r="F154" i="12" s="1"/>
  <c r="G154" i="12" s="1"/>
  <c r="D81" i="12"/>
  <c r="E146" i="12" s="1"/>
  <c r="F146" i="12" s="1"/>
  <c r="G146" i="12" s="1"/>
  <c r="D96" i="12"/>
  <c r="E161" i="12" s="1"/>
  <c r="F161" i="12" s="1"/>
  <c r="G161" i="12" s="1"/>
  <c r="D88" i="12"/>
  <c r="E153" i="12" s="1"/>
  <c r="F153" i="12" s="1"/>
  <c r="G153" i="12" s="1"/>
  <c r="D80" i="12"/>
  <c r="E145" i="12" s="1"/>
  <c r="F145" i="12" s="1"/>
  <c r="G145" i="12" s="1"/>
  <c r="D95" i="12"/>
  <c r="E160" i="12" s="1"/>
  <c r="F160" i="12" s="1"/>
  <c r="G160" i="12" s="1"/>
  <c r="D82" i="12"/>
  <c r="E147" i="12" s="1"/>
  <c r="F147" i="12" s="1"/>
  <c r="G147" i="12" s="1"/>
  <c r="D73" i="12"/>
  <c r="E138" i="12" s="1"/>
  <c r="F138" i="12" s="1"/>
  <c r="G138" i="12" s="1"/>
  <c r="D94" i="12"/>
  <c r="E159" i="12" s="1"/>
  <c r="F159" i="12" s="1"/>
  <c r="G159" i="12" s="1"/>
  <c r="D91" i="12"/>
  <c r="E156" i="12" s="1"/>
  <c r="F156" i="12" s="1"/>
  <c r="G156" i="12" s="1"/>
  <c r="D87" i="12"/>
  <c r="E152" i="12" s="1"/>
  <c r="F152" i="12" s="1"/>
  <c r="G152" i="12" s="1"/>
  <c r="D83" i="12"/>
  <c r="E148" i="12" s="1"/>
  <c r="F148" i="12" s="1"/>
  <c r="G148" i="12" s="1"/>
  <c r="D72" i="12"/>
  <c r="E137" i="12" s="1"/>
  <c r="F137" i="12" s="1"/>
  <c r="G137" i="12" s="1"/>
  <c r="D71" i="12"/>
  <c r="D92" i="12"/>
  <c r="E157" i="12" s="1"/>
  <c r="F157" i="12" s="1"/>
  <c r="G157" i="12" s="1"/>
  <c r="D84" i="12"/>
  <c r="E149" i="12" s="1"/>
  <c r="F149" i="12" s="1"/>
  <c r="G149" i="12" s="1"/>
  <c r="D57" i="12"/>
  <c r="D78" i="12"/>
  <c r="E143" i="12" s="1"/>
  <c r="F143" i="12" s="1"/>
  <c r="G143" i="12" s="1"/>
  <c r="D77" i="12"/>
  <c r="E142" i="12" s="1"/>
  <c r="F142" i="12" s="1"/>
  <c r="G142" i="12" s="1"/>
  <c r="D55" i="12"/>
  <c r="D85" i="12"/>
  <c r="E150" i="12" s="1"/>
  <c r="F150" i="12" s="1"/>
  <c r="G150" i="12" s="1"/>
  <c r="D79" i="12"/>
  <c r="E144" i="12" s="1"/>
  <c r="F144" i="12" s="1"/>
  <c r="G144" i="12" s="1"/>
  <c r="D76" i="12"/>
  <c r="E141" i="12" s="1"/>
  <c r="F141" i="12" s="1"/>
  <c r="G141" i="12" s="1"/>
  <c r="D86" i="12"/>
  <c r="E151" i="12" s="1"/>
  <c r="F151" i="12" s="1"/>
  <c r="G151" i="12" s="1"/>
  <c r="D74" i="12"/>
  <c r="E139" i="12" s="1"/>
  <c r="F139" i="12" s="1"/>
  <c r="G139" i="12" s="1"/>
  <c r="D75" i="12"/>
  <c r="E140" i="12" s="1"/>
  <c r="F140" i="12" s="1"/>
  <c r="G140" i="12" s="1"/>
  <c r="D93" i="12"/>
  <c r="E158" i="12" s="1"/>
  <c r="F158" i="12" s="1"/>
  <c r="G158" i="12" s="1"/>
  <c r="J156" i="13"/>
  <c r="K156" i="13" s="1"/>
  <c r="J148" i="13"/>
  <c r="K148" i="13" s="1"/>
  <c r="J138" i="13"/>
  <c r="K138" i="13" s="1"/>
  <c r="J149" i="13"/>
  <c r="K149" i="13" s="1"/>
  <c r="I93" i="12"/>
  <c r="I85" i="12"/>
  <c r="I92" i="12"/>
  <c r="I84" i="12"/>
  <c r="I91" i="12"/>
  <c r="I83" i="12"/>
  <c r="I98" i="12"/>
  <c r="I94" i="12"/>
  <c r="I77" i="12"/>
  <c r="I76" i="12"/>
  <c r="I97" i="12"/>
  <c r="I88" i="12"/>
  <c r="I78" i="12"/>
  <c r="I75" i="12"/>
  <c r="I89" i="12"/>
  <c r="I79" i="12"/>
  <c r="I74" i="12"/>
  <c r="I95" i="12"/>
  <c r="I90" i="12"/>
  <c r="I82" i="12"/>
  <c r="I81" i="12"/>
  <c r="I80" i="12"/>
  <c r="I73" i="12"/>
  <c r="I72" i="12"/>
  <c r="I86" i="12"/>
  <c r="I71" i="12"/>
  <c r="I99" i="12" s="1"/>
  <c r="I87" i="12"/>
  <c r="I57" i="12"/>
  <c r="I63" i="12" s="1"/>
  <c r="I96" i="12"/>
  <c r="K91" i="12"/>
  <c r="K83" i="12"/>
  <c r="K98" i="12"/>
  <c r="K90" i="12"/>
  <c r="K82" i="12"/>
  <c r="K97" i="12"/>
  <c r="K89" i="12"/>
  <c r="K81" i="12"/>
  <c r="K96" i="12"/>
  <c r="K92" i="12"/>
  <c r="K79" i="12"/>
  <c r="K74" i="12"/>
  <c r="K95" i="12"/>
  <c r="K85" i="12"/>
  <c r="K80" i="12"/>
  <c r="K73" i="12"/>
  <c r="K72" i="12"/>
  <c r="K93" i="12"/>
  <c r="K86" i="12"/>
  <c r="K71" i="12"/>
  <c r="K99" i="12" s="1"/>
  <c r="K57" i="12"/>
  <c r="K63" i="12" s="1"/>
  <c r="K87" i="12"/>
  <c r="K88" i="12"/>
  <c r="K84" i="12"/>
  <c r="K78" i="12"/>
  <c r="K75" i="12"/>
  <c r="K94" i="12"/>
  <c r="K77" i="12"/>
  <c r="K76" i="12"/>
  <c r="J146" i="13"/>
  <c r="K146" i="13" s="1"/>
  <c r="J141" i="13"/>
  <c r="K141" i="13" s="1"/>
  <c r="J92" i="12"/>
  <c r="J84" i="12"/>
  <c r="J91" i="12"/>
  <c r="J83" i="12"/>
  <c r="J98" i="12"/>
  <c r="J90" i="12"/>
  <c r="J82" i="12"/>
  <c r="J97" i="12"/>
  <c r="J88" i="12"/>
  <c r="J78" i="12"/>
  <c r="J75" i="12"/>
  <c r="J89" i="12"/>
  <c r="J79" i="12"/>
  <c r="J74" i="12"/>
  <c r="J95" i="12"/>
  <c r="J85" i="12"/>
  <c r="J81" i="12"/>
  <c r="J80" i="12"/>
  <c r="J73" i="12"/>
  <c r="J72" i="12"/>
  <c r="J93" i="12"/>
  <c r="J86" i="12"/>
  <c r="J71" i="12"/>
  <c r="J99" i="12" s="1"/>
  <c r="J96" i="12"/>
  <c r="J57" i="12"/>
  <c r="J63" i="12" s="1"/>
  <c r="J94" i="12"/>
  <c r="J77" i="12"/>
  <c r="J76" i="12"/>
  <c r="J87" i="12"/>
  <c r="J145" i="13"/>
  <c r="K145" i="13" s="1"/>
  <c r="J143" i="13"/>
  <c r="K143" i="13" s="1"/>
  <c r="H94" i="12"/>
  <c r="H86" i="12"/>
  <c r="H93" i="12"/>
  <c r="H85" i="12"/>
  <c r="H92" i="12"/>
  <c r="H84" i="12"/>
  <c r="H98" i="12"/>
  <c r="H87" i="12"/>
  <c r="H77" i="12"/>
  <c r="H76" i="12"/>
  <c r="H97" i="12"/>
  <c r="H88" i="12"/>
  <c r="H78" i="12"/>
  <c r="H75" i="12"/>
  <c r="H89" i="12"/>
  <c r="H79" i="12"/>
  <c r="H74" i="12"/>
  <c r="H95" i="12"/>
  <c r="H90" i="12"/>
  <c r="H82" i="12"/>
  <c r="H81" i="12"/>
  <c r="H80" i="12"/>
  <c r="H73" i="12"/>
  <c r="H91" i="12"/>
  <c r="H83" i="12"/>
  <c r="H72" i="12"/>
  <c r="H96" i="12"/>
  <c r="H57" i="12"/>
  <c r="H63" i="12" s="1"/>
  <c r="H71" i="12"/>
  <c r="H99" i="12" s="1"/>
  <c r="J140" i="13"/>
  <c r="K140" i="13" s="1"/>
  <c r="G95" i="12"/>
  <c r="G87" i="12"/>
  <c r="G94" i="12"/>
  <c r="G86" i="12"/>
  <c r="G78" i="12"/>
  <c r="G93" i="12"/>
  <c r="G85" i="12"/>
  <c r="G77" i="12"/>
  <c r="G92" i="12"/>
  <c r="G96" i="12"/>
  <c r="G84" i="12"/>
  <c r="G57" i="12"/>
  <c r="G63" i="12" s="1"/>
  <c r="G76" i="12"/>
  <c r="G97" i="12"/>
  <c r="G88" i="12"/>
  <c r="G75" i="12"/>
  <c r="G89" i="12"/>
  <c r="G79" i="12"/>
  <c r="G74" i="12"/>
  <c r="G90" i="12"/>
  <c r="G82" i="12"/>
  <c r="G81" i="12"/>
  <c r="G80" i="12"/>
  <c r="G73" i="12"/>
  <c r="G71" i="12"/>
  <c r="G99" i="12" s="1"/>
  <c r="G83" i="12"/>
  <c r="G98" i="12"/>
  <c r="G91" i="12"/>
  <c r="G72" i="12"/>
  <c r="J155" i="13"/>
  <c r="K155" i="13" s="1"/>
  <c r="J137" i="13"/>
  <c r="K137" i="13" s="1"/>
  <c r="J157" i="13"/>
  <c r="K157" i="13" s="1"/>
  <c r="F96" i="12"/>
  <c r="F88" i="12"/>
  <c r="F95" i="12"/>
  <c r="F87" i="12"/>
  <c r="F79" i="12"/>
  <c r="F94" i="12"/>
  <c r="F86" i="12"/>
  <c r="F78" i="12"/>
  <c r="F93" i="12"/>
  <c r="F97" i="12"/>
  <c r="F71" i="12"/>
  <c r="F99" i="12" s="1"/>
  <c r="F92" i="12"/>
  <c r="F84" i="12"/>
  <c r="F57" i="12"/>
  <c r="F63" i="12" s="1"/>
  <c r="F77" i="12"/>
  <c r="F85" i="12"/>
  <c r="F76" i="12"/>
  <c r="F75" i="12"/>
  <c r="F89" i="12"/>
  <c r="F74" i="12"/>
  <c r="F98" i="12"/>
  <c r="F91" i="12"/>
  <c r="F83" i="12"/>
  <c r="F72" i="12"/>
  <c r="F90" i="12"/>
  <c r="F80" i="12"/>
  <c r="F82" i="12"/>
  <c r="F73" i="12"/>
  <c r="F81" i="12"/>
  <c r="I164" i="13"/>
  <c r="L156" i="13" s="1"/>
  <c r="J136" i="13"/>
  <c r="K136" i="13" s="1"/>
  <c r="E97" i="12"/>
  <c r="E89" i="12"/>
  <c r="E96" i="12"/>
  <c r="E88" i="12"/>
  <c r="E80" i="12"/>
  <c r="E95" i="12"/>
  <c r="E87" i="12"/>
  <c r="E79" i="12"/>
  <c r="E94" i="12"/>
  <c r="E98" i="12"/>
  <c r="E91" i="12"/>
  <c r="E83" i="12"/>
  <c r="E72" i="12"/>
  <c r="E71" i="12"/>
  <c r="E99" i="12" s="1"/>
  <c r="E92" i="12"/>
  <c r="E84" i="12"/>
  <c r="E57" i="12"/>
  <c r="E63" i="12" s="1"/>
  <c r="E78" i="12"/>
  <c r="E77" i="12"/>
  <c r="E85" i="12"/>
  <c r="E76" i="12"/>
  <c r="E93" i="12"/>
  <c r="E75" i="12"/>
  <c r="E90" i="12"/>
  <c r="E82" i="12"/>
  <c r="E81" i="12"/>
  <c r="E73" i="12"/>
  <c r="E74" i="12"/>
  <c r="E86" i="12"/>
  <c r="L136" i="13" l="1"/>
  <c r="G123" i="12"/>
  <c r="G115" i="12"/>
  <c r="G107" i="12"/>
  <c r="G130" i="12"/>
  <c r="G122" i="12"/>
  <c r="G114" i="12"/>
  <c r="G106" i="12"/>
  <c r="G129" i="12"/>
  <c r="G121" i="12"/>
  <c r="G113" i="12"/>
  <c r="G105" i="12"/>
  <c r="G128" i="12"/>
  <c r="G120" i="12"/>
  <c r="G112" i="12"/>
  <c r="G104" i="12"/>
  <c r="G127" i="12"/>
  <c r="G119" i="12"/>
  <c r="G111" i="12"/>
  <c r="G103" i="12"/>
  <c r="G126" i="12"/>
  <c r="G118" i="12"/>
  <c r="G110" i="12"/>
  <c r="G124" i="12"/>
  <c r="G116" i="12"/>
  <c r="G108" i="12"/>
  <c r="G125" i="12"/>
  <c r="G117" i="12"/>
  <c r="G109" i="12"/>
  <c r="K127" i="12"/>
  <c r="K119" i="12"/>
  <c r="K111" i="12"/>
  <c r="K103" i="12"/>
  <c r="K126" i="12"/>
  <c r="K118" i="12"/>
  <c r="K110" i="12"/>
  <c r="K125" i="12"/>
  <c r="K117" i="12"/>
  <c r="K109" i="12"/>
  <c r="K124" i="12"/>
  <c r="K116" i="12"/>
  <c r="K108" i="12"/>
  <c r="K123" i="12"/>
  <c r="K115" i="12"/>
  <c r="K107" i="12"/>
  <c r="K130" i="12"/>
  <c r="K122" i="12"/>
  <c r="K114" i="12"/>
  <c r="K106" i="12"/>
  <c r="K128" i="12"/>
  <c r="K120" i="12"/>
  <c r="K112" i="12"/>
  <c r="K104" i="12"/>
  <c r="K129" i="12"/>
  <c r="K121" i="12"/>
  <c r="K113" i="12"/>
  <c r="K105" i="12"/>
  <c r="E125" i="12"/>
  <c r="E117" i="12"/>
  <c r="E109" i="12"/>
  <c r="E124" i="12"/>
  <c r="E116" i="12"/>
  <c r="E108" i="12"/>
  <c r="E123" i="12"/>
  <c r="E115" i="12"/>
  <c r="E107" i="12"/>
  <c r="E130" i="12"/>
  <c r="E122" i="12"/>
  <c r="E114" i="12"/>
  <c r="E106" i="12"/>
  <c r="E129" i="12"/>
  <c r="E121" i="12"/>
  <c r="E113" i="12"/>
  <c r="E105" i="12"/>
  <c r="E128" i="12"/>
  <c r="E120" i="12"/>
  <c r="E112" i="12"/>
  <c r="E126" i="12"/>
  <c r="E118" i="12"/>
  <c r="E110" i="12"/>
  <c r="E127" i="12"/>
  <c r="E119" i="12"/>
  <c r="E111" i="12"/>
  <c r="E103" i="12"/>
  <c r="E104" i="12"/>
  <c r="L152" i="13"/>
  <c r="L161" i="13"/>
  <c r="L150" i="13"/>
  <c r="L153" i="13"/>
  <c r="L147" i="13"/>
  <c r="L159" i="13"/>
  <c r="L142" i="13"/>
  <c r="L158" i="13"/>
  <c r="L139" i="13"/>
  <c r="L154" i="13"/>
  <c r="L163" i="13"/>
  <c r="L162" i="13"/>
  <c r="L144" i="13"/>
  <c r="L151" i="13"/>
  <c r="L160" i="13"/>
  <c r="L157" i="13"/>
  <c r="F124" i="12"/>
  <c r="F116" i="12"/>
  <c r="F108" i="12"/>
  <c r="F123" i="12"/>
  <c r="F115" i="12"/>
  <c r="F107" i="12"/>
  <c r="F130" i="12"/>
  <c r="F122" i="12"/>
  <c r="F114" i="12"/>
  <c r="F106" i="12"/>
  <c r="F129" i="12"/>
  <c r="F121" i="12"/>
  <c r="F113" i="12"/>
  <c r="F105" i="12"/>
  <c r="F128" i="12"/>
  <c r="F120" i="12"/>
  <c r="F112" i="12"/>
  <c r="F104" i="12"/>
  <c r="F127" i="12"/>
  <c r="F119" i="12"/>
  <c r="F111" i="12"/>
  <c r="F125" i="12"/>
  <c r="F117" i="12"/>
  <c r="F109" i="12"/>
  <c r="F103" i="12"/>
  <c r="F126" i="12"/>
  <c r="F118" i="12"/>
  <c r="F110" i="12"/>
  <c r="L137" i="13"/>
  <c r="J128" i="12"/>
  <c r="J120" i="12"/>
  <c r="J112" i="12"/>
  <c r="J104" i="12"/>
  <c r="J127" i="12"/>
  <c r="J119" i="12"/>
  <c r="J111" i="12"/>
  <c r="J103" i="12"/>
  <c r="J126" i="12"/>
  <c r="J118" i="12"/>
  <c r="J110" i="12"/>
  <c r="J125" i="12"/>
  <c r="J117" i="12"/>
  <c r="J109" i="12"/>
  <c r="J124" i="12"/>
  <c r="J116" i="12"/>
  <c r="J108" i="12"/>
  <c r="J123" i="12"/>
  <c r="J115" i="12"/>
  <c r="J107" i="12"/>
  <c r="J129" i="12"/>
  <c r="J121" i="12"/>
  <c r="J113" i="12"/>
  <c r="J105" i="12"/>
  <c r="J130" i="12"/>
  <c r="J122" i="12"/>
  <c r="J114" i="12"/>
  <c r="J106" i="12"/>
  <c r="L149" i="13"/>
  <c r="L143" i="13"/>
  <c r="L138" i="13"/>
  <c r="D59" i="12"/>
  <c r="D63" i="12"/>
  <c r="L140" i="13"/>
  <c r="L145" i="13"/>
  <c r="L141" i="13"/>
  <c r="L155" i="13"/>
  <c r="L146" i="13"/>
  <c r="I129" i="12"/>
  <c r="I121" i="12"/>
  <c r="I113" i="12"/>
  <c r="I105" i="12"/>
  <c r="I128" i="12"/>
  <c r="I120" i="12"/>
  <c r="I112" i="12"/>
  <c r="I104" i="12"/>
  <c r="I127" i="12"/>
  <c r="I119" i="12"/>
  <c r="I111" i="12"/>
  <c r="I103" i="12"/>
  <c r="I126" i="12"/>
  <c r="I118" i="12"/>
  <c r="I110" i="12"/>
  <c r="I125" i="12"/>
  <c r="I117" i="12"/>
  <c r="I109" i="12"/>
  <c r="I124" i="12"/>
  <c r="I116" i="12"/>
  <c r="I108" i="12"/>
  <c r="I130" i="12"/>
  <c r="I122" i="12"/>
  <c r="I114" i="12"/>
  <c r="I106" i="12"/>
  <c r="I123" i="12"/>
  <c r="I115" i="12"/>
  <c r="I107" i="12"/>
  <c r="H130" i="12"/>
  <c r="H122" i="12"/>
  <c r="H114" i="12"/>
  <c r="H106" i="12"/>
  <c r="H129" i="12"/>
  <c r="H121" i="12"/>
  <c r="H113" i="12"/>
  <c r="H105" i="12"/>
  <c r="H128" i="12"/>
  <c r="H120" i="12"/>
  <c r="H112" i="12"/>
  <c r="H104" i="12"/>
  <c r="H127" i="12"/>
  <c r="H119" i="12"/>
  <c r="H111" i="12"/>
  <c r="H103" i="12"/>
  <c r="H126" i="12"/>
  <c r="H118" i="12"/>
  <c r="H110" i="12"/>
  <c r="H125" i="12"/>
  <c r="H117" i="12"/>
  <c r="H109" i="12"/>
  <c r="H123" i="12"/>
  <c r="H115" i="12"/>
  <c r="H107" i="12"/>
  <c r="H116" i="12"/>
  <c r="H108" i="12"/>
  <c r="H124" i="12"/>
  <c r="L148" i="13"/>
  <c r="D99" i="12"/>
  <c r="E136" i="12"/>
  <c r="F136" i="12" s="1"/>
  <c r="G136" i="12" s="1"/>
  <c r="L164" i="13" l="1"/>
  <c r="K131" i="12"/>
  <c r="F131" i="12"/>
  <c r="H131" i="12"/>
  <c r="I131" i="12"/>
  <c r="D126" i="12"/>
  <c r="I159" i="12" s="1"/>
  <c r="D118" i="12"/>
  <c r="I151" i="12" s="1"/>
  <c r="D110" i="12"/>
  <c r="I143" i="12" s="1"/>
  <c r="D125" i="12"/>
  <c r="I158" i="12" s="1"/>
  <c r="D117" i="12"/>
  <c r="I150" i="12" s="1"/>
  <c r="D109" i="12"/>
  <c r="I142" i="12" s="1"/>
  <c r="D124" i="12"/>
  <c r="I157" i="12" s="1"/>
  <c r="D116" i="12"/>
  <c r="I149" i="12" s="1"/>
  <c r="D108" i="12"/>
  <c r="I141" i="12" s="1"/>
  <c r="D123" i="12"/>
  <c r="I156" i="12" s="1"/>
  <c r="D115" i="12"/>
  <c r="I148" i="12" s="1"/>
  <c r="D107" i="12"/>
  <c r="I140" i="12" s="1"/>
  <c r="D130" i="12"/>
  <c r="I163" i="12" s="1"/>
  <c r="D122" i="12"/>
  <c r="I155" i="12" s="1"/>
  <c r="D114" i="12"/>
  <c r="I147" i="12" s="1"/>
  <c r="D106" i="12"/>
  <c r="I139" i="12" s="1"/>
  <c r="D129" i="12"/>
  <c r="I162" i="12" s="1"/>
  <c r="D121" i="12"/>
  <c r="I154" i="12" s="1"/>
  <c r="D113" i="12"/>
  <c r="I146" i="12" s="1"/>
  <c r="D105" i="12"/>
  <c r="I138" i="12" s="1"/>
  <c r="D127" i="12"/>
  <c r="I160" i="12" s="1"/>
  <c r="D119" i="12"/>
  <c r="I152" i="12" s="1"/>
  <c r="D111" i="12"/>
  <c r="I144" i="12" s="1"/>
  <c r="D103" i="12"/>
  <c r="D65" i="12"/>
  <c r="D104" i="12"/>
  <c r="I137" i="12" s="1"/>
  <c r="D128" i="12"/>
  <c r="I161" i="12" s="1"/>
  <c r="D120" i="12"/>
  <c r="I153" i="12" s="1"/>
  <c r="D112" i="12"/>
  <c r="I145" i="12" s="1"/>
  <c r="E131" i="12"/>
  <c r="G131" i="12"/>
  <c r="J59" i="12"/>
  <c r="H59" i="12" s="1"/>
  <c r="K60" i="12"/>
  <c r="J60" i="12" s="1"/>
  <c r="H60" i="12" s="1"/>
  <c r="O12" i="4" s="1"/>
  <c r="O14" i="4" s="1"/>
  <c r="R14" i="4" s="1"/>
  <c r="L12" i="4" s="1"/>
  <c r="J131" i="12"/>
  <c r="J138" i="12" l="1"/>
  <c r="K138" i="12" s="1"/>
  <c r="J161" i="12"/>
  <c r="K161" i="12" s="1"/>
  <c r="J143" i="12"/>
  <c r="K143" i="12" s="1"/>
  <c r="J156" i="12"/>
  <c r="K156" i="12" s="1"/>
  <c r="J159" i="12"/>
  <c r="K159" i="12" s="1"/>
  <c r="J158" i="12"/>
  <c r="K158" i="12" s="1"/>
  <c r="J137" i="12"/>
  <c r="K137" i="12" s="1"/>
  <c r="J139" i="12"/>
  <c r="K139" i="12" s="1"/>
  <c r="J149" i="12"/>
  <c r="K149" i="12" s="1"/>
  <c r="K17" i="5"/>
  <c r="I14" i="5"/>
  <c r="J16" i="5"/>
  <c r="H13" i="5"/>
  <c r="L15" i="4"/>
  <c r="M4" i="5" s="1"/>
  <c r="J157" i="12"/>
  <c r="K157" i="12" s="1"/>
  <c r="J140" i="12"/>
  <c r="K140" i="12" s="1"/>
  <c r="J148" i="12"/>
  <c r="K148" i="12" s="1"/>
  <c r="J154" i="12"/>
  <c r="K154" i="12" s="1"/>
  <c r="J162" i="12"/>
  <c r="K162" i="12" s="1"/>
  <c r="D131" i="12"/>
  <c r="I136" i="12"/>
  <c r="J144" i="12"/>
  <c r="K144" i="12" s="1"/>
  <c r="J152" i="12"/>
  <c r="K152" i="12" s="1"/>
  <c r="J155" i="12"/>
  <c r="K155" i="12" s="1"/>
  <c r="J142" i="12"/>
  <c r="K142" i="12" s="1"/>
  <c r="J153" i="12"/>
  <c r="K153" i="12" s="1"/>
  <c r="J146" i="12"/>
  <c r="K146" i="12" s="1"/>
  <c r="J151" i="12"/>
  <c r="K151" i="12" s="1"/>
  <c r="J141" i="12"/>
  <c r="K141" i="12" s="1"/>
  <c r="J147" i="12"/>
  <c r="K147" i="12" s="1"/>
  <c r="J145" i="12"/>
  <c r="K145" i="12" s="1"/>
  <c r="J160" i="12"/>
  <c r="K160" i="12" s="1"/>
  <c r="J163" i="12"/>
  <c r="K163" i="12" s="1"/>
  <c r="J150" i="12"/>
  <c r="K150" i="12" s="1"/>
  <c r="H34" i="5" l="1"/>
  <c r="H18" i="5"/>
  <c r="L13" i="5"/>
  <c r="M13" i="5" s="1"/>
  <c r="L16" i="5"/>
  <c r="M16" i="5" s="1"/>
  <c r="J18" i="5"/>
  <c r="L14" i="5"/>
  <c r="M14" i="5" s="1"/>
  <c r="I18" i="5"/>
  <c r="L17" i="5"/>
  <c r="M17" i="5" s="1"/>
  <c r="K18" i="5"/>
  <c r="I164" i="12"/>
  <c r="L136" i="12" s="1"/>
  <c r="L164" i="12" s="1"/>
  <c r="J136" i="12"/>
  <c r="K136" i="12" s="1"/>
  <c r="M23" i="15" l="1"/>
  <c r="L138" i="12"/>
  <c r="L159" i="12"/>
  <c r="L149" i="12"/>
  <c r="L162" i="12"/>
  <c r="L155" i="12"/>
  <c r="L153" i="12"/>
  <c r="L152" i="12"/>
  <c r="L154" i="12"/>
  <c r="L146" i="12"/>
  <c r="L140" i="12"/>
  <c r="L142" i="12"/>
  <c r="L141" i="12"/>
  <c r="L163" i="12"/>
  <c r="L145" i="12"/>
  <c r="L160" i="12"/>
  <c r="L161" i="12"/>
  <c r="L158" i="12"/>
  <c r="L147" i="12"/>
  <c r="L144" i="12"/>
  <c r="L150" i="12"/>
  <c r="L148" i="12"/>
  <c r="L143" i="12"/>
  <c r="L137" i="12"/>
  <c r="L157" i="12"/>
  <c r="L151" i="12"/>
  <c r="L156" i="12"/>
  <c r="L139" i="12"/>
  <c r="G19" i="5"/>
  <c r="F19" i="5"/>
  <c r="E19" i="5"/>
  <c r="B19" i="5"/>
  <c r="D19" i="5"/>
  <c r="C19" i="5"/>
  <c r="L18" i="5"/>
  <c r="H35" i="5"/>
  <c r="K19" i="5"/>
  <c r="M18" i="5" l="1"/>
  <c r="I4" i="5"/>
  <c r="M30" i="15"/>
  <c r="M25" i="15"/>
  <c r="M26" i="15" s="1"/>
</calcChain>
</file>

<file path=xl/sharedStrings.xml><?xml version="1.0" encoding="utf-8"?>
<sst xmlns="http://schemas.openxmlformats.org/spreadsheetml/2006/main" count="887" uniqueCount="452">
  <si>
    <t>مدل تخمین هزینه پروژه ها</t>
  </si>
  <si>
    <t>شناسنامه پروژه</t>
  </si>
  <si>
    <t>کد پروژه</t>
  </si>
  <si>
    <t>عنوان پروژه (در سامانه کنترل پروژه)</t>
  </si>
  <si>
    <t>واحد سازمانی</t>
  </si>
  <si>
    <t>مدیر پروژه</t>
  </si>
  <si>
    <t>معاونت گروه (معاون مدیرعامل)</t>
  </si>
  <si>
    <t>توسعه 2</t>
  </si>
  <si>
    <t>مدیر گروه</t>
  </si>
  <si>
    <t>کارشناس کنترل پروژه</t>
  </si>
  <si>
    <t>تاریخ ایجاد فایل</t>
  </si>
  <si>
    <t>(A) - توسعه نرم افزار بانک ملت - Fixed Price</t>
  </si>
  <si>
    <t>سیستم‌های مربوط به پروژه</t>
  </si>
  <si>
    <t>ردیف</t>
  </si>
  <si>
    <t xml:space="preserve">نام سیستم </t>
  </si>
  <si>
    <t xml:space="preserve">توضیح سیستم </t>
  </si>
  <si>
    <t>نوع کار</t>
  </si>
  <si>
    <t>ایجاد سیستم جدید</t>
  </si>
  <si>
    <t>معرفی و محاسبه‌ حجم کار المانها</t>
  </si>
  <si>
    <t>تعرفه فرم (نفرساعت) : (ساده : 40) - (معمولی : 80) - (پیچیده : 120) - (بسیار پیچیده : 160) - (فوق العاده پیچیده : 240)
تعرفه پردازش - سرویس - گزارش (نفرساعت) : (ساده : 60) - (معمولی : 120) - (پیچیده : 180) - (بسیار پیچیده : 240) - (فوق العاده پیچیده : 360)</t>
  </si>
  <si>
    <t>کل حجم کار المان های تولید (نفرساعت) =</t>
  </si>
  <si>
    <t>نام سیستم</t>
  </si>
  <si>
    <t>عنوان المان‌ها (منطبق با پروپزال)</t>
  </si>
  <si>
    <t>نوع المان</t>
  </si>
  <si>
    <t>نوع حجم کار</t>
  </si>
  <si>
    <t>ضریب تعدیل</t>
  </si>
  <si>
    <t>تعداد</t>
  </si>
  <si>
    <t>تعرفه</t>
  </si>
  <si>
    <t>حجم کار (نفرساعت)</t>
  </si>
  <si>
    <t>پردازش</t>
  </si>
  <si>
    <t>فوق العاده پیچیده</t>
  </si>
  <si>
    <t>توسعه/تغییر/بهبود</t>
  </si>
  <si>
    <t>معمولی</t>
  </si>
  <si>
    <t>تعداد المان‌های تولید =</t>
  </si>
  <si>
    <t>مولفه/حجم کار روی</t>
  </si>
  <si>
    <t>جمع</t>
  </si>
  <si>
    <t xml:space="preserve">حجم کار المان‌های تولید ( نفرساعت ) = </t>
  </si>
  <si>
    <t>کل حجم کار (نفرساعت) =</t>
  </si>
  <si>
    <t>حجم کار(نفرساعت)</t>
  </si>
  <si>
    <t>تعریف پروژه و پارامترهای آن</t>
  </si>
  <si>
    <t>گروه پروژه</t>
  </si>
  <si>
    <t>نوع پروژه</t>
  </si>
  <si>
    <t>وضعیت پروژه</t>
  </si>
  <si>
    <t>متدولوژی</t>
  </si>
  <si>
    <t>عنوان شرایط خاص</t>
  </si>
  <si>
    <t>درصد</t>
  </si>
  <si>
    <t>برآورد حجم کار پروژه (نفرساعت)</t>
  </si>
  <si>
    <t>Class A , C</t>
  </si>
  <si>
    <t>Class B</t>
  </si>
  <si>
    <t>Class D , E</t>
  </si>
  <si>
    <t>شرایط خاص پروژه</t>
  </si>
  <si>
    <t>حجم کار المان ها</t>
  </si>
  <si>
    <t>A</t>
  </si>
  <si>
    <t>حجم کار با تاثیر پروفایلرها و
شرایط خاص پروژه</t>
  </si>
  <si>
    <t>B</t>
  </si>
  <si>
    <t>کل حجم کار با درنظر گرفتن سهم گروه های بانکهای اطلاعاتی، عملیات و امنیت اطلاعات</t>
  </si>
  <si>
    <t>C</t>
  </si>
  <si>
    <t>ضرایب افزوده</t>
  </si>
  <si>
    <t>بانکهای اطلاعاتی</t>
  </si>
  <si>
    <t>برآورد زمان پشتیبانی</t>
  </si>
  <si>
    <t>عملیات</t>
  </si>
  <si>
    <t>طول دوره پشتیبانی
(ماه)</t>
  </si>
  <si>
    <t>امنیت اطلاعات و ارتباطات</t>
  </si>
  <si>
    <t>الزامات امنیت</t>
  </si>
  <si>
    <t>سهم هر یک از گروههای کاری به تفکيک تخصص های مورد نياز</t>
  </si>
  <si>
    <t>مانده ظرفیت تولید =</t>
  </si>
  <si>
    <t>کل ظرفیت تولید =</t>
  </si>
  <si>
    <t xml:space="preserve">تخصص â  نام گروه کاریß </t>
  </si>
  <si>
    <t>برنامه ریزی کنترل و نظارت</t>
  </si>
  <si>
    <t>نفر-ساعت</t>
  </si>
  <si>
    <t>تحلیلگر</t>
  </si>
  <si>
    <t>طراح</t>
  </si>
  <si>
    <t>برنامه نویس</t>
  </si>
  <si>
    <t>طراح آزمایش</t>
  </si>
  <si>
    <t>آزمونگر</t>
  </si>
  <si>
    <t>کارشناس پایگاه داده</t>
  </si>
  <si>
    <t>کارشناس شبکه</t>
  </si>
  <si>
    <t>راهبر سرور</t>
  </si>
  <si>
    <t>کارشناس امنیت</t>
  </si>
  <si>
    <t>درصد سهم گروه ها</t>
  </si>
  <si>
    <t xml:space="preserve">توضیح : </t>
  </si>
  <si>
    <t>لازم است از سهم هر گروه، حداکثر  5%  به مدیر پروژه تخصیص داده شود.</t>
  </si>
  <si>
    <t>سایر هزینه های پروژه</t>
  </si>
  <si>
    <t>جمع کل هزینه های ریالی پروژه</t>
  </si>
  <si>
    <t>موضوع</t>
  </si>
  <si>
    <t>نوع</t>
  </si>
  <si>
    <t>براورد (ریال)</t>
  </si>
  <si>
    <t xml:space="preserve"> سهم مراحل مختلف چرخه عمر (درصد)</t>
  </si>
  <si>
    <t>شناخت</t>
  </si>
  <si>
    <t>طراحی مفهومی</t>
  </si>
  <si>
    <t>طراحی تفضیلی</t>
  </si>
  <si>
    <t>تولید</t>
  </si>
  <si>
    <t>آزمون</t>
  </si>
  <si>
    <t>راه اندازی</t>
  </si>
  <si>
    <t>مستندسازی</t>
  </si>
  <si>
    <t>تحویل</t>
  </si>
  <si>
    <t xml:space="preserve">سامانه های نرم افزاری </t>
  </si>
  <si>
    <t>سامانه های نرم افزاری خاص</t>
  </si>
  <si>
    <t>سامانه های نرم افزاری زیرساختی و پایه</t>
  </si>
  <si>
    <t>طراحی و ایجاد ساختارهای امنیتی</t>
  </si>
  <si>
    <t>سرویس‌های پردازشی</t>
  </si>
  <si>
    <t>رایانش ابری</t>
  </si>
  <si>
    <t>سامانه های بانکداری متمرکز (Core Banking)</t>
  </si>
  <si>
    <t>سامانه های حوزه بانکداری الکترونیک</t>
  </si>
  <si>
    <t>سامانه های بانکداری متمرکز – سرویسهای تسهیلات ریالی و ارزی</t>
  </si>
  <si>
    <t>سامانه های بانکداری متمرکز – سوییچ بین بانکی و کانال کارت  سایر سامانه های خارج از بانک(ساتنا، پایا، سوئیفت، سپام، چکاوک، استعلامات)</t>
  </si>
  <si>
    <t>سامانه های بانکداری متمرکز – کانالهای غیر حضور تحت وب(بانکداری اینترنتی-تجاری-محب-وب سرویس های بیرونی)</t>
  </si>
  <si>
    <t>سامانه های بانکداری متمرکز – کانالهای غیر حضوری شبکه های مخابراتی(تلفنبانک-همراه بانک – کد بانک)</t>
  </si>
  <si>
    <t>سامانه های بانکداری متمرکز – کانالهای غیر حضوری نوین(IP-Media)</t>
  </si>
  <si>
    <t>سامانه های بانکداری متمرکز - گزارشات مدیریتی، انباره داده و داده کاوی</t>
  </si>
  <si>
    <t>مطالعه</t>
  </si>
  <si>
    <t>ایجاد - (ساخت از پایه)</t>
  </si>
  <si>
    <t>توسعه</t>
  </si>
  <si>
    <t>پشتیبانی</t>
  </si>
  <si>
    <t>توسعه و پشتیبانی</t>
  </si>
  <si>
    <t>معمول</t>
  </si>
  <si>
    <t>نوآورانه</t>
  </si>
  <si>
    <t>ساخت یافته</t>
  </si>
  <si>
    <t>RUP</t>
  </si>
  <si>
    <t>مسئولیت در صحت انجام عملیات (اعمال جرایم)</t>
  </si>
  <si>
    <t>عدم وجود مستندات تعریف محدوده کار</t>
  </si>
  <si>
    <t>عدم شناخت کارفرما از نیازمندیهای خود</t>
  </si>
  <si>
    <t>برخورداری از تکنولوژی بالا در فرایند و محصول</t>
  </si>
  <si>
    <t>استفاده از سکوی توسعه رده Main Frame</t>
  </si>
  <si>
    <t>سرعت در انجام پروژه</t>
  </si>
  <si>
    <t>ظرفیت خالی</t>
  </si>
  <si>
    <t>اتصال به سیستم های خارجی</t>
  </si>
  <si>
    <t>حضور عوامل بیرونی</t>
  </si>
  <si>
    <t>پیچیدگی محصول</t>
  </si>
  <si>
    <t>wrong</t>
  </si>
  <si>
    <t>حاصلضرب</t>
  </si>
  <si>
    <t xml:space="preserve">احتمال وقوع و شدت اثر بین اعداد 0 تا ۵ قابل انتخاب می‌باشند
(عدد صفر کمترین احتمال و اثر و عدد ۵ بیشترین احتمال و اثر) </t>
  </si>
  <si>
    <t>وضعیت ریسک پروژه</t>
  </si>
  <si>
    <t>ریسک‌های مرتبط با فرایند تولید پروژه</t>
  </si>
  <si>
    <t>شرح جزییات</t>
  </si>
  <si>
    <t>دامنه پروژه</t>
  </si>
  <si>
    <t>تغییر نیازمندی‌های پروژه یا عدم‌شفافیت در نیازمندی‌های عنوان شده از سوی کارفرما که محدوده پروژه و متعاقبا ویژگی‌های سیستم را تغییر می‌دهد</t>
  </si>
  <si>
    <t>بزرگ بودن دامنه پروژه که منجر به عدم شناخت دقیق کل پروژه شده و احتمال تغییر نیازمندی‌ها به دلیل طولانی شدن اجرای پروژه وجود دارد</t>
  </si>
  <si>
    <t>منابع انسانی کلیدی</t>
  </si>
  <si>
    <t xml:space="preserve">خروج منابع انسانی کلیدی پروژه به دلایل مختلف (مهاجرت، تغییر شغل و ...) </t>
  </si>
  <si>
    <t>کمبود نیروی متخصص و مشکلات مربوط به جذب نیروی انسانی</t>
  </si>
  <si>
    <t>الزامات امنیتی</t>
  </si>
  <si>
    <t>عدم توجه کارفرما به الزامات ریسک آی‌تی در ابتدای پروژه و درخواست تغییرات مربوطه در مراحل انتهایی پروژه</t>
  </si>
  <si>
    <t>جدید بودن و ناشناخته بودن برخی ابعاد امنیتی پروژه</t>
  </si>
  <si>
    <t>عدم توافق کارفرما با شرکت در خصوص الزامات امنیتی پروژه</t>
  </si>
  <si>
    <t>زیرساخت مورد نیاز</t>
  </si>
  <si>
    <t>شناسایی ناقص محدودیت‌های فنی سیستم (تخمین نادرست نیازمندی‌های زیرساختی، تجهیزات نرم‌افزاری و منابع مورد نیاز).</t>
  </si>
  <si>
    <t xml:space="preserve">عدم تامین بهنگام زیرساخت مورد نیاز اعم از سخت‌افزار، نرم‌افزار و لایسنس توسط مجری یا کارفرما که موجب کندی یا عدم اجرای صحیح پروژه می‌شود. </t>
  </si>
  <si>
    <t>انحصاری بودن برخی منابع مورد نیاز که موجب کندی در تامین و ایجاد مخاطرات در پروژه می‌شود.</t>
  </si>
  <si>
    <t>برآورد زمان و حجم کاری</t>
  </si>
  <si>
    <t>ناشناخته بودن ابعاد کاری پروژه</t>
  </si>
  <si>
    <t>همزمانی و پروژه‌های فورس ماژور (بانک یا رگولاتوری)</t>
  </si>
  <si>
    <t>بزرگی و پراکندگی تیم به دلیل وجود پیچیدگی‌های فنی در پروژه و الزام مشارکت متولیان فنی و کسب‌وکاری مختلف</t>
  </si>
  <si>
    <t>الزامات کاربردی و عملکردی</t>
  </si>
  <si>
    <t>تاکید بیش از حد بر الزمات کاربردی و عملکردی که منجر به کاهش کیفیت فنی محصولات و خدمات می‌شود</t>
  </si>
  <si>
    <t>الزامات تکنیکی و فنی محیط توسعه نرم‌افزار</t>
  </si>
  <si>
    <t>عدم شناسایی فرایندهای نیاز به بازنگری و مهندسی مجدد</t>
  </si>
  <si>
    <t>عدم وجود ملاحظات مربوط به تضمین کیفیت (مربوط به کیفیت طراحی و کیفیت انطباق)</t>
  </si>
  <si>
    <t>نبود تجربه قبلی در تکنولوژی و فناوری منتخب</t>
  </si>
  <si>
    <t>معماری سیستم و برنامه کاربردی</t>
  </si>
  <si>
    <t>انتخاب نادرست پلتفرم و به کارگیری چارچوب‌ها و اجزای نرم‌افزاری نامناسب</t>
  </si>
  <si>
    <t>تغییرات فناوری (ابزارها، استانداردها، پروتکل‌ها و تکنیک‌های توسعه) در حین انجام پروژه</t>
  </si>
  <si>
    <t>روابط راهبردی</t>
  </si>
  <si>
    <t>تغییر کارفرما</t>
  </si>
  <si>
    <t>تغییر یا جابجایی در افراد کلیدی مرتبط با پروژه (معاون، مدیرپروژه و ...)</t>
  </si>
  <si>
    <t>تغییر موضع حمایتی مدیران ارشد بانک نسبت به پروژه</t>
  </si>
  <si>
    <t>جدول خلاصه برآورد پروژه</t>
  </si>
  <si>
    <t>تعداد المانهای تولید</t>
  </si>
  <si>
    <t>مولفه/حجم کار</t>
  </si>
  <si>
    <t>مجموع</t>
  </si>
  <si>
    <t>جمع کل</t>
  </si>
  <si>
    <t>پشتیبانی پروژه</t>
  </si>
  <si>
    <t>طول دوره پشتیبانی (ماه)</t>
  </si>
  <si>
    <t>نیروی متخصص (وزن) در مراحل مختلف چرخه عمر</t>
  </si>
  <si>
    <t xml:space="preserve">تحلیلگر </t>
  </si>
  <si>
    <t xml:space="preserve">طراح </t>
  </si>
  <si>
    <t>برنامه نویس ارشد</t>
  </si>
  <si>
    <t>برنامه نویس درجه 1</t>
  </si>
  <si>
    <t>برنامه نویس درجه 2</t>
  </si>
  <si>
    <t>کارشناس مستندساز</t>
  </si>
  <si>
    <t>نگارگر (گرافیست)</t>
  </si>
  <si>
    <t>مدیر کیفیت</t>
  </si>
  <si>
    <t>کارشناس کیفیت</t>
  </si>
  <si>
    <t>کارشناس پیکربندی</t>
  </si>
  <si>
    <t>مسئول سایت/کارگاه</t>
  </si>
  <si>
    <t>مدیر خدمات پس از فروش</t>
  </si>
  <si>
    <t>تکنسین عملیات</t>
  </si>
  <si>
    <t>کارشناس آموزش</t>
  </si>
  <si>
    <t>مشاور ارشد</t>
  </si>
  <si>
    <t>مشاور</t>
  </si>
  <si>
    <t>کارشناس ارشد شبکه</t>
  </si>
  <si>
    <t>کارشناس درجه 1 شبکه</t>
  </si>
  <si>
    <t>تکنسین شبکه</t>
  </si>
  <si>
    <t>کارشناس پایگاه داده ارشد</t>
  </si>
  <si>
    <t>کارشناس پایگاه داده درجه 1</t>
  </si>
  <si>
    <t xml:space="preserve">مهندس ارشد سیستم </t>
  </si>
  <si>
    <t>مهندس سیستم درجه 1</t>
  </si>
  <si>
    <t>grp</t>
  </si>
  <si>
    <t>prf1</t>
  </si>
  <si>
    <t>prf2</t>
  </si>
  <si>
    <t>prf3</t>
  </si>
  <si>
    <t>shf</t>
  </si>
  <si>
    <t>D</t>
  </si>
  <si>
    <t>Sum</t>
  </si>
  <si>
    <t>Shifter Percent</t>
  </si>
  <si>
    <t>سامانه های نرم افزاری</t>
  </si>
  <si>
    <t>مولفه‌های تولید</t>
  </si>
  <si>
    <t>گروه های کاری</t>
  </si>
  <si>
    <t>نوع کار بر روی المانهای سیستم</t>
  </si>
  <si>
    <t xml:space="preserve">نوع کار روی سیستمها </t>
  </si>
  <si>
    <t>درجه پیچیدگی</t>
  </si>
  <si>
    <t>تعرفه تولید</t>
  </si>
  <si>
    <t>فرم</t>
  </si>
  <si>
    <t>امور بانکداری</t>
  </si>
  <si>
    <t>ایجاد</t>
  </si>
  <si>
    <t>ساده</t>
  </si>
  <si>
    <t>عنوان پارامتر/مقدار</t>
  </si>
  <si>
    <t>واحد</t>
  </si>
  <si>
    <t>توسعه 1</t>
  </si>
  <si>
    <t>تغییر (توسعه/تغییر/بهبود کیفی)</t>
  </si>
  <si>
    <t>سرویس</t>
  </si>
  <si>
    <t>فقط بهبود کیفی</t>
  </si>
  <si>
    <t>پیچیده</t>
  </si>
  <si>
    <t>گزارش</t>
  </si>
  <si>
    <t>توسعه 3</t>
  </si>
  <si>
    <t>بسیار پیچیده</t>
  </si>
  <si>
    <t>فعالیت</t>
  </si>
  <si>
    <t>توسعه 4</t>
  </si>
  <si>
    <t>جلسه</t>
  </si>
  <si>
    <t>توسعه 5</t>
  </si>
  <si>
    <t>هوش تجاری</t>
  </si>
  <si>
    <t>نظارت</t>
  </si>
  <si>
    <t>پروژه بانکداری نوین</t>
  </si>
  <si>
    <t>سایر گروه ها</t>
  </si>
  <si>
    <t>ResTime</t>
  </si>
  <si>
    <t>تعداد روز در ماه</t>
  </si>
  <si>
    <t>ضریب پشتیبانی</t>
  </si>
  <si>
    <t>نوع سایر هزینه ها</t>
  </si>
  <si>
    <t>برنامه ریزی نظارت و کنترل</t>
  </si>
  <si>
    <t>برونسپاری</t>
  </si>
  <si>
    <t>خرید نرم افزار</t>
  </si>
  <si>
    <t>(B) - توسعه نرم افزار بانک ملت - Cost Plus</t>
  </si>
  <si>
    <t>خرید سخت افزار</t>
  </si>
  <si>
    <t>(C) - سیستم های جاری بانک ملت</t>
  </si>
  <si>
    <t>خرید لایسنس</t>
  </si>
  <si>
    <t>(D) - غیر نرم افزاری</t>
  </si>
  <si>
    <t>دوره های آموزشی</t>
  </si>
  <si>
    <t>(E) - داخلی</t>
  </si>
  <si>
    <t>مشاوره</t>
  </si>
  <si>
    <t>خرید محتوای آموزشی</t>
  </si>
  <si>
    <t>سایر</t>
  </si>
  <si>
    <t>سیستم ها</t>
  </si>
  <si>
    <t>نسخه شعبه تسهیلات واعتبارات</t>
  </si>
  <si>
    <t>نسخه پارامترها</t>
  </si>
  <si>
    <t>سامانه سیاق شرکتی</t>
  </si>
  <si>
    <t>وب سرویس پرداخت ویژه</t>
  </si>
  <si>
    <t>سامانه بانکداری اینترنتی اشخاص حقیقی</t>
  </si>
  <si>
    <t>سامانه سیاق ستادی</t>
  </si>
  <si>
    <t>وب سرویس استعلام شماره حساب</t>
  </si>
  <si>
    <t>ارایه سرویس صندوق قرض الحسنه به شرکت شقایق</t>
  </si>
  <si>
    <t>سامانه پیام رسان</t>
  </si>
  <si>
    <t>سامانه شبکه اجتماعی دوستان</t>
  </si>
  <si>
    <t>سامانه محب</t>
  </si>
  <si>
    <t>سامانه مدیریت بانکداری اینترنتی</t>
  </si>
  <si>
    <t>سامانه همراه پلاس</t>
  </si>
  <si>
    <t>مانیتورینگ تلفنبانک</t>
  </si>
  <si>
    <t>همراه بانک</t>
  </si>
  <si>
    <t>وب سرويس بورس اوراق بهادار</t>
  </si>
  <si>
    <t>وب سرویس سامانه حج</t>
  </si>
  <si>
    <t>وب سرويس قرعه كشي قرض الحسنه</t>
  </si>
  <si>
    <t>وب سرويس ليزينگ (واريز ويژه)</t>
  </si>
  <si>
    <t>وب سرويس ناوگان حمل و نقل</t>
  </si>
  <si>
    <t>وب سرویس - گزارش صورتحساب (ایران خودرو)</t>
  </si>
  <si>
    <t>وب سرویس ارسال اطلاعات قبوض</t>
  </si>
  <si>
    <t>وب سرویس استعلام مراجع قضایی</t>
  </si>
  <si>
    <t>وب سرویس انتقال وجه سازمان ها (جیرینگ)</t>
  </si>
  <si>
    <t>وب سرویس بانک پرداخت (همراه اول)</t>
  </si>
  <si>
    <t>وب سرویس لیزینگ</t>
  </si>
  <si>
    <t>سامانه بانکداری اینترنتی اشخاص حقوقی</t>
  </si>
  <si>
    <t>سامانه بانکداری اینترنتی صاحبان کسب و کار</t>
  </si>
  <si>
    <t>سامانه مدیریت تراکنشهای یکباررمز (سرویس rmi)</t>
  </si>
  <si>
    <t>استرداد ارز مسافرتی</t>
  </si>
  <si>
    <t>سامانه اخذ تایید لحظه ای (وب سرویس)</t>
  </si>
  <si>
    <t>وب سرويس تأييد لحظه اي قبوض</t>
  </si>
  <si>
    <t>ماژول پیوند</t>
  </si>
  <si>
    <t>ماژول پرداخت اینترنتی</t>
  </si>
  <si>
    <t>سامانه 712</t>
  </si>
  <si>
    <t>ماژول کنترل سقف برداشت وجه</t>
  </si>
  <si>
    <t>ماژول پرداخت موبایلی</t>
  </si>
  <si>
    <t>سامانه تلفن بانک</t>
  </si>
  <si>
    <t>بانکداری متمرکز-نسخه شعبه</t>
  </si>
  <si>
    <t>سامانه BackOffice</t>
  </si>
  <si>
    <t>سامانه بورس اوراق</t>
  </si>
  <si>
    <t>سامانه بورس کالا</t>
  </si>
  <si>
    <t>سامانه صدور دسته چک</t>
  </si>
  <si>
    <t>ستاد ریالی/ارزی</t>
  </si>
  <si>
    <t>سوئیچ چکاوک</t>
  </si>
  <si>
    <t>سوئیچ ساتنا</t>
  </si>
  <si>
    <t>ماژول گروهی چکاوک(نماچک)</t>
  </si>
  <si>
    <t>نسخه مرکز</t>
  </si>
  <si>
    <t>برنامه ساخت بن کارت و هدیه کارت</t>
  </si>
  <si>
    <t>سامانه فروش ارز به زائرین حج</t>
  </si>
  <si>
    <t>سامانه گزارشات مدیریتی MIS</t>
  </si>
  <si>
    <t>شرکت خلیج فارس</t>
  </si>
  <si>
    <t>سوئیچ پایا</t>
  </si>
  <si>
    <t>سامانه ستادی پایا</t>
  </si>
  <si>
    <t>سامانه ریز واریز شاپرک</t>
  </si>
  <si>
    <t>سوییچ شاپرک</t>
  </si>
  <si>
    <t>وب سرویس کانال کارت NGFS</t>
  </si>
  <si>
    <t>شارژ سیم کارت و خرید بسته های اینترنتی</t>
  </si>
  <si>
    <t>وب سرویس بیمه ایران</t>
  </si>
  <si>
    <t>وب سرویس مکنا</t>
  </si>
  <si>
    <t>وب سرویس صراف الکترونیک</t>
  </si>
  <si>
    <t>وب سرویس شرکت پیشرو</t>
  </si>
  <si>
    <t>وب سرویس گرنت اساتید دانشگاه تهران</t>
  </si>
  <si>
    <t>وب سرویس شارژ بن کارت</t>
  </si>
  <si>
    <t>وب سرویس شارژ هدیه کارت</t>
  </si>
  <si>
    <t>کانال صدور کارت CMS</t>
  </si>
  <si>
    <t>وب سرویس شاپ کارت</t>
  </si>
  <si>
    <t>بستام</t>
  </si>
  <si>
    <t>سامانه اس ام اس بانک</t>
  </si>
  <si>
    <t>سامانه سپام</t>
  </si>
  <si>
    <t>پورتال تفاهم نامه</t>
  </si>
  <si>
    <t>پیامک</t>
  </si>
  <si>
    <t>جدول خلاصه برآورد و قیمت پروژه</t>
  </si>
  <si>
    <t>قیمت پروژه (ریال)</t>
  </si>
  <si>
    <t>قیمت منابع انسانی(تخصص ها)</t>
  </si>
  <si>
    <t>سایر هزینه های ریالی</t>
  </si>
  <si>
    <t>هزینه الزامات امنیتی</t>
  </si>
  <si>
    <t>قیمت پشتیبانی پروژه</t>
  </si>
  <si>
    <t>قیمت پشتیبانی (ریال)</t>
  </si>
  <si>
    <t>فرم ثبت نام</t>
  </si>
  <si>
    <t>فرم تغییر رمز عبور</t>
  </si>
  <si>
    <t>فرم تنظیم سوال امنیتی</t>
  </si>
  <si>
    <t>فرم ایجاد رمز ورود جدید</t>
  </si>
  <si>
    <t>فرم بروزرسانی اطلاعات شخصی</t>
  </si>
  <si>
    <t>استعلام تراکنش ها</t>
  </si>
  <si>
    <t>کیف پول</t>
  </si>
  <si>
    <t xml:space="preserve">سرویس ارسال کد تایید </t>
  </si>
  <si>
    <t>سرویس مدیریت جلسات (session managemet)Security</t>
  </si>
  <si>
    <t>سرویس ارسال کد یکبارمصرف(otp)</t>
  </si>
  <si>
    <t xml:space="preserve">رابط کاربری صفحه ی اصلی </t>
  </si>
  <si>
    <t>رابط کاربری داشبورد</t>
  </si>
  <si>
    <t>سرویس احراز هویت کاربر (شامل احراز هویت بیومتریک)</t>
  </si>
  <si>
    <t>سرویس اطلاع رسانی</t>
  </si>
  <si>
    <t>رابط کاربری اطلاع رسانی</t>
  </si>
  <si>
    <t>رابط کاربری افزایش موجودی کیف پول</t>
  </si>
  <si>
    <t>رابط کاربری برداشت موجودی از کیف پول</t>
  </si>
  <si>
    <t>رابط کاربری انتقال کیف به کیف</t>
  </si>
  <si>
    <t xml:space="preserve">فرم لاگین </t>
  </si>
  <si>
    <t xml:space="preserve">فرم فراموشی رمز عبور </t>
  </si>
  <si>
    <t xml:space="preserve">سرویس افزایش موجودی کیف پول </t>
  </si>
  <si>
    <t>سرویس برداشت موجودی از کیف پول</t>
  </si>
  <si>
    <t xml:space="preserve">سرویس انتقال کیف به کیف </t>
  </si>
  <si>
    <t>سرویس صورتحساب کیف پول</t>
  </si>
  <si>
    <t>رابط کاربری گزارش صورتحساب کیف پول</t>
  </si>
  <si>
    <t xml:space="preserve"> سرویس بارگذاری و نمایش تصویر </t>
  </si>
  <si>
    <t>رابط کاربری بارگذاری و نمایش تصویر</t>
  </si>
  <si>
    <t>ویرایش 1
1403/03/23
طبقه بندی: محرمانه</t>
  </si>
  <si>
    <t>طراحی کیف پول</t>
  </si>
  <si>
    <t>1403-03-20</t>
  </si>
  <si>
    <t>رادمهر طالبی</t>
  </si>
  <si>
    <t>نریمان وطنخواه</t>
  </si>
  <si>
    <t>55ِD342</t>
  </si>
  <si>
    <t>سرویس پرداخت خودکار</t>
  </si>
  <si>
    <t>رابط کاربری پرداخت خودکار</t>
  </si>
  <si>
    <t>RE</t>
  </si>
  <si>
    <t xml:space="preserve">راه حل پیشنهادی </t>
  </si>
  <si>
    <t>احتمال رخداد</t>
  </si>
  <si>
    <t xml:space="preserve">شدت اثر </t>
  </si>
  <si>
    <t xml:space="preserve">دسته بندی  </t>
  </si>
  <si>
    <t>تحریم و عدم دسترسی به Xamarine</t>
  </si>
  <si>
    <t>کد اندروید و IOS به زبان برنامه نویسی مجزا اجرا میشود و  تحریم ها را با استفاده از VPN با IP ثابت کنترل میشود</t>
  </si>
  <si>
    <t>PE</t>
  </si>
  <si>
    <t>2%</t>
  </si>
  <si>
    <t>بالاتر بودن سطح چت بات هوش مصنوعی و فراترا از نیاز های مشتری</t>
  </si>
  <si>
    <t>40%</t>
  </si>
  <si>
    <t>BU</t>
  </si>
  <si>
    <t>2</t>
  </si>
  <si>
    <t>5</t>
  </si>
  <si>
    <t>وظایف و ویژگی های هوش مصنوعی را بیش از حد پیچیده نشود و
نظارت بر تلاش های انجام شده برای توسعه مدل هوش مصنوعی
کمتر بر آموزش روی مدل انجام شود</t>
  </si>
  <si>
    <t>از دست دادن دیتا کاربران</t>
  </si>
  <si>
    <t>10%</t>
  </si>
  <si>
    <t>TE</t>
  </si>
  <si>
    <t>مداوم اطلاعات و دیتای یوزر ها بک آپ گرفته شود و از مدل های استاندارد برای اطمینان از امنیت نگهداری دیتا استفاده شود</t>
  </si>
  <si>
    <t xml:space="preserve">down شدن سرور ها </t>
  </si>
  <si>
    <t>فراهم سازی سرور های بک آپ و مانیتورینگ سلامت سرور ها</t>
  </si>
  <si>
    <t xml:space="preserve">تحریم و از دسترس خارج شدن ابزار های ورژن کنترل </t>
  </si>
  <si>
    <t>استفاده از ورژن کنترل های دیگر مثل VSVC و تحقیق درباره ابزار جایگزین</t>
  </si>
  <si>
    <t>کثیف بودن دیتا و دشواری تمیز کردن آن</t>
  </si>
  <si>
    <t xml:space="preserve">40% </t>
  </si>
  <si>
    <t xml:space="preserve">تخصیص زمان بیشتر برای تمیز کردن دیتا و مانیتور کردن آن </t>
  </si>
  <si>
    <t>اشکال در سرویس ارسال پیامک</t>
  </si>
  <si>
    <t>محدوده "همکاری با مغازه ها" ممکن است آنطور که انتظار می رود برای ذینفعان مفید نباشد</t>
  </si>
  <si>
    <t>ریسپانسیو بودن رابط کاربری</t>
  </si>
  <si>
    <t>30%</t>
  </si>
  <si>
    <t>20%</t>
  </si>
  <si>
    <t>3</t>
  </si>
  <si>
    <t>4</t>
  </si>
  <si>
    <t xml:space="preserve">مشاوره گرفتن از بانک رسالت در انتخاب مناسب ترین اپراتور فراهم کننده سرویس ارسال پیامک </t>
  </si>
  <si>
    <t>مانیتور کردن دلایل مختلف و  درخواست تبلیغات از ذینفعان</t>
  </si>
  <si>
    <t xml:space="preserve">بکارگیری متخصصین فرانت اند و انتخاب و استفاده صحیح از ابزار مناسب و تخصیص زمان بیشتر برای توسعه رابط کاربری </t>
  </si>
  <si>
    <t>8M</t>
  </si>
  <si>
    <t>18M</t>
  </si>
  <si>
    <t>9M</t>
  </si>
  <si>
    <t>16M</t>
  </si>
  <si>
    <t>عدم دسترسی کافی به اطلاعات بانکی توسط مدل هوش مصنوعی</t>
  </si>
  <si>
    <t>TE/BU</t>
  </si>
  <si>
    <t xml:space="preserve">ایجاد محدودیت در سوال های پرسیده شده ، اطلاعات محرمانه و دیتای در دسترس مدل </t>
  </si>
  <si>
    <t>35%</t>
  </si>
  <si>
    <t>تقسیم پروژه به فاز های کوچکتر و مدیریت پذیره ، استفاده از روش های توسعه agile برای افزایش انعطاف پذیری و برگزاری جلسات منظم ارزیابی و باربینی پیشرفت با ذینفعان</t>
  </si>
  <si>
    <t>25%</t>
  </si>
  <si>
    <t>HR</t>
  </si>
  <si>
    <t>ریسک های جزئی</t>
  </si>
  <si>
    <t>نجام تحلیل‌های فنی جامع و دقیق در مراحل اولیه پروژه، مشاوره با کارشناسان و متخصصان فنی برای ارزیابی نیازمندی‌ها، اجرای تست‌های عملکردی و شبیه‌سازی‌های فنی برای ارزیابی زیرساخت‌ها، و تهیه برنامه‌های پشتیبان و افزایشی برای مقابله با کمبودهای احتمالی.</t>
  </si>
  <si>
    <t>تهیه برنامه زمان‌بندی دقیق برای تأمین زیرساخت‌ها و پیگیری مداوم، ایجاد قراردادهای الزام‌آور با تامین‌کنندگان و کارفرما برای تضمین تحویل به‌موقع، برگزاری جلسات منظم برای بررسی پیشرفت و شناسایی موانع، و داشتن برنامه‌های جایگزین برای تامین زیرساخت‌ها در صورت بروز تأخیر.</t>
  </si>
  <si>
    <t>EX</t>
  </si>
  <si>
    <t>15%</t>
  </si>
  <si>
    <t>QU</t>
  </si>
  <si>
    <t>OP</t>
  </si>
  <si>
    <t>انجام تحلیل فرآیندهای کسب‌وکار به صورت جامع و مستمر، استفاده از ابزارهای تحلیل فرآیند برای شناسایی نقاط ضعف و نیاز به بهبود، برگزاری جلسات مشاوره با کارشناسان و ذینفعان برای بازبینی فرآیندها، و ایجاد برنامه‌های مهندسی مجدد فرآیندها بر اساس یافته‌های تحلیل‌ها و بازخوردها.</t>
  </si>
  <si>
    <t>ایجاد و پیاده‌سازی یک برنامه جامع تضمین کیفیت که شامل معیارها و استانداردهای کیفیت طراحی و انطباق باشد، استفاده از فرآیندهای بازبینی و تست منظم برای ارزیابی کیفیت، آموزش تیم‌ها در زمینه اهمیت و روش‌های تضمین کیفیت، و برگزاری جلسات منظم بازبینی کیفیت با ذینفعان برای شناسایی و رفع مشکلات کیفیت</t>
  </si>
  <si>
    <t>استفاده از ابزارهای مدیریت پروژه و ارتباطات برای هماهنگی بهتر بین اعضای تیم، تعریف نقش‌ها و مسئولیت‌های دقیق برای هر یک از اعضای تیم، برگزاری جلسات منظم هماهنگی و پیگیری پیشرفت، و ایجاد مستندات جامع و شفاف برای تسهیل انتقال اطلاعات و دانش بین تیم‌های مختل</t>
  </si>
  <si>
    <t>ایجاد تعادل بین الزامات کاربردی و کیفیت فنی از طریق تدوین معیارهای کیفیت مشخص، انجام تست‌ها و ارزیابی‌های منظم کیفیت فنی در طول پروژه، استفاده از استانداردهای صنعتی برای تضمین کیفیت، و برگزاری جلسات بازبینی با تیم فنی و ذینفعان برای ارزیابی و بهبود کیفیت فنی محصولات و خدمات</t>
  </si>
  <si>
    <t>ایجاد برنامه‌های مدیریت بحران و برنامه‌های جایگزین، برقراری ارتباط مداوم با نهادهای رگولاتوری و تنظیمی برای پیش‌بینی تغییرات احتمالی، تهیه برنامه زمان‌بندی منعطف و قابلیت تطبیق با شرایط جدید، و تعیین تیم‌های تخصصی برای مدیریت پروژه‌های فورس ماژور و همزمان</t>
  </si>
  <si>
    <t>انجام تحلیل اولیه جامع برای شناسایی تمامی ابعاد کاری، استفاده از مشاوران و متخصصان حوزه برای کمک به شناخت بهتر پروژه، اجرای فازهای ابتدایی پروژه به صورت پایلوت (آزمایشی) برای شناسایی مسائل و مشکلات احتمالی، و برگزاری جلسات مداوم با ذینفعان برای بررسی و ارزیابی پیشرفت پروژه و شناسایی ابعاد ناشناخته جدید</t>
  </si>
  <si>
    <t>شناسایی و ارزیابی تامین‌کنندگان جایگزین به‌صورت پیش‌گیرانه، ایجاد قراردادهای بلندمدت با تامین‌کنندگان اصلی، تهیه موجودی اضافی از منابع حیاتی در صورت امکان، و پیگیری و تعامل مداوم با تامین‌کنندگان برای تضمین تحویل به‌موقع منابع</t>
  </si>
  <si>
    <t>ایجاد برنامه‌های آموزش و توسعه مهارت‌های داخلی، همکاری با دانشگاه‌ها و مؤسسات آموزشی برای جذب استعدادهای تازه فارغ‌التحصیل، استفاده از مشاوران و پیمانکاران خارجی برای تکمیل تیم پروژه در کوتاه‌مدت، و ایجاد برنامه‌های انگیزشی برای جذب و نگهداشت نیروی متخصص</t>
  </si>
  <si>
    <t>اجرای تحلیل دقیق ریسک آی‌تی در ابتدای پروژه، تهیه و امضای مستندات توافقنامه‌ی ریسک آی‌تی با کارفرما، برگزاری جلسات منظم برای ارزیابی و مرور ریسک‌های آی‌تی در طول پروژه، و ایجاد یک سیستم مدیریت تغییرات که درخواست‌های تغییرات را به طور دقیق ارزیابی و مدیریت کند</t>
  </si>
  <si>
    <t>انجام تحلیل‌های امنیتی جامع در مراحل اولیه پروژه، بهره‌گیری از مشاوران و متخصصان امنیت سایبری برای شناسایی و ارزیابی تهدیدات احتمالی، پیاده‌سازی پروتکل‌ها و استانداردهای امنیتی به‌روز، و ایجاد برنامه‌های آموزشی و تمرینی برای تیم پروژه در زمینه امنیت</t>
  </si>
  <si>
    <t>برگزاری جلسات مذاکره و توضیح اهمیت الزامات امنیتی برای کارفرما، تهیه مستندات و گزارشات فنی برای نشان دادن نیاز به الزامات امنیتی، استفاده از مشاوران مستقل برای ارائه نظر کارشناسی، و تهیه توافقنامه‌های رسمی که الزامات امنیتی را به‌طور دقیق مشخص و الزام‌آور کند</t>
  </si>
  <si>
    <t>ایجاد برنامه جانشینی و آموزش برای منابع انسانی کلیدی، ایجاد انگیزه‌های مالی و غیرمالی برای نگهداشت کارکنان، و مستندسازی دقیق فرآیندها و دانش پروژه برای کاهش وابستگی به افراد خاص</t>
  </si>
  <si>
    <t>تعریف دقیق و شفاف نیازمندی‌ها در ابتدای پروژه، برگزاری جلسات منظم با کارفرما برای تأیید و بازبینی نیازمندی‌ها، و استفاده از یک سیستم مدیریت تغییرات برای ثبت و پیگیری تغییرات نیازمندی‌ها</t>
  </si>
  <si>
    <t>برگزاری دوره‌های آموزشی و کارگاه‌های تخصصی برای تیم پروژه، استخدام یا مشاوره با متخصصان با تجربه در فناوری منتخب، اجرای پروژه‌های پایلوت کوچک برای کسب تجربه عملی، و ایجاد مستندات و منابع آموزشی داخلی برای تسهیل یادگیری و انتقال دانش.</t>
  </si>
  <si>
    <t>انجام تحلیل دقیق نیازمندی‌ها و مقایسه پلتفرم‌ها و چارچوب‌های مختلف، مشاوره با متخصصان و کارشناسان فناوری برای انتخاب بهینه، انجام تست‌های اولیه برای ارزیابی سازگاری و کارایی پلتفرم‌ها، و ایجاد پروتوتایپ‌ها (نمونه‌های اولیه) برای شناسایی مشکلات احتمالی قبل از اجرای نهایی.</t>
  </si>
  <si>
    <t>پایش مستمر تحولات فناوری و بروز رسانی دانش تیم پروژه، ایجاد فرآیندهای انعطاف‌پذیر برای پذیرش تغییرات و تطبیق با فناوری‌های جدید، برگزاری جلسات منظم بازبینی فناوری و ارزیابی تاثیرات احتمالی تغییرات، و تهیه برنامه‌های آموزشی و توسعه مهارت‌ها برای تیم پروژه.</t>
  </si>
  <si>
    <t xml:space="preserve"> مستندسازی دقیق تمامی تصمیمات، نیازمندی‌ها و پیشرفت‌های پروژه به‌طور مداوم، برگزاری جلسات انتقال دانش و اطلاعات با کارفرمای جدید، ایجاد توافقنامه‌های رسمی که تضمین‌کننده تعهدات و مسئولیت‌های هر دو طرف باشد، و حفظ ارتباط مداوم و شفاف با تمام ذینفعان پروژه برای جلوگیری از سوءتفاهمات و اطمینان از همسویی اهداف.</t>
  </si>
  <si>
    <t>مستندسازی دقیق فرآیندها و تصمیمات پروژه، ایجاد برنامه‌های جانشینی و انتقال دانش برای افراد کلیدی، برگزاری جلسات منظم هماهنگی و پیگیری پیشرفت پروژه با تمامی ذینفعان، و ایجاد سیستم‌های مدیریت پروژه که به کاهش وابستگی به افراد خاص کمک کند.</t>
  </si>
  <si>
    <t>حضوری عوامل بیرونی(تغییر قوانین و مقررات ، شرایط اقتصادی و ... )</t>
  </si>
  <si>
    <t>پایش مستمر محیط بیرونی و تحلیل اثرات احتمالی آن بر پروژه، برقراری ارتباط مداوم با نهادهای رگولاتوری و ذینفعان بیرونی برای پیش‌بینی تغییرات، ایجاد سناریوها و برنامه‌های اضطراری برای مواجهه با شرایط غیرمنتظره، و داشتن تیم‌های تخصصی برای مدیریت بحران و تطبیق با شرایط جدید.</t>
  </si>
  <si>
    <t>مستندسازی دقیق اهداف و مزایای پروژه برای مدیران ارشد، برگزاری جلسات منظم گزارش‌دهی و به‌روزرسانی پیشرفت پروژه با مدیران ارشد، درگیر کردن مدیران ارشد در تصمیم‌گیری‌های کلیدی پروژه، و ایجاد برنامه‌های ارتباطی موثر برای اطمینان از همسویی و حمایت مستمر مدیران ارشد از پروژه.</t>
  </si>
  <si>
    <t xml:space="preserve">متوسط </t>
  </si>
  <si>
    <t>مینا مدیری زاده</t>
  </si>
  <si>
    <t xml:space="preserve">مهدیه اسعدی </t>
  </si>
  <si>
    <t>جمع آوری و پیش پردازش داده برای مدل هوش مصنوعی</t>
  </si>
  <si>
    <t xml:space="preserve">ارزیابی و تست مدل </t>
  </si>
  <si>
    <t>رابط کاربری مدل هوش مصنوعی</t>
  </si>
  <si>
    <t>طراحی معماری rnn</t>
  </si>
  <si>
    <t>اموزش مدل هوش مصنوعی</t>
  </si>
  <si>
    <t xml:space="preserve">استقرار مدل هوش مصنوعی </t>
  </si>
  <si>
    <t xml:space="preserve">نگهداری و بروزرسانی مدل هوش مصنوعی </t>
  </si>
  <si>
    <t>شرکت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</si>
</sst>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_-;_-* #,##0.00\-;_-* &quot;-&quot;??_-;_-@_-"/>
    <numFmt numFmtId="165" formatCode="0;[Red]0"/>
    <numFmt numFmtId="166" formatCode="0.0;[Red]0.0"/>
    <numFmt numFmtId="167" formatCode="#,##0_ ;[Red]\-#,##0\ "/>
    <numFmt numFmtId="168" formatCode="#,##0.0"/>
    <numFmt numFmtId="169" formatCode="#,##0.000"/>
    <numFmt numFmtId="170" formatCode="0.0000"/>
  </numFmts>
  <fonts count="61" x14ac:knownFonts="1">
    <font>
      <sz val="11"/>
      <color theme="1"/>
      <name val="Calibri"/>
      <family val="2"/>
      <charset val="178"/>
      <scheme val="minor"/>
    </font>
    <font>
      <sz val="12"/>
      <color theme="1"/>
      <name val="B Nazanin"/>
      <charset val="178"/>
    </font>
    <font>
      <b/>
      <sz val="12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0"/>
      <name val="B Nazanin"/>
      <charset val="178"/>
    </font>
    <font>
      <sz val="11"/>
      <color theme="1"/>
      <name val="Calibri"/>
      <family val="2"/>
      <charset val="178"/>
      <scheme val="minor"/>
    </font>
    <font>
      <u/>
      <sz val="11"/>
      <color theme="10"/>
      <name val="Calibri"/>
      <family val="2"/>
      <charset val="178"/>
      <scheme val="minor"/>
    </font>
    <font>
      <sz val="12"/>
      <name val="B Nazanin"/>
      <charset val="178"/>
    </font>
    <font>
      <sz val="12"/>
      <color rgb="FFFFFF00"/>
      <name val="B Nazanin"/>
      <charset val="178"/>
    </font>
    <font>
      <sz val="11"/>
      <name val="B Nazanin"/>
      <charset val="178"/>
    </font>
    <font>
      <b/>
      <sz val="11"/>
      <color rgb="FFFA7D00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color theme="1"/>
      <name val="Wingdings"/>
      <charset val="2"/>
    </font>
    <font>
      <b/>
      <sz val="11"/>
      <color theme="1"/>
      <name val="B Nazanin"/>
      <charset val="178"/>
    </font>
    <font>
      <b/>
      <sz val="14"/>
      <color theme="1"/>
      <name val="B Nazanin"/>
      <charset val="178"/>
    </font>
    <font>
      <b/>
      <sz val="14"/>
      <name val="B Nazanin"/>
      <charset val="178"/>
    </font>
    <font>
      <b/>
      <sz val="12"/>
      <name val="B Nazanin"/>
      <charset val="178"/>
    </font>
    <font>
      <b/>
      <sz val="16"/>
      <color rgb="FF002060"/>
      <name val="B Nazanin"/>
      <charset val="178"/>
    </font>
    <font>
      <sz val="14"/>
      <color rgb="FFFFFFCC"/>
      <name val="B Nazanin"/>
      <charset val="178"/>
    </font>
    <font>
      <b/>
      <sz val="12"/>
      <color rgb="FFFFFFCC"/>
      <name val="B Nazanin"/>
      <charset val="178"/>
    </font>
    <font>
      <sz val="16"/>
      <color theme="1"/>
      <name val="B Nazanin"/>
      <charset val="178"/>
    </font>
    <font>
      <b/>
      <sz val="16"/>
      <color theme="1"/>
      <name val="B Nazanin"/>
      <charset val="178"/>
    </font>
    <font>
      <b/>
      <sz val="16"/>
      <color theme="0"/>
      <name val="B Zar"/>
      <charset val="178"/>
    </font>
    <font>
      <b/>
      <sz val="14"/>
      <color theme="1"/>
      <name val="B Zar"/>
      <charset val="178"/>
    </font>
    <font>
      <b/>
      <sz val="14"/>
      <color rgb="FF002060"/>
      <name val="B Nazanin"/>
      <charset val="178"/>
    </font>
    <font>
      <sz val="14"/>
      <color theme="1"/>
      <name val="Calibri"/>
      <family val="2"/>
      <charset val="178"/>
      <scheme val="minor"/>
    </font>
    <font>
      <sz val="11"/>
      <color rgb="FFFF0000"/>
      <name val="Calibri"/>
      <family val="2"/>
      <charset val="178"/>
      <scheme val="minor"/>
    </font>
    <font>
      <sz val="14"/>
      <color rgb="FF0070C0"/>
      <name val="B Nazanin"/>
      <charset val="178"/>
    </font>
    <font>
      <b/>
      <sz val="12"/>
      <color rgb="FF0070C0"/>
      <name val="B Nazanin"/>
      <charset val="178"/>
    </font>
    <font>
      <b/>
      <sz val="16"/>
      <color theme="4" tint="0.79998168889431442"/>
      <name val="B Yekan"/>
      <charset val="178"/>
    </font>
    <font>
      <b/>
      <sz val="16"/>
      <color theme="0"/>
      <name val="B Yekan"/>
      <charset val="178"/>
    </font>
    <font>
      <sz val="9"/>
      <color theme="1"/>
      <name val="Calibri"/>
      <family val="2"/>
      <charset val="178"/>
      <scheme val="minor"/>
    </font>
    <font>
      <sz val="11"/>
      <color theme="1"/>
      <name val="Mitra"/>
      <charset val="178"/>
    </font>
    <font>
      <sz val="11"/>
      <color theme="1"/>
      <name val="B Nazanin"/>
      <charset val="178"/>
    </font>
    <font>
      <b/>
      <sz val="12"/>
      <color theme="3" tint="0.59999389629810485"/>
      <name val="B Nazanin"/>
      <charset val="178"/>
    </font>
    <font>
      <sz val="10"/>
      <color theme="1"/>
      <name val="Calibri"/>
      <family val="2"/>
      <charset val="178"/>
      <scheme val="minor"/>
    </font>
    <font>
      <sz val="12"/>
      <color theme="1"/>
      <name val="Calibri"/>
      <family val="2"/>
      <scheme val="minor"/>
    </font>
    <font>
      <b/>
      <sz val="14"/>
      <color rgb="FF1645DC"/>
      <name val="B Zar"/>
      <charset val="178"/>
    </font>
    <font>
      <b/>
      <sz val="14"/>
      <color rgb="FF1645DC"/>
      <name val="B Nazanin"/>
      <charset val="178"/>
    </font>
    <font>
      <b/>
      <sz val="20"/>
      <color theme="1"/>
      <name val="B Nazanin"/>
      <charset val="178"/>
    </font>
    <font>
      <sz val="13"/>
      <color theme="1"/>
      <name val="B Nazanin"/>
      <charset val="178"/>
    </font>
    <font>
      <sz val="14"/>
      <name val="B Nazanin"/>
      <charset val="178"/>
    </font>
    <font>
      <b/>
      <sz val="14"/>
      <color theme="9" tint="-0.499984740745262"/>
      <name val="B Nazanin"/>
      <charset val="178"/>
    </font>
    <font>
      <b/>
      <sz val="18"/>
      <color rgb="FF1645DC"/>
      <name val="B Nazanin"/>
      <charset val="178"/>
    </font>
    <font>
      <b/>
      <sz val="12"/>
      <color rgb="FF1645DC"/>
      <name val="B Nazanin"/>
      <charset val="178"/>
    </font>
    <font>
      <b/>
      <sz val="16"/>
      <color theme="0"/>
      <name val="B Nazanin"/>
      <charset val="178"/>
    </font>
    <font>
      <b/>
      <sz val="11"/>
      <color rgb="FF0033CC"/>
      <name val="B Nazanin"/>
      <charset val="178"/>
    </font>
    <font>
      <b/>
      <sz val="14"/>
      <color rgb="FF1645DC"/>
      <name val="Arial"/>
      <family val="2"/>
    </font>
    <font>
      <b/>
      <sz val="14"/>
      <color theme="0"/>
      <name val="B Nazanin"/>
      <charset val="178"/>
    </font>
    <font>
      <b/>
      <sz val="12"/>
      <color rgb="FF1645DC"/>
      <name val="Arial"/>
      <family val="2"/>
    </font>
    <font>
      <sz val="8"/>
      <color theme="1"/>
      <name val="B Yekan"/>
      <charset val="178"/>
    </font>
    <font>
      <b/>
      <sz val="18"/>
      <color rgb="FFCC0066"/>
      <name val="B Yekan"/>
      <charset val="178"/>
    </font>
    <font>
      <b/>
      <sz val="22"/>
      <color rgb="FFC00000"/>
      <name val="B Titr"/>
      <charset val="178"/>
    </font>
    <font>
      <sz val="14"/>
      <color theme="1"/>
      <name val="Arial"/>
      <family val="2"/>
    </font>
    <font>
      <sz val="11"/>
      <color theme="7" tint="0.39997558519241921"/>
      <name val="Calibri"/>
      <family val="2"/>
      <charset val="178"/>
      <scheme val="minor"/>
    </font>
    <font>
      <sz val="11"/>
      <color theme="7" tint="0.59999389629810485"/>
      <name val="Calibri"/>
      <family val="2"/>
      <charset val="178"/>
      <scheme val="minor"/>
    </font>
    <font>
      <sz val="11"/>
      <color theme="7" tint="-0.249977111117893"/>
      <name val="Calibri"/>
      <family val="2"/>
      <charset val="178"/>
      <scheme val="minor"/>
    </font>
    <font>
      <sz val="12"/>
      <color rgb="FF9C0006"/>
      <name val="B Nazanin"/>
      <charset val="178"/>
    </font>
    <font>
      <b/>
      <sz val="11"/>
      <color theme="1"/>
      <name val="B Zar"/>
      <charset val="178"/>
    </font>
    <font>
      <b/>
      <sz val="24"/>
      <color theme="4"/>
      <name val="B Zar"/>
      <charset val="178"/>
    </font>
    <font>
      <b/>
      <sz val="16"/>
      <color theme="1"/>
      <name val="B Zar"/>
      <charset val="178"/>
    </font>
  </fonts>
  <fills count="5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theme="5" tint="0.79998168889431442"/>
      </patternFill>
    </fill>
    <fill>
      <patternFill patternType="solid">
        <fgColor theme="5" tint="0.79998168889431442"/>
        <bgColor theme="6" tint="0.79998168889431442"/>
      </patternFill>
    </fill>
    <fill>
      <patternFill patternType="solid">
        <fgColor theme="5" tint="-0.249977111117893"/>
        <bgColor theme="6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BCDF7"/>
        <bgColor indexed="64"/>
      </patternFill>
    </fill>
    <fill>
      <patternFill patternType="solid">
        <fgColor rgb="FFF3E2FA"/>
        <bgColor indexed="64"/>
      </patternFill>
    </fill>
    <fill>
      <patternFill patternType="solid">
        <fgColor rgb="FFF3E2FA"/>
        <bgColor theme="5" tint="0.5999938962981048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4FFC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3EBC3"/>
        <bgColor indexed="64"/>
      </patternFill>
    </fill>
    <fill>
      <patternFill patternType="solid">
        <fgColor rgb="FFCFF0B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FF0BE"/>
        <bgColor theme="5" tint="0.79998168889431442"/>
      </patternFill>
    </fill>
    <fill>
      <patternFill patternType="solid">
        <fgColor rgb="FFCFF0BE"/>
        <bgColor theme="5" tint="0.59999389629810485"/>
      </patternFill>
    </fill>
    <fill>
      <patternFill patternType="solid">
        <fgColor theme="4" tint="0.79998168889431442"/>
        <bgColor theme="5" tint="0.79998168889431442"/>
      </patternFill>
    </fill>
    <fill>
      <patternFill patternType="solid">
        <fgColor theme="4" tint="0.79998168889431442"/>
        <bgColor theme="5" tint="0.59999389629810485"/>
      </patternFill>
    </fill>
    <fill>
      <patternFill patternType="solid">
        <fgColor theme="9" tint="0.79998168889431442"/>
        <bgColor theme="5" tint="0.79998168889431442"/>
      </patternFill>
    </fill>
    <fill>
      <patternFill patternType="solid">
        <fgColor theme="9" tint="0.79998168889431442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79998168889431442"/>
        <bgColor theme="5" tint="0.59999389629810485"/>
      </patternFill>
    </fill>
    <fill>
      <patternFill patternType="solid">
        <fgColor theme="7" tint="0.79998168889431442"/>
        <bgColor theme="5" tint="0.79998168889431442"/>
      </patternFill>
    </fill>
    <fill>
      <patternFill patternType="solid">
        <fgColor theme="7" tint="0.79998168889431442"/>
        <bgColor theme="5" tint="0.59999389629810485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DDBEB"/>
        <bgColor indexed="64"/>
      </patternFill>
    </fill>
    <fill>
      <patternFill patternType="solid">
        <fgColor theme="8" tint="0.79998168889431442"/>
        <bgColor theme="5" tint="0.59999389629810485"/>
      </patternFill>
    </fill>
    <fill>
      <patternFill patternType="solid">
        <fgColor rgb="FFFBEEE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7CE"/>
        <bgColor indexed="64"/>
      </patternFill>
    </fill>
  </fills>
  <borders count="5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164" fontId="5" fillId="0" borderId="0"/>
    <xf numFmtId="0" fontId="6" fillId="0" borderId="0"/>
    <xf numFmtId="9" fontId="5" fillId="0" borderId="0"/>
    <xf numFmtId="0" fontId="10" fillId="21" borderId="6"/>
  </cellStyleXfs>
  <cellXfs count="4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4" fillId="11" borderId="2" xfId="0" applyFont="1" applyFill="1" applyBorder="1" applyAlignment="1">
      <alignment horizontal="center" vertical="center"/>
    </xf>
    <xf numFmtId="164" fontId="1" fillId="0" borderId="0" xfId="0" applyNumberFormat="1" applyFont="1"/>
    <xf numFmtId="164" fontId="1" fillId="0" borderId="0" xfId="1" applyFont="1"/>
    <xf numFmtId="9" fontId="1" fillId="7" borderId="1" xfId="3" applyFont="1" applyFill="1" applyBorder="1" applyAlignment="1">
      <alignment horizontal="center"/>
    </xf>
    <xf numFmtId="9" fontId="1" fillId="8" borderId="1" xfId="3" applyFont="1" applyFill="1" applyBorder="1" applyAlignment="1">
      <alignment horizontal="center"/>
    </xf>
    <xf numFmtId="0" fontId="1" fillId="2" borderId="1" xfId="0" applyFont="1" applyFill="1" applyBorder="1" applyAlignment="1" applyProtection="1">
      <alignment horizontal="right" vertical="center"/>
      <protection locked="0"/>
    </xf>
    <xf numFmtId="0" fontId="4" fillId="11" borderId="12" xfId="0" applyFont="1" applyFill="1" applyBorder="1" applyAlignment="1">
      <alignment horizontal="center"/>
    </xf>
    <xf numFmtId="0" fontId="4" fillId="11" borderId="13" xfId="0" applyFont="1" applyFill="1" applyBorder="1" applyAlignment="1">
      <alignment horizontal="center"/>
    </xf>
    <xf numFmtId="0" fontId="1" fillId="10" borderId="12" xfId="0" applyFont="1" applyFill="1" applyBorder="1" applyAlignment="1">
      <alignment horizontal="center"/>
    </xf>
    <xf numFmtId="0" fontId="1" fillId="10" borderId="13" xfId="0" applyFont="1" applyFill="1" applyBorder="1" applyAlignment="1">
      <alignment horizontal="center"/>
    </xf>
    <xf numFmtId="0" fontId="1" fillId="10" borderId="14" xfId="0" applyFont="1" applyFill="1" applyBorder="1" applyAlignment="1">
      <alignment horizontal="center"/>
    </xf>
    <xf numFmtId="0" fontId="1" fillId="10" borderId="15" xfId="0" applyFont="1" applyFill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center" readingOrder="2"/>
    </xf>
    <xf numFmtId="0" fontId="0" fillId="0" borderId="0" xfId="0" applyAlignment="1">
      <alignment vertical="center"/>
    </xf>
    <xf numFmtId="0" fontId="11" fillId="21" borderId="7" xfId="4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9" fontId="7" fillId="0" borderId="0" xfId="3" applyFont="1" applyAlignment="1">
      <alignment horizontal="center"/>
    </xf>
    <xf numFmtId="9" fontId="4" fillId="0" borderId="0" xfId="3" applyFont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3" applyFont="1"/>
    <xf numFmtId="0" fontId="1" fillId="7" borderId="1" xfId="0" applyFont="1" applyFill="1" applyBorder="1" applyAlignment="1">
      <alignment horizontal="right" indent="1"/>
    </xf>
    <xf numFmtId="0" fontId="8" fillId="12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right" indent="1"/>
    </xf>
    <xf numFmtId="9" fontId="8" fillId="12" borderId="1" xfId="3" applyFont="1" applyFill="1" applyBorder="1" applyAlignment="1">
      <alignment horizontal="center"/>
    </xf>
    <xf numFmtId="0" fontId="1" fillId="0" borderId="0" xfId="0" applyFont="1" applyAlignment="1">
      <alignment vertical="center"/>
    </xf>
    <xf numFmtId="165" fontId="7" fillId="7" borderId="1" xfId="0" applyNumberFormat="1" applyFont="1" applyFill="1" applyBorder="1" applyAlignment="1" applyProtection="1">
      <alignment horizontal="center" vertical="center"/>
      <protection locked="0"/>
    </xf>
    <xf numFmtId="165" fontId="7" fillId="7" borderId="1" xfId="0" applyNumberFormat="1" applyFont="1" applyFill="1" applyBorder="1" applyAlignment="1">
      <alignment horizontal="center" vertical="center"/>
    </xf>
    <xf numFmtId="165" fontId="7" fillId="8" borderId="1" xfId="0" applyNumberFormat="1" applyFont="1" applyFill="1" applyBorder="1" applyAlignment="1" applyProtection="1">
      <alignment horizontal="center" vertical="center"/>
      <protection locked="0"/>
    </xf>
    <xf numFmtId="165" fontId="7" fillId="8" borderId="1" xfId="0" applyNumberFormat="1" applyFont="1" applyFill="1" applyBorder="1" applyAlignment="1">
      <alignment horizontal="center" vertical="center"/>
    </xf>
    <xf numFmtId="165" fontId="8" fillId="12" borderId="1" xfId="0" applyNumberFormat="1" applyFont="1" applyFill="1" applyBorder="1" applyAlignment="1">
      <alignment horizontal="center" vertical="center"/>
    </xf>
    <xf numFmtId="165" fontId="8" fillId="20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6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>
      <alignment horizontal="center" vertical="center"/>
    </xf>
    <xf numFmtId="166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right" vertical="center" wrapText="1" readingOrder="2"/>
      <protection locked="0"/>
    </xf>
    <xf numFmtId="0" fontId="4" fillId="6" borderId="4" xfId="0" applyFont="1" applyFill="1" applyBorder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12" fillId="0" borderId="0" xfId="0" applyFont="1" applyAlignment="1">
      <alignment horizontal="center" wrapText="1" readingOrder="2"/>
    </xf>
    <xf numFmtId="0" fontId="13" fillId="23" borderId="7" xfId="0" applyFont="1" applyFill="1" applyBorder="1" applyAlignment="1">
      <alignment horizontal="center" vertical="center" wrapText="1"/>
    </xf>
    <xf numFmtId="0" fontId="13" fillId="22" borderId="7" xfId="0" applyFont="1" applyFill="1" applyBorder="1" applyAlignment="1">
      <alignment horizontal="center" vertical="center" wrapText="1"/>
    </xf>
    <xf numFmtId="0" fontId="13" fillId="22" borderId="7" xfId="0" applyFont="1" applyFill="1" applyBorder="1" applyAlignment="1">
      <alignment wrapText="1"/>
    </xf>
    <xf numFmtId="0" fontId="1" fillId="22" borderId="7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horizontal="center" vertical="center"/>
    </xf>
    <xf numFmtId="0" fontId="15" fillId="0" borderId="0" xfId="2" applyFont="1" applyAlignment="1">
      <alignment vertical="center" wrapText="1"/>
    </xf>
    <xf numFmtId="164" fontId="1" fillId="10" borderId="1" xfId="0" applyNumberFormat="1" applyFont="1" applyFill="1" applyBorder="1" applyAlignment="1">
      <alignment horizontal="right"/>
    </xf>
    <xf numFmtId="164" fontId="1" fillId="10" borderId="15" xfId="0" applyNumberFormat="1" applyFont="1" applyFill="1" applyBorder="1" applyAlignment="1">
      <alignment horizontal="right"/>
    </xf>
    <xf numFmtId="0" fontId="18" fillId="9" borderId="7" xfId="0" applyFont="1" applyFill="1" applyBorder="1" applyAlignment="1">
      <alignment vertical="center"/>
    </xf>
    <xf numFmtId="0" fontId="18" fillId="9" borderId="7" xfId="0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center"/>
    </xf>
    <xf numFmtId="49" fontId="1" fillId="2" borderId="1" xfId="0" applyNumberFormat="1" applyFont="1" applyFill="1" applyBorder="1" applyAlignment="1" applyProtection="1">
      <alignment horizontal="right" vertical="center" wrapText="1" readingOrder="2"/>
      <protection locked="0"/>
    </xf>
    <xf numFmtId="165" fontId="1" fillId="8" borderId="1" xfId="0" applyNumberFormat="1" applyFont="1" applyFill="1" applyBorder="1" applyAlignment="1">
      <alignment horizontal="center" vertical="center"/>
    </xf>
    <xf numFmtId="3" fontId="1" fillId="18" borderId="1" xfId="0" applyNumberFormat="1" applyFont="1" applyFill="1" applyBorder="1" applyAlignment="1">
      <alignment horizontal="center" vertical="center"/>
    </xf>
    <xf numFmtId="3" fontId="1" fillId="15" borderId="1" xfId="0" applyNumberFormat="1" applyFont="1" applyFill="1" applyBorder="1" applyAlignment="1">
      <alignment horizontal="center" vertical="center"/>
    </xf>
    <xf numFmtId="0" fontId="21" fillId="18" borderId="0" xfId="0" applyFont="1" applyFill="1" applyAlignment="1">
      <alignment vertical="center"/>
    </xf>
    <xf numFmtId="49" fontId="1" fillId="7" borderId="7" xfId="0" applyNumberFormat="1" applyFont="1" applyFill="1" applyBorder="1" applyAlignment="1" applyProtection="1">
      <alignment horizontal="right" vertical="center"/>
      <protection locked="0"/>
    </xf>
    <xf numFmtId="1" fontId="1" fillId="24" borderId="1" xfId="0" applyNumberFormat="1" applyFont="1" applyFill="1" applyBorder="1" applyAlignment="1">
      <alignment horizontal="center" vertical="center"/>
    </xf>
    <xf numFmtId="1" fontId="1" fillId="25" borderId="1" xfId="0" applyNumberFormat="1" applyFont="1" applyFill="1" applyBorder="1" applyAlignment="1">
      <alignment horizontal="center" vertical="center"/>
    </xf>
    <xf numFmtId="0" fontId="26" fillId="0" borderId="0" xfId="0" applyFont="1"/>
    <xf numFmtId="165" fontId="1" fillId="7" borderId="1" xfId="0" applyNumberFormat="1" applyFont="1" applyFill="1" applyBorder="1" applyAlignment="1">
      <alignment horizontal="center" vertical="center"/>
    </xf>
    <xf numFmtId="0" fontId="0" fillId="12" borderId="0" xfId="0" applyFill="1"/>
    <xf numFmtId="0" fontId="14" fillId="5" borderId="24" xfId="0" applyFont="1" applyFill="1" applyBorder="1" applyAlignment="1">
      <alignment vertical="center"/>
    </xf>
    <xf numFmtId="3" fontId="2" fillId="2" borderId="7" xfId="0" applyNumberFormat="1" applyFont="1" applyFill="1" applyBorder="1" applyAlignment="1">
      <alignment horizontal="center" vertical="center"/>
    </xf>
    <xf numFmtId="0" fontId="17" fillId="28" borderId="7" xfId="0" applyFont="1" applyFill="1" applyBorder="1" applyAlignment="1">
      <alignment horizontal="center" vertical="center"/>
    </xf>
    <xf numFmtId="0" fontId="17" fillId="28" borderId="0" xfId="0" applyFont="1" applyFill="1" applyAlignment="1">
      <alignment horizontal="center" vertical="center"/>
    </xf>
    <xf numFmtId="0" fontId="0" fillId="27" borderId="0" xfId="0" applyFill="1"/>
    <xf numFmtId="3" fontId="24" fillId="28" borderId="7" xfId="0" applyNumberFormat="1" applyFont="1" applyFill="1" applyBorder="1" applyAlignment="1">
      <alignment horizontal="center" vertical="center"/>
    </xf>
    <xf numFmtId="3" fontId="24" fillId="28" borderId="0" xfId="0" applyNumberFormat="1" applyFont="1" applyFill="1" applyAlignment="1">
      <alignment horizontal="center" vertical="center"/>
    </xf>
    <xf numFmtId="3" fontId="25" fillId="27" borderId="0" xfId="0" applyNumberFormat="1" applyFont="1" applyFill="1"/>
    <xf numFmtId="0" fontId="3" fillId="9" borderId="7" xfId="0" applyFont="1" applyFill="1" applyBorder="1" applyAlignment="1">
      <alignment vertical="center"/>
    </xf>
    <xf numFmtId="167" fontId="28" fillId="2" borderId="7" xfId="0" applyNumberFormat="1" applyFont="1" applyFill="1" applyBorder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vertical="center"/>
    </xf>
    <xf numFmtId="49" fontId="2" fillId="8" borderId="7" xfId="0" applyNumberFormat="1" applyFont="1" applyFill="1" applyBorder="1" applyAlignment="1">
      <alignment horizontal="right" vertical="center"/>
    </xf>
    <xf numFmtId="0" fontId="2" fillId="8" borderId="7" xfId="0" applyFont="1" applyFill="1" applyBorder="1" applyAlignment="1">
      <alignment horizontal="center" vertical="top"/>
    </xf>
    <xf numFmtId="0" fontId="16" fillId="8" borderId="21" xfId="0" applyFont="1" applyFill="1" applyBorder="1" applyAlignment="1">
      <alignment horizontal="center" vertical="top"/>
    </xf>
    <xf numFmtId="0" fontId="9" fillId="7" borderId="7" xfId="4" applyFon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 wrapText="1"/>
    </xf>
    <xf numFmtId="49" fontId="9" fillId="7" borderId="21" xfId="4" applyNumberFormat="1" applyFont="1" applyFill="1" applyBorder="1" applyAlignment="1" applyProtection="1">
      <alignment horizontal="right" vertical="center" readingOrder="2"/>
      <protection locked="0"/>
    </xf>
    <xf numFmtId="49" fontId="9" fillId="7" borderId="7" xfId="4" applyNumberFormat="1" applyFont="1" applyFill="1" applyBorder="1" applyAlignment="1" applyProtection="1">
      <alignment horizontal="right" vertical="center" readingOrder="2"/>
      <protection locked="0"/>
    </xf>
    <xf numFmtId="0" fontId="13" fillId="23" borderId="8" xfId="0" applyFont="1" applyFill="1" applyBorder="1" applyAlignment="1">
      <alignment horizontal="center" vertical="center" wrapText="1"/>
    </xf>
    <xf numFmtId="0" fontId="1" fillId="22" borderId="8" xfId="0" applyFont="1" applyFill="1" applyBorder="1" applyAlignment="1">
      <alignment horizontal="center" vertical="center" wrapText="1"/>
    </xf>
    <xf numFmtId="0" fontId="29" fillId="22" borderId="0" xfId="0" applyFont="1" applyFill="1" applyAlignment="1">
      <alignment horizontal="center" vertical="center" wrapText="1"/>
    </xf>
    <xf numFmtId="164" fontId="1" fillId="10" borderId="2" xfId="0" applyNumberFormat="1" applyFont="1" applyFill="1" applyBorder="1" applyAlignment="1">
      <alignment horizontal="right"/>
    </xf>
    <xf numFmtId="0" fontId="1" fillId="10" borderId="2" xfId="0" applyFont="1" applyFill="1" applyBorder="1" applyAlignment="1">
      <alignment horizontal="center"/>
    </xf>
    <xf numFmtId="0" fontId="1" fillId="10" borderId="25" xfId="0" applyFont="1" applyFill="1" applyBorder="1" applyAlignment="1">
      <alignment horizontal="center"/>
    </xf>
    <xf numFmtId="9" fontId="0" fillId="0" borderId="0" xfId="0" applyNumberFormat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33" fillId="0" borderId="7" xfId="0" applyFont="1" applyBorder="1" applyAlignment="1">
      <alignment horizontal="left" vertical="center"/>
    </xf>
    <xf numFmtId="0" fontId="0" fillId="5" borderId="7" xfId="0" applyFill="1" applyBorder="1" applyAlignment="1">
      <alignment horizontal="center" vertical="center"/>
    </xf>
    <xf numFmtId="9" fontId="0" fillId="30" borderId="7" xfId="0" applyNumberFormat="1" applyFill="1" applyBorder="1" applyAlignment="1">
      <alignment horizontal="center" vertical="center"/>
    </xf>
    <xf numFmtId="9" fontId="0" fillId="31" borderId="7" xfId="0" applyNumberFormat="1" applyFill="1" applyBorder="1" applyAlignment="1">
      <alignment horizontal="center" vertical="center"/>
    </xf>
    <xf numFmtId="9" fontId="0" fillId="7" borderId="7" xfId="0" applyNumberForma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36" borderId="7" xfId="0" applyFill="1" applyBorder="1" applyAlignment="1">
      <alignment horizontal="center" vertical="center"/>
    </xf>
    <xf numFmtId="168" fontId="0" fillId="30" borderId="7" xfId="0" applyNumberFormat="1" applyFill="1" applyBorder="1" applyAlignment="1">
      <alignment horizontal="center" vertical="center"/>
    </xf>
    <xf numFmtId="168" fontId="0" fillId="31" borderId="7" xfId="0" applyNumberFormat="1" applyFill="1" applyBorder="1" applyAlignment="1">
      <alignment horizontal="center" vertical="center"/>
    </xf>
    <xf numFmtId="0" fontId="33" fillId="15" borderId="7" xfId="0" applyFont="1" applyFill="1" applyBorder="1" applyAlignment="1">
      <alignment readingOrder="2"/>
    </xf>
    <xf numFmtId="0" fontId="33" fillId="15" borderId="7" xfId="0" applyFont="1" applyFill="1" applyBorder="1" applyAlignment="1">
      <alignment wrapText="1" readingOrder="2"/>
    </xf>
    <xf numFmtId="0" fontId="33" fillId="15" borderId="7" xfId="0" applyFont="1" applyFill="1" applyBorder="1" applyAlignment="1">
      <alignment wrapText="1"/>
    </xf>
    <xf numFmtId="0" fontId="33" fillId="15" borderId="7" xfId="0" applyFont="1" applyFill="1" applyBorder="1"/>
    <xf numFmtId="0" fontId="33" fillId="15" borderId="7" xfId="0" applyFont="1" applyFill="1" applyBorder="1" applyAlignment="1">
      <alignment horizontal="right"/>
    </xf>
    <xf numFmtId="0" fontId="13" fillId="4" borderId="0" xfId="0" applyFont="1" applyFill="1" applyAlignment="1">
      <alignment horizontal="center" vertical="center"/>
    </xf>
    <xf numFmtId="0" fontId="33" fillId="3" borderId="7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34" fillId="14" borderId="0" xfId="0" applyFont="1" applyFill="1" applyAlignment="1">
      <alignment horizontal="center" vertical="center" readingOrder="1"/>
    </xf>
    <xf numFmtId="0" fontId="2" fillId="38" borderId="7" xfId="0" applyFont="1" applyFill="1" applyBorder="1" applyAlignment="1">
      <alignment vertical="center"/>
    </xf>
    <xf numFmtId="0" fontId="0" fillId="22" borderId="0" xfId="0" applyFill="1" applyAlignment="1">
      <alignment horizontal="center"/>
    </xf>
    <xf numFmtId="0" fontId="1" fillId="22" borderId="0" xfId="0" applyFont="1" applyFill="1" applyAlignment="1">
      <alignment vertical="center"/>
    </xf>
    <xf numFmtId="0" fontId="2" fillId="39" borderId="7" xfId="0" applyFont="1" applyFill="1" applyBorder="1" applyAlignment="1">
      <alignment horizontal="center" vertical="center"/>
    </xf>
    <xf numFmtId="0" fontId="2" fillId="38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3" fillId="0" borderId="8" xfId="0" applyFont="1" applyBorder="1"/>
    <xf numFmtId="0" fontId="3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8" xfId="0" applyFont="1" applyBorder="1"/>
    <xf numFmtId="3" fontId="32" fillId="2" borderId="7" xfId="0" applyNumberFormat="1" applyFont="1" applyFill="1" applyBorder="1" applyAlignment="1">
      <alignment horizontal="center" vertical="center" textRotation="90"/>
    </xf>
    <xf numFmtId="3" fontId="32" fillId="13" borderId="7" xfId="0" applyNumberFormat="1" applyFont="1" applyFill="1" applyBorder="1" applyAlignment="1">
      <alignment horizontal="center" vertical="center" textRotation="90"/>
    </xf>
    <xf numFmtId="0" fontId="32" fillId="15" borderId="7" xfId="0" applyFont="1" applyFill="1" applyBorder="1" applyAlignment="1">
      <alignment horizontal="right" vertical="center"/>
    </xf>
    <xf numFmtId="9" fontId="31" fillId="32" borderId="7" xfId="0" applyNumberFormat="1" applyFont="1" applyFill="1" applyBorder="1" applyAlignment="1">
      <alignment horizontal="center" vertical="center"/>
    </xf>
    <xf numFmtId="9" fontId="31" fillId="33" borderId="7" xfId="0" applyNumberFormat="1" applyFont="1" applyFill="1" applyBorder="1" applyAlignment="1">
      <alignment horizontal="center" vertical="center"/>
    </xf>
    <xf numFmtId="9" fontId="0" fillId="34" borderId="0" xfId="0" applyNumberFormat="1" applyFill="1" applyAlignment="1">
      <alignment horizontal="center" vertical="center"/>
    </xf>
    <xf numFmtId="9" fontId="31" fillId="13" borderId="7" xfId="0" applyNumberFormat="1" applyFont="1" applyFill="1" applyBorder="1" applyAlignment="1">
      <alignment horizontal="center" vertical="center"/>
    </xf>
    <xf numFmtId="9" fontId="31" fillId="35" borderId="7" xfId="0" applyNumberFormat="1" applyFont="1" applyFill="1" applyBorder="1" applyAlignment="1">
      <alignment horizontal="center" vertical="center"/>
    </xf>
    <xf numFmtId="0" fontId="0" fillId="0" borderId="7" xfId="0" applyBorder="1"/>
    <xf numFmtId="3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3" fillId="0" borderId="7" xfId="0" applyFont="1" applyBorder="1" applyAlignment="1">
      <alignment horizontal="right" vertical="center" readingOrder="2"/>
    </xf>
    <xf numFmtId="10" fontId="0" fillId="0" borderId="7" xfId="0" applyNumberFormat="1" applyBorder="1" applyAlignment="1">
      <alignment horizontal="center" vertical="center"/>
    </xf>
    <xf numFmtId="169" fontId="0" fillId="0" borderId="0" xfId="0" applyNumberFormat="1" applyAlignment="1">
      <alignment horizontal="center"/>
    </xf>
    <xf numFmtId="4" fontId="35" fillId="0" borderId="7" xfId="0" applyNumberFormat="1" applyFont="1" applyBorder="1" applyAlignment="1">
      <alignment horizontal="center"/>
    </xf>
    <xf numFmtId="4" fontId="35" fillId="0" borderId="7" xfId="0" applyNumberFormat="1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" fillId="0" borderId="7" xfId="0" applyFont="1" applyBorder="1" applyAlignment="1">
      <alignment wrapText="1"/>
    </xf>
    <xf numFmtId="4" fontId="36" fillId="0" borderId="7" xfId="0" applyNumberFormat="1" applyFont="1" applyBorder="1"/>
    <xf numFmtId="0" fontId="0" fillId="0" borderId="19" xfId="0" applyBorder="1"/>
    <xf numFmtId="0" fontId="0" fillId="0" borderId="19" xfId="0" applyBorder="1" applyAlignment="1">
      <alignment horizontal="center" vertical="center"/>
    </xf>
    <xf numFmtId="4" fontId="35" fillId="0" borderId="0" xfId="0" applyNumberFormat="1" applyFont="1" applyAlignment="1">
      <alignment horizontal="center"/>
    </xf>
    <xf numFmtId="10" fontId="0" fillId="0" borderId="0" xfId="0" applyNumberFormat="1"/>
    <xf numFmtId="0" fontId="2" fillId="40" borderId="7" xfId="0" applyFont="1" applyFill="1" applyBorder="1" applyAlignment="1">
      <alignment vertical="center"/>
    </xf>
    <xf numFmtId="9" fontId="3" fillId="7" borderId="7" xfId="0" applyNumberFormat="1" applyFont="1" applyFill="1" applyBorder="1" applyAlignment="1">
      <alignment horizontal="center" vertical="center"/>
    </xf>
    <xf numFmtId="9" fontId="3" fillId="40" borderId="7" xfId="0" applyNumberFormat="1" applyFont="1" applyFill="1" applyBorder="1" applyAlignment="1" applyProtection="1">
      <alignment horizontal="center" vertical="center"/>
      <protection locked="0"/>
    </xf>
    <xf numFmtId="9" fontId="3" fillId="40" borderId="7" xfId="0" applyNumberFormat="1" applyFont="1" applyFill="1" applyBorder="1" applyAlignment="1">
      <alignment horizontal="center" vertical="center"/>
    </xf>
    <xf numFmtId="0" fontId="0" fillId="0" borderId="29" xfId="0" applyBorder="1"/>
    <xf numFmtId="170" fontId="0" fillId="0" borderId="7" xfId="0" applyNumberFormat="1" applyBorder="1" applyAlignment="1">
      <alignment horizontal="center" vertical="center"/>
    </xf>
    <xf numFmtId="0" fontId="13" fillId="23" borderId="8" xfId="0" applyFont="1" applyFill="1" applyBorder="1" applyAlignment="1">
      <alignment horizontal="center" vertical="center"/>
    </xf>
    <xf numFmtId="0" fontId="14" fillId="22" borderId="0" xfId="0" applyFont="1" applyFill="1" applyAlignment="1">
      <alignment horizontal="center" vertical="center"/>
    </xf>
    <xf numFmtId="165" fontId="0" fillId="0" borderId="0" xfId="0" applyNumberFormat="1"/>
    <xf numFmtId="10" fontId="14" fillId="0" borderId="0" xfId="0" applyNumberFormat="1" applyFont="1" applyAlignment="1">
      <alignment horizontal="center" vertical="center"/>
    </xf>
    <xf numFmtId="0" fontId="2" fillId="40" borderId="7" xfId="0" applyFont="1" applyFill="1" applyBorder="1" applyAlignment="1">
      <alignment horizontal="center" vertical="center"/>
    </xf>
    <xf numFmtId="0" fontId="40" fillId="42" borderId="7" xfId="0" applyFont="1" applyFill="1" applyBorder="1" applyAlignment="1">
      <alignment horizontal="center" vertical="center"/>
    </xf>
    <xf numFmtId="164" fontId="41" fillId="44" borderId="7" xfId="0" applyNumberFormat="1" applyFont="1" applyFill="1" applyBorder="1" applyAlignment="1">
      <alignment horizontal="center" vertical="center"/>
    </xf>
    <xf numFmtId="164" fontId="41" fillId="46" borderId="7" xfId="0" applyNumberFormat="1" applyFont="1" applyFill="1" applyBorder="1" applyAlignment="1">
      <alignment horizontal="center" vertical="center"/>
    </xf>
    <xf numFmtId="164" fontId="41" fillId="50" borderId="7" xfId="0" applyNumberFormat="1" applyFont="1" applyFill="1" applyBorder="1" applyAlignment="1">
      <alignment horizontal="center" vertical="center"/>
    </xf>
    <xf numFmtId="164" fontId="41" fillId="48" borderId="7" xfId="0" applyNumberFormat="1" applyFont="1" applyFill="1" applyBorder="1" applyAlignment="1">
      <alignment horizontal="center" vertical="center"/>
    </xf>
    <xf numFmtId="1" fontId="3" fillId="45" borderId="7" xfId="0" applyNumberFormat="1" applyFont="1" applyFill="1" applyBorder="1" applyAlignment="1">
      <alignment horizontal="center" vertical="center"/>
    </xf>
    <xf numFmtId="1" fontId="3" fillId="47" borderId="7" xfId="0" applyNumberFormat="1" applyFont="1" applyFill="1" applyBorder="1" applyAlignment="1">
      <alignment horizontal="center" vertical="center"/>
    </xf>
    <xf numFmtId="0" fontId="3" fillId="47" borderId="7" xfId="0" applyFont="1" applyFill="1" applyBorder="1" applyAlignment="1">
      <alignment horizontal="center" vertical="center"/>
    </xf>
    <xf numFmtId="1" fontId="3" fillId="51" borderId="7" xfId="0" applyNumberFormat="1" applyFont="1" applyFill="1" applyBorder="1" applyAlignment="1">
      <alignment horizontal="center" vertical="center"/>
    </xf>
    <xf numFmtId="0" fontId="3" fillId="51" borderId="7" xfId="0" applyFont="1" applyFill="1" applyBorder="1" applyAlignment="1">
      <alignment horizontal="center" vertical="center"/>
    </xf>
    <xf numFmtId="1" fontId="3" fillId="49" borderId="7" xfId="0" applyNumberFormat="1" applyFont="1" applyFill="1" applyBorder="1" applyAlignment="1">
      <alignment horizontal="center" vertical="center"/>
    </xf>
    <xf numFmtId="0" fontId="3" fillId="49" borderId="7" xfId="0" applyFont="1" applyFill="1" applyBorder="1" applyAlignment="1">
      <alignment horizontal="center" vertical="center"/>
    </xf>
    <xf numFmtId="0" fontId="3" fillId="42" borderId="7" xfId="0" applyFont="1" applyFill="1" applyBorder="1" applyAlignment="1">
      <alignment horizontal="center" vertical="center"/>
    </xf>
    <xf numFmtId="0" fontId="33" fillId="15" borderId="7" xfId="0" applyFont="1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4" fillId="22" borderId="24" xfId="0" applyFont="1" applyFill="1" applyBorder="1" applyAlignment="1">
      <alignment vertical="center"/>
    </xf>
    <xf numFmtId="0" fontId="14" fillId="22" borderId="20" xfId="0" applyFont="1" applyFill="1" applyBorder="1" applyAlignment="1">
      <alignment vertical="center"/>
    </xf>
    <xf numFmtId="10" fontId="2" fillId="24" borderId="7" xfId="0" applyNumberFormat="1" applyFont="1" applyFill="1" applyBorder="1" applyAlignment="1">
      <alignment horizontal="center" vertical="center"/>
    </xf>
    <xf numFmtId="0" fontId="42" fillId="22" borderId="7" xfId="0" applyFont="1" applyFill="1" applyBorder="1" applyAlignment="1">
      <alignment horizontal="left" vertical="center"/>
    </xf>
    <xf numFmtId="4" fontId="35" fillId="0" borderId="0" xfId="0" applyNumberFormat="1" applyFont="1"/>
    <xf numFmtId="3" fontId="0" fillId="0" borderId="0" xfId="0" applyNumberFormat="1"/>
    <xf numFmtId="0" fontId="38" fillId="22" borderId="0" xfId="0" applyFont="1" applyFill="1" applyAlignment="1">
      <alignment horizontal="left" vertical="center"/>
    </xf>
    <xf numFmtId="10" fontId="2" fillId="22" borderId="0" xfId="0" applyNumberFormat="1" applyFont="1" applyFill="1" applyAlignment="1">
      <alignment horizontal="center" vertical="center"/>
    </xf>
    <xf numFmtId="0" fontId="13" fillId="0" borderId="0" xfId="0" applyFont="1" applyAlignment="1">
      <alignment wrapText="1"/>
    </xf>
    <xf numFmtId="0" fontId="2" fillId="14" borderId="32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14" fillId="22" borderId="0" xfId="0" applyFont="1" applyFill="1" applyAlignment="1">
      <alignment vertical="center"/>
    </xf>
    <xf numFmtId="3" fontId="3" fillId="22" borderId="0" xfId="0" applyNumberFormat="1" applyFont="1" applyFill="1" applyAlignment="1">
      <alignment vertical="center"/>
    </xf>
    <xf numFmtId="2" fontId="1" fillId="0" borderId="0" xfId="0" applyNumberFormat="1" applyFont="1"/>
    <xf numFmtId="3" fontId="14" fillId="41" borderId="31" xfId="0" applyNumberFormat="1" applyFont="1" applyFill="1" applyBorder="1" applyAlignment="1">
      <alignment horizontal="center" vertical="center"/>
    </xf>
    <xf numFmtId="0" fontId="2" fillId="22" borderId="0" xfId="0" applyFont="1" applyFill="1" applyAlignment="1">
      <alignment horizontal="left" vertical="center"/>
    </xf>
    <xf numFmtId="0" fontId="40" fillId="42" borderId="8" xfId="0" applyFont="1" applyFill="1" applyBorder="1" applyAlignment="1">
      <alignment horizontal="center" vertical="center"/>
    </xf>
    <xf numFmtId="1" fontId="3" fillId="45" borderId="8" xfId="0" applyNumberFormat="1" applyFont="1" applyFill="1" applyBorder="1" applyAlignment="1">
      <alignment horizontal="center" vertical="center"/>
    </xf>
    <xf numFmtId="0" fontId="3" fillId="47" borderId="8" xfId="0" applyFont="1" applyFill="1" applyBorder="1" applyAlignment="1">
      <alignment horizontal="center" vertical="center"/>
    </xf>
    <xf numFmtId="0" fontId="3" fillId="51" borderId="8" xfId="0" applyFont="1" applyFill="1" applyBorder="1" applyAlignment="1">
      <alignment horizontal="center" vertical="center"/>
    </xf>
    <xf numFmtId="0" fontId="3" fillId="49" borderId="8" xfId="0" applyFont="1" applyFill="1" applyBorder="1" applyAlignment="1">
      <alignment horizontal="center" vertical="center"/>
    </xf>
    <xf numFmtId="0" fontId="14" fillId="42" borderId="38" xfId="0" applyFont="1" applyFill="1" applyBorder="1" applyAlignment="1">
      <alignment horizontal="center" vertical="center"/>
    </xf>
    <xf numFmtId="3" fontId="14" fillId="45" borderId="39" xfId="0" applyNumberFormat="1" applyFont="1" applyFill="1" applyBorder="1" applyAlignment="1">
      <alignment horizontal="center" vertical="center"/>
    </xf>
    <xf numFmtId="3" fontId="14" fillId="47" borderId="39" xfId="0" applyNumberFormat="1" applyFont="1" applyFill="1" applyBorder="1" applyAlignment="1">
      <alignment horizontal="center" vertical="center"/>
    </xf>
    <xf numFmtId="3" fontId="14" fillId="51" borderId="39" xfId="0" applyNumberFormat="1" applyFont="1" applyFill="1" applyBorder="1" applyAlignment="1">
      <alignment horizontal="center" vertical="center"/>
    </xf>
    <xf numFmtId="3" fontId="14" fillId="49" borderId="39" xfId="0" applyNumberFormat="1" applyFont="1" applyFill="1" applyBorder="1" applyAlignment="1">
      <alignment horizontal="center" vertical="center"/>
    </xf>
    <xf numFmtId="3" fontId="14" fillId="43" borderId="40" xfId="0" applyNumberFormat="1" applyFont="1" applyFill="1" applyBorder="1" applyAlignment="1">
      <alignment horizontal="center" vertical="center"/>
    </xf>
    <xf numFmtId="3" fontId="14" fillId="54" borderId="39" xfId="0" applyNumberFormat="1" applyFont="1" applyFill="1" applyBorder="1" applyAlignment="1">
      <alignment horizontal="center" vertical="center"/>
    </xf>
    <xf numFmtId="0" fontId="43" fillId="2" borderId="7" xfId="0" applyFont="1" applyFill="1" applyBorder="1" applyAlignment="1">
      <alignment vertical="center"/>
    </xf>
    <xf numFmtId="0" fontId="1" fillId="0" borderId="7" xfId="0" applyFont="1" applyBorder="1"/>
    <xf numFmtId="0" fontId="1" fillId="0" borderId="7" xfId="0" applyFont="1" applyBorder="1" applyAlignment="1">
      <alignment horizontal="center" vertical="center" wrapText="1"/>
    </xf>
    <xf numFmtId="10" fontId="1" fillId="0" borderId="7" xfId="0" applyNumberFormat="1" applyFont="1" applyBorder="1" applyAlignment="1">
      <alignment horizontal="center" vertical="center" wrapText="1"/>
    </xf>
    <xf numFmtId="0" fontId="1" fillId="0" borderId="7" xfId="0" applyFont="1" applyBorder="1" applyAlignment="1">
      <alignment horizontal="right" vertical="center" readingOrder="2"/>
    </xf>
    <xf numFmtId="10" fontId="1" fillId="7" borderId="7" xfId="0" applyNumberFormat="1" applyFont="1" applyFill="1" applyBorder="1" applyAlignment="1">
      <alignment horizontal="center" vertical="center" wrapText="1"/>
    </xf>
    <xf numFmtId="49" fontId="1" fillId="7" borderId="7" xfId="0" applyNumberFormat="1" applyFont="1" applyFill="1" applyBorder="1" applyAlignment="1">
      <alignment horizontal="right" vertical="center" readingOrder="2"/>
    </xf>
    <xf numFmtId="1" fontId="1" fillId="2" borderId="1" xfId="0" applyNumberFormat="1" applyFont="1" applyFill="1" applyBorder="1" applyAlignment="1" applyProtection="1">
      <alignment horizontal="right" vertical="center"/>
      <protection locked="0"/>
    </xf>
    <xf numFmtId="1" fontId="1" fillId="4" borderId="1" xfId="0" applyNumberFormat="1" applyFont="1" applyFill="1" applyBorder="1" applyAlignment="1" applyProtection="1">
      <alignment horizontal="right" vertical="center"/>
      <protection locked="0"/>
    </xf>
    <xf numFmtId="0" fontId="2" fillId="0" borderId="0" xfId="0" applyFont="1"/>
    <xf numFmtId="0" fontId="48" fillId="6" borderId="7" xfId="0" applyFont="1" applyFill="1" applyBorder="1" applyAlignment="1">
      <alignment horizontal="center" vertical="center"/>
    </xf>
    <xf numFmtId="0" fontId="48" fillId="56" borderId="7" xfId="0" applyFont="1" applyFill="1" applyBorder="1" applyAlignment="1">
      <alignment horizontal="center" vertical="center"/>
    </xf>
    <xf numFmtId="49" fontId="3" fillId="41" borderId="7" xfId="0" applyNumberFormat="1" applyFont="1" applyFill="1" applyBorder="1" applyAlignment="1" applyProtection="1">
      <alignment horizontal="right" vertical="center" readingOrder="2"/>
      <protection locked="0"/>
    </xf>
    <xf numFmtId="3" fontId="3" fillId="41" borderId="7" xfId="0" applyNumberFormat="1" applyFont="1" applyFill="1" applyBorder="1" applyAlignment="1" applyProtection="1">
      <alignment horizontal="right" vertical="center"/>
      <protection locked="0"/>
    </xf>
    <xf numFmtId="49" fontId="3" fillId="53" borderId="7" xfId="0" applyNumberFormat="1" applyFont="1" applyFill="1" applyBorder="1" applyAlignment="1" applyProtection="1">
      <alignment horizontal="right" vertical="center" readingOrder="2"/>
      <protection locked="0"/>
    </xf>
    <xf numFmtId="3" fontId="3" fillId="53" borderId="7" xfId="0" applyNumberFormat="1" applyFont="1" applyFill="1" applyBorder="1" applyAlignment="1" applyProtection="1">
      <alignment horizontal="right" vertical="center"/>
      <protection locked="0"/>
    </xf>
    <xf numFmtId="0" fontId="13" fillId="0" borderId="7" xfId="0" applyFont="1" applyBorder="1" applyAlignment="1">
      <alignment horizontal="center"/>
    </xf>
    <xf numFmtId="49" fontId="49" fillId="7" borderId="7" xfId="0" applyNumberFormat="1" applyFont="1" applyFill="1" applyBorder="1" applyAlignment="1">
      <alignment horizontal="left" vertical="center" readingOrder="1"/>
    </xf>
    <xf numFmtId="0" fontId="51" fillId="55" borderId="7" xfId="0" applyFont="1" applyFill="1" applyBorder="1" applyAlignment="1">
      <alignment horizontal="center" vertical="center" wrapText="1"/>
    </xf>
    <xf numFmtId="2" fontId="53" fillId="0" borderId="0" xfId="0" applyNumberFormat="1" applyFont="1" applyAlignment="1">
      <alignment horizontal="center" vertical="center"/>
    </xf>
    <xf numFmtId="0" fontId="13" fillId="0" borderId="7" xfId="0" applyFont="1" applyBorder="1"/>
    <xf numFmtId="0" fontId="55" fillId="18" borderId="0" xfId="0" applyFont="1" applyFill="1" applyAlignment="1">
      <alignment vertical="center"/>
    </xf>
    <xf numFmtId="0" fontId="57" fillId="57" borderId="7" xfId="0" applyFont="1" applyFill="1" applyBorder="1" applyAlignment="1">
      <alignment horizontal="center" vertical="center" wrapText="1"/>
    </xf>
    <xf numFmtId="0" fontId="48" fillId="6" borderId="21" xfId="0" applyFont="1" applyFill="1" applyBorder="1" applyAlignment="1">
      <alignment horizontal="center" vertical="center"/>
    </xf>
    <xf numFmtId="49" fontId="3" fillId="41" borderId="42" xfId="0" applyNumberFormat="1" applyFont="1" applyFill="1" applyBorder="1" applyAlignment="1">
      <alignment horizontal="right" vertical="center" wrapText="1" readingOrder="2"/>
    </xf>
    <xf numFmtId="49" fontId="3" fillId="53" borderId="44" xfId="0" applyNumberFormat="1" applyFont="1" applyFill="1" applyBorder="1" applyAlignment="1">
      <alignment horizontal="right" vertical="center" wrapText="1" readingOrder="2"/>
    </xf>
    <xf numFmtId="49" fontId="3" fillId="53" borderId="7" xfId="0" applyNumberFormat="1" applyFont="1" applyFill="1" applyBorder="1" applyAlignment="1">
      <alignment horizontal="right" vertical="center" wrapText="1" readingOrder="2"/>
    </xf>
    <xf numFmtId="49" fontId="3" fillId="41" borderId="44" xfId="0" applyNumberFormat="1" applyFont="1" applyFill="1" applyBorder="1" applyAlignment="1">
      <alignment horizontal="right" vertical="center" wrapText="1" readingOrder="2"/>
    </xf>
    <xf numFmtId="49" fontId="3" fillId="53" borderId="42" xfId="0" applyNumberFormat="1" applyFont="1" applyFill="1" applyBorder="1" applyAlignment="1">
      <alignment horizontal="right" vertical="center" wrapText="1" readingOrder="2"/>
    </xf>
    <xf numFmtId="49" fontId="3" fillId="41" borderId="7" xfId="0" applyNumberFormat="1" applyFont="1" applyFill="1" applyBorder="1" applyAlignment="1">
      <alignment horizontal="right" vertical="center" wrapText="1" readingOrder="2"/>
    </xf>
    <xf numFmtId="49" fontId="3" fillId="53" borderId="45" xfId="0" applyNumberFormat="1" applyFont="1" applyFill="1" applyBorder="1" applyAlignment="1">
      <alignment horizontal="center" vertical="center" readingOrder="2"/>
    </xf>
    <xf numFmtId="49" fontId="3" fillId="53" borderId="46" xfId="0" applyNumberFormat="1" applyFont="1" applyFill="1" applyBorder="1" applyAlignment="1">
      <alignment horizontal="right" vertical="center" wrapText="1" readingOrder="2"/>
    </xf>
    <xf numFmtId="0" fontId="50" fillId="0" borderId="0" xfId="0" applyFont="1" applyAlignment="1">
      <alignment horizontal="center" vertical="center" textRotation="90"/>
    </xf>
    <xf numFmtId="0" fontId="3" fillId="26" borderId="17" xfId="2" applyFont="1" applyFill="1" applyBorder="1" applyAlignment="1">
      <alignment horizontal="left" vertical="center" wrapText="1"/>
    </xf>
    <xf numFmtId="0" fontId="0" fillId="0" borderId="0" xfId="0" applyProtection="1">
      <protection hidden="1"/>
    </xf>
    <xf numFmtId="49" fontId="3" fillId="41" borderId="42" xfId="0" applyNumberFormat="1" applyFont="1" applyFill="1" applyBorder="1" applyAlignment="1">
      <alignment horizontal="center" vertical="center" wrapText="1" readingOrder="2"/>
    </xf>
    <xf numFmtId="49" fontId="3" fillId="53" borderId="44" xfId="0" applyNumberFormat="1" applyFont="1" applyFill="1" applyBorder="1" applyAlignment="1">
      <alignment horizontal="center" vertical="center" wrapText="1" readingOrder="2"/>
    </xf>
    <xf numFmtId="49" fontId="3" fillId="53" borderId="7" xfId="0" applyNumberFormat="1" applyFont="1" applyFill="1" applyBorder="1" applyAlignment="1">
      <alignment horizontal="center" vertical="center" wrapText="1" readingOrder="2"/>
    </xf>
    <xf numFmtId="49" fontId="3" fillId="41" borderId="44" xfId="0" applyNumberFormat="1" applyFont="1" applyFill="1" applyBorder="1" applyAlignment="1">
      <alignment horizontal="center" vertical="center" wrapText="1" readingOrder="2"/>
    </xf>
    <xf numFmtId="49" fontId="3" fillId="53" borderId="42" xfId="0" applyNumberFormat="1" applyFont="1" applyFill="1" applyBorder="1" applyAlignment="1">
      <alignment horizontal="center" vertical="center" wrapText="1" readingOrder="2"/>
    </xf>
    <xf numFmtId="49" fontId="3" fillId="41" borderId="7" xfId="0" applyNumberFormat="1" applyFont="1" applyFill="1" applyBorder="1" applyAlignment="1">
      <alignment horizontal="center" vertical="center" wrapText="1" readingOrder="2"/>
    </xf>
    <xf numFmtId="49" fontId="3" fillId="53" borderId="46" xfId="0" applyNumberFormat="1" applyFont="1" applyFill="1" applyBorder="1" applyAlignment="1">
      <alignment horizontal="center" vertical="center" wrapText="1" readingOrder="2"/>
    </xf>
    <xf numFmtId="49" fontId="3" fillId="53" borderId="21" xfId="0" applyNumberFormat="1" applyFont="1" applyFill="1" applyBorder="1" applyAlignment="1">
      <alignment horizontal="right" vertical="center" wrapText="1" readingOrder="2"/>
    </xf>
    <xf numFmtId="49" fontId="3" fillId="53" borderId="21" xfId="0" applyNumberFormat="1" applyFont="1" applyFill="1" applyBorder="1" applyAlignment="1">
      <alignment horizontal="center" vertical="center" wrapText="1" readingOrder="2"/>
    </xf>
    <xf numFmtId="49" fontId="3" fillId="53" borderId="26" xfId="0" applyNumberFormat="1" applyFont="1" applyFill="1" applyBorder="1" applyAlignment="1">
      <alignment horizontal="right" vertical="center" wrapText="1" readingOrder="2"/>
    </xf>
    <xf numFmtId="49" fontId="3" fillId="53" borderId="26" xfId="0" applyNumberFormat="1" applyFont="1" applyFill="1" applyBorder="1" applyAlignment="1">
      <alignment horizontal="center" vertical="center" wrapText="1" readingOrder="2"/>
    </xf>
    <xf numFmtId="0" fontId="1" fillId="2" borderId="54" xfId="0" applyFont="1" applyFill="1" applyBorder="1" applyAlignment="1">
      <alignment horizontal="center" vertical="center"/>
    </xf>
    <xf numFmtId="0" fontId="1" fillId="4" borderId="5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right" vertical="center" indent="1"/>
    </xf>
    <xf numFmtId="49" fontId="9" fillId="2" borderId="56" xfId="4" applyNumberFormat="1" applyFont="1" applyFill="1" applyBorder="1" applyAlignment="1" applyProtection="1">
      <alignment horizontal="right" vertical="center" indent="1" readingOrder="2"/>
      <protection locked="0"/>
    </xf>
    <xf numFmtId="49" fontId="9" fillId="4" borderId="56" xfId="4" applyNumberFormat="1" applyFont="1" applyFill="1" applyBorder="1" applyAlignment="1" applyProtection="1">
      <alignment horizontal="right" vertical="center" indent="1" readingOrder="2"/>
      <protection locked="0"/>
    </xf>
    <xf numFmtId="49" fontId="9" fillId="41" borderId="56" xfId="4" applyNumberFormat="1" applyFont="1" applyFill="1" applyBorder="1" applyAlignment="1" applyProtection="1">
      <alignment horizontal="right" vertical="center" indent="1" readingOrder="2"/>
      <protection locked="0"/>
    </xf>
    <xf numFmtId="0" fontId="33" fillId="2" borderId="0" xfId="0" applyFont="1" applyFill="1" applyAlignment="1" applyProtection="1">
      <alignment horizontal="right" vertical="center" indent="1"/>
      <protection locked="0"/>
    </xf>
    <xf numFmtId="0" fontId="33" fillId="4" borderId="0" xfId="0" applyFont="1" applyFill="1" applyAlignment="1" applyProtection="1">
      <alignment horizontal="right" vertical="center" indent="1"/>
      <protection locked="0"/>
    </xf>
    <xf numFmtId="0" fontId="33" fillId="2" borderId="5" xfId="0" applyFont="1" applyFill="1" applyBorder="1" applyAlignment="1" applyProtection="1">
      <alignment horizontal="right" vertical="center" indent="1"/>
      <protection locked="0"/>
    </xf>
    <xf numFmtId="0" fontId="33" fillId="4" borderId="1" xfId="0" applyFont="1" applyFill="1" applyBorder="1" applyAlignment="1" applyProtection="1">
      <alignment horizontal="right" vertical="center" indent="1"/>
      <protection locked="0"/>
    </xf>
    <xf numFmtId="0" fontId="33" fillId="2" borderId="1" xfId="0" applyFont="1" applyFill="1" applyBorder="1" applyAlignment="1" applyProtection="1">
      <alignment horizontal="right" vertical="center" indent="1"/>
      <protection locked="0"/>
    </xf>
    <xf numFmtId="0" fontId="1" fillId="2" borderId="1" xfId="0" applyFont="1" applyFill="1" applyBorder="1" applyAlignment="1" applyProtection="1">
      <alignment horizontal="right" vertical="center" indent="1"/>
      <protection locked="0"/>
    </xf>
    <xf numFmtId="0" fontId="1" fillId="4" borderId="1" xfId="0" applyFont="1" applyFill="1" applyBorder="1" applyAlignment="1" applyProtection="1">
      <alignment horizontal="right" vertical="center" indent="1"/>
      <protection locked="0"/>
    </xf>
    <xf numFmtId="0" fontId="1" fillId="0" borderId="0" xfId="0" applyFont="1" applyAlignment="1">
      <alignment horizontal="right" vertical="center" indent="1"/>
    </xf>
    <xf numFmtId="0" fontId="4" fillId="6" borderId="1" xfId="0" applyFont="1" applyFill="1" applyBorder="1" applyAlignment="1">
      <alignment horizontal="right" vertical="center" indent="1"/>
    </xf>
    <xf numFmtId="49" fontId="1" fillId="2" borderId="55" xfId="0" applyNumberFormat="1" applyFont="1" applyFill="1" applyBorder="1" applyAlignment="1" applyProtection="1">
      <alignment horizontal="right" vertical="center" wrapText="1" indent="1" readingOrder="2"/>
      <protection locked="0"/>
    </xf>
    <xf numFmtId="49" fontId="1" fillId="4" borderId="55" xfId="0" applyNumberFormat="1" applyFont="1" applyFill="1" applyBorder="1" applyAlignment="1" applyProtection="1">
      <alignment horizontal="right" vertical="center" wrapText="1" indent="1" readingOrder="2"/>
      <protection locked="0"/>
    </xf>
    <xf numFmtId="0" fontId="1" fillId="2" borderId="0" xfId="0" applyFont="1" applyFill="1" applyAlignment="1">
      <alignment horizontal="right" vertical="center" indent="1"/>
    </xf>
    <xf numFmtId="49" fontId="1" fillId="2" borderId="1" xfId="0" applyNumberFormat="1" applyFont="1" applyFill="1" applyBorder="1" applyAlignment="1" applyProtection="1">
      <alignment horizontal="right" vertical="center" wrapText="1" indent="1" readingOrder="2"/>
      <protection locked="0"/>
    </xf>
    <xf numFmtId="49" fontId="1" fillId="4" borderId="1" xfId="0" applyNumberFormat="1" applyFont="1" applyFill="1" applyBorder="1" applyAlignment="1" applyProtection="1">
      <alignment horizontal="right" vertical="center" wrapText="1" indent="1" readingOrder="2"/>
      <protection locked="0"/>
    </xf>
    <xf numFmtId="0" fontId="3" fillId="26" borderId="8" xfId="2" applyFont="1" applyFill="1" applyBorder="1" applyAlignment="1">
      <alignment horizontal="right" vertical="center" wrapText="1" indent="1"/>
    </xf>
    <xf numFmtId="0" fontId="3" fillId="9" borderId="7" xfId="0" applyFont="1" applyFill="1" applyBorder="1" applyAlignment="1">
      <alignment horizontal="right" vertical="center" indent="1"/>
    </xf>
    <xf numFmtId="0" fontId="18" fillId="9" borderId="7" xfId="0" applyFont="1" applyFill="1" applyBorder="1" applyAlignment="1">
      <alignment horizontal="right" vertical="center" indent="1"/>
    </xf>
    <xf numFmtId="49" fontId="9" fillId="7" borderId="7" xfId="4" applyNumberFormat="1" applyFont="1" applyFill="1" applyBorder="1" applyAlignment="1" applyProtection="1">
      <alignment horizontal="right" vertical="center" readingOrder="2"/>
      <protection locked="0"/>
    </xf>
    <xf numFmtId="0" fontId="0" fillId="0" borderId="18" xfId="0" applyBorder="1" applyProtection="1">
      <protection locked="0"/>
    </xf>
    <xf numFmtId="0" fontId="52" fillId="55" borderId="7" xfId="0" applyFont="1" applyFill="1" applyBorder="1" applyAlignment="1">
      <alignment horizontal="center" vertical="center" wrapText="1" readingOrder="2"/>
    </xf>
    <xf numFmtId="0" fontId="0" fillId="0" borderId="18" xfId="0" applyBorder="1"/>
    <xf numFmtId="49" fontId="2" fillId="8" borderId="7" xfId="0" applyNumberFormat="1" applyFont="1" applyFill="1" applyBorder="1" applyAlignment="1">
      <alignment horizontal="right" vertical="center"/>
    </xf>
    <xf numFmtId="0" fontId="22" fillId="17" borderId="7" xfId="0" applyFont="1" applyFill="1" applyBorder="1" applyAlignment="1">
      <alignment horizontal="center" vertical="center"/>
    </xf>
    <xf numFmtId="0" fontId="0" fillId="0" borderId="17" xfId="0" applyBorder="1"/>
    <xf numFmtId="49" fontId="47" fillId="7" borderId="7" xfId="0" applyNumberFormat="1" applyFont="1" applyFill="1" applyBorder="1" applyAlignment="1">
      <alignment horizontal="right" vertical="center" wrapText="1" readingOrder="2"/>
    </xf>
    <xf numFmtId="49" fontId="38" fillId="7" borderId="7" xfId="0" applyNumberFormat="1" applyFont="1" applyFill="1" applyBorder="1" applyAlignment="1">
      <alignment horizontal="right" vertical="center" wrapText="1" readingOrder="2"/>
    </xf>
    <xf numFmtId="0" fontId="51" fillId="55" borderId="7" xfId="0" applyFont="1" applyFill="1" applyBorder="1" applyAlignment="1">
      <alignment horizontal="center" wrapText="1"/>
    </xf>
    <xf numFmtId="49" fontId="0" fillId="7" borderId="7" xfId="4" applyNumberFormat="1" applyFont="1" applyFill="1" applyBorder="1" applyAlignment="1" applyProtection="1">
      <alignment horizontal="right" vertical="center" readingOrder="2"/>
      <protection locked="0"/>
    </xf>
    <xf numFmtId="0" fontId="2" fillId="8" borderId="7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/>
    <xf numFmtId="0" fontId="22" fillId="22" borderId="0" xfId="0" applyFont="1" applyFill="1" applyAlignment="1">
      <alignment horizontal="center" vertical="center" textRotation="90"/>
    </xf>
    <xf numFmtId="0" fontId="22" fillId="17" borderId="22" xfId="0" applyFont="1" applyFill="1" applyBorder="1" applyAlignment="1">
      <alignment horizontal="center" vertical="center"/>
    </xf>
    <xf numFmtId="0" fontId="0" fillId="0" borderId="19" xfId="0" applyBorder="1"/>
    <xf numFmtId="3" fontId="17" fillId="26" borderId="17" xfId="2" applyNumberFormat="1" applyFont="1" applyFill="1" applyBorder="1" applyAlignment="1">
      <alignment horizontal="right" vertical="center" wrapText="1"/>
    </xf>
    <xf numFmtId="3" fontId="17" fillId="26" borderId="18" xfId="2" applyNumberFormat="1" applyFont="1" applyFill="1" applyBorder="1" applyAlignment="1">
      <alignment horizontal="right" vertical="center" wrapText="1"/>
    </xf>
    <xf numFmtId="0" fontId="46" fillId="19" borderId="22" xfId="0" applyFont="1" applyFill="1" applyBorder="1" applyAlignment="1">
      <alignment horizontal="center" vertical="top" wrapText="1"/>
    </xf>
    <xf numFmtId="0" fontId="46" fillId="19" borderId="19" xfId="0" applyFont="1" applyFill="1" applyBorder="1" applyAlignment="1">
      <alignment horizontal="center" vertical="top" wrapText="1"/>
    </xf>
    <xf numFmtId="0" fontId="46" fillId="19" borderId="23" xfId="0" applyFont="1" applyFill="1" applyBorder="1" applyAlignment="1">
      <alignment horizontal="center" vertical="top" wrapText="1"/>
    </xf>
    <xf numFmtId="0" fontId="1" fillId="22" borderId="0" xfId="0" applyFont="1" applyFill="1" applyAlignment="1">
      <alignment horizontal="right" vertical="center"/>
    </xf>
    <xf numFmtId="0" fontId="23" fillId="19" borderId="57" xfId="0" applyFont="1" applyFill="1" applyBorder="1" applyAlignment="1">
      <alignment horizontal="center" vertical="center" wrapText="1"/>
    </xf>
    <xf numFmtId="0" fontId="23" fillId="19" borderId="20" xfId="0" applyFont="1" applyFill="1" applyBorder="1" applyAlignment="1">
      <alignment horizontal="center" vertical="center" wrapText="1"/>
    </xf>
    <xf numFmtId="0" fontId="23" fillId="19" borderId="28" xfId="0" applyFont="1" applyFill="1" applyBorder="1" applyAlignment="1">
      <alignment horizontal="center" vertical="center" wrapText="1"/>
    </xf>
    <xf numFmtId="0" fontId="59" fillId="19" borderId="8" xfId="0" applyFont="1" applyFill="1" applyBorder="1" applyAlignment="1">
      <alignment horizontal="center" wrapText="1" readingOrder="2"/>
    </xf>
    <xf numFmtId="0" fontId="59" fillId="19" borderId="17" xfId="0" applyFont="1" applyFill="1" applyBorder="1" applyAlignment="1">
      <alignment horizontal="center" wrapText="1" readingOrder="2"/>
    </xf>
    <xf numFmtId="0" fontId="59" fillId="19" borderId="18" xfId="0" applyFont="1" applyFill="1" applyBorder="1" applyAlignment="1">
      <alignment horizontal="center" wrapText="1" readingOrder="2"/>
    </xf>
    <xf numFmtId="0" fontId="17" fillId="26" borderId="17" xfId="2" applyFont="1" applyFill="1" applyBorder="1" applyAlignment="1">
      <alignment horizontal="right" vertical="center" wrapText="1"/>
    </xf>
    <xf numFmtId="0" fontId="17" fillId="26" borderId="18" xfId="2" applyFont="1" applyFill="1" applyBorder="1" applyAlignment="1">
      <alignment horizontal="right" vertical="center" wrapText="1"/>
    </xf>
    <xf numFmtId="0" fontId="3" fillId="18" borderId="20" xfId="0" applyFont="1" applyFill="1" applyBorder="1" applyAlignment="1">
      <alignment horizontal="left" vertical="center"/>
    </xf>
    <xf numFmtId="0" fontId="3" fillId="18" borderId="28" xfId="0" applyFont="1" applyFill="1" applyBorder="1" applyAlignment="1">
      <alignment horizontal="left" vertical="center"/>
    </xf>
    <xf numFmtId="3" fontId="21" fillId="26" borderId="8" xfId="0" applyNumberFormat="1" applyFont="1" applyFill="1" applyBorder="1" applyAlignment="1">
      <alignment horizontal="center" vertical="center"/>
    </xf>
    <xf numFmtId="3" fontId="21" fillId="26" borderId="17" xfId="0" applyNumberFormat="1" applyFont="1" applyFill="1" applyBorder="1" applyAlignment="1">
      <alignment horizontal="center" vertical="center"/>
    </xf>
    <xf numFmtId="3" fontId="21" fillId="26" borderId="18" xfId="0" applyNumberFormat="1" applyFont="1" applyFill="1" applyBorder="1" applyAlignment="1">
      <alignment horizontal="center" vertical="center"/>
    </xf>
    <xf numFmtId="0" fontId="46" fillId="19" borderId="26" xfId="0" applyFont="1" applyFill="1" applyBorder="1" applyAlignment="1">
      <alignment horizontal="center" vertical="top" wrapText="1"/>
    </xf>
    <xf numFmtId="0" fontId="0" fillId="0" borderId="23" xfId="0" applyBorder="1"/>
    <xf numFmtId="0" fontId="23" fillId="19" borderId="21" xfId="0" applyFont="1" applyFill="1" applyBorder="1" applyAlignment="1">
      <alignment horizontal="center" vertical="center" wrapText="1"/>
    </xf>
    <xf numFmtId="0" fontId="0" fillId="0" borderId="20" xfId="0" applyBorder="1"/>
    <xf numFmtId="0" fontId="0" fillId="0" borderId="28" xfId="0" applyBorder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3" fillId="26" borderId="8" xfId="2" applyFont="1" applyFill="1" applyBorder="1" applyAlignment="1">
      <alignment horizontal="left" vertical="center" wrapText="1"/>
    </xf>
    <xf numFmtId="0" fontId="37" fillId="19" borderId="21" xfId="0" applyFont="1" applyFill="1" applyBorder="1" applyAlignment="1">
      <alignment horizontal="center" vertical="center" wrapText="1" readingOrder="2"/>
    </xf>
    <xf numFmtId="0" fontId="3" fillId="18" borderId="0" xfId="0" applyFont="1" applyFill="1" applyAlignment="1">
      <alignment horizontal="left" vertical="center"/>
    </xf>
    <xf numFmtId="3" fontId="21" fillId="26" borderId="26" xfId="0" applyNumberFormat="1" applyFont="1" applyFill="1" applyBorder="1" applyAlignment="1">
      <alignment horizontal="center" vertical="center"/>
    </xf>
    <xf numFmtId="0" fontId="54" fillId="29" borderId="41" xfId="0" applyFont="1" applyFill="1" applyBorder="1" applyAlignment="1">
      <alignment horizontal="center" vertical="center"/>
    </xf>
    <xf numFmtId="0" fontId="0" fillId="0" borderId="41" xfId="0" applyBorder="1"/>
    <xf numFmtId="0" fontId="2" fillId="38" borderId="7" xfId="0" applyFont="1" applyFill="1" applyBorder="1" applyAlignment="1">
      <alignment horizontal="center" vertical="center"/>
    </xf>
    <xf numFmtId="0" fontId="1" fillId="39" borderId="7" xfId="0" applyFont="1" applyFill="1" applyBorder="1" applyAlignment="1">
      <alignment horizontal="right" vertical="center"/>
    </xf>
    <xf numFmtId="0" fontId="0" fillId="22" borderId="20" xfId="0" applyFill="1" applyBorder="1" applyAlignment="1">
      <alignment horizontal="center"/>
    </xf>
    <xf numFmtId="0" fontId="45" fillId="22" borderId="0" xfId="0" applyFont="1" applyFill="1" applyAlignment="1">
      <alignment horizontal="center" vertical="center"/>
    </xf>
    <xf numFmtId="0" fontId="1" fillId="39" borderId="7" xfId="0" applyFont="1" applyFill="1" applyBorder="1" applyAlignment="1" applyProtection="1">
      <alignment horizontal="right" vertical="center"/>
      <protection locked="0"/>
    </xf>
    <xf numFmtId="0" fontId="0" fillId="0" borderId="17" xfId="0" applyBorder="1" applyProtection="1">
      <protection locked="0"/>
    </xf>
    <xf numFmtId="0" fontId="56" fillId="56" borderId="41" xfId="0" applyFont="1" applyFill="1" applyBorder="1" applyAlignment="1">
      <alignment horizontal="center" vertical="center"/>
    </xf>
    <xf numFmtId="3" fontId="39" fillId="41" borderId="31" xfId="0" applyNumberFormat="1" applyFont="1" applyFill="1" applyBorder="1" applyAlignment="1" applyProtection="1">
      <alignment horizontal="center" vertical="center"/>
      <protection locked="0"/>
    </xf>
    <xf numFmtId="0" fontId="0" fillId="0" borderId="37" xfId="0" applyBorder="1" applyProtection="1">
      <protection locked="0"/>
    </xf>
    <xf numFmtId="0" fontId="0" fillId="0" borderId="27" xfId="0" applyBorder="1"/>
    <xf numFmtId="0" fontId="0" fillId="0" borderId="26" xfId="0" applyBorder="1"/>
    <xf numFmtId="0" fontId="23" fillId="19" borderId="7" xfId="0" applyFont="1" applyFill="1" applyBorder="1" applyAlignment="1">
      <alignment horizontal="center" vertical="center"/>
    </xf>
    <xf numFmtId="0" fontId="45" fillId="52" borderId="47" xfId="0" applyFont="1" applyFill="1" applyBorder="1" applyAlignment="1">
      <alignment horizontal="center" vertical="center"/>
    </xf>
    <xf numFmtId="0" fontId="0" fillId="0" borderId="30" xfId="0" applyBorder="1"/>
    <xf numFmtId="0" fontId="2" fillId="14" borderId="33" xfId="0" applyFont="1" applyFill="1" applyBorder="1" applyAlignment="1">
      <alignment horizontal="center" vertical="center" wrapText="1"/>
    </xf>
    <xf numFmtId="0" fontId="0" fillId="0" borderId="35" xfId="0" applyBorder="1"/>
    <xf numFmtId="0" fontId="37" fillId="19" borderId="7" xfId="0" applyFont="1" applyFill="1" applyBorder="1" applyAlignment="1">
      <alignment horizontal="center" vertical="center" wrapText="1" readingOrder="2"/>
    </xf>
    <xf numFmtId="0" fontId="0" fillId="0" borderId="34" xfId="0" applyBorder="1"/>
    <xf numFmtId="0" fontId="0" fillId="0" borderId="20" xfId="0" applyBorder="1" applyAlignment="1">
      <alignment horizontal="center"/>
    </xf>
    <xf numFmtId="3" fontId="39" fillId="41" borderId="31" xfId="0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7" xfId="0" applyBorder="1"/>
    <xf numFmtId="3" fontId="14" fillId="41" borderId="31" xfId="0" applyNumberFormat="1" applyFont="1" applyFill="1" applyBorder="1" applyAlignment="1">
      <alignment horizontal="center" vertical="center"/>
    </xf>
    <xf numFmtId="0" fontId="27" fillId="2" borderId="7" xfId="0" applyFont="1" applyFill="1" applyBorder="1" applyAlignment="1">
      <alignment horizontal="left" vertical="center"/>
    </xf>
    <xf numFmtId="0" fontId="8" fillId="12" borderId="5" xfId="0" applyFont="1" applyFill="1" applyBorder="1" applyAlignment="1">
      <alignment horizontal="center" vertical="center" wrapText="1"/>
    </xf>
    <xf numFmtId="0" fontId="0" fillId="0" borderId="5" xfId="0" applyBorder="1"/>
    <xf numFmtId="0" fontId="8" fillId="12" borderId="1" xfId="0" applyFont="1" applyFill="1" applyBorder="1" applyAlignment="1" applyProtection="1">
      <alignment horizontal="center" vertical="center" wrapText="1"/>
      <protection locked="0"/>
    </xf>
    <xf numFmtId="0" fontId="0" fillId="0" borderId="5" xfId="0" applyBorder="1" applyProtection="1">
      <protection locked="0"/>
    </xf>
    <xf numFmtId="0" fontId="44" fillId="2" borderId="7" xfId="0" applyFont="1" applyFill="1" applyBorder="1" applyAlignment="1">
      <alignment horizontal="right" vertical="center"/>
    </xf>
    <xf numFmtId="0" fontId="14" fillId="22" borderId="24" xfId="0" applyFont="1" applyFill="1" applyBorder="1" applyAlignment="1">
      <alignment horizontal="center" vertical="center"/>
    </xf>
    <xf numFmtId="0" fontId="0" fillId="0" borderId="24" xfId="0" applyBorder="1"/>
    <xf numFmtId="0" fontId="8" fillId="12" borderId="5" xfId="0" applyFont="1" applyFill="1" applyBorder="1" applyAlignment="1">
      <alignment horizontal="center" vertical="center"/>
    </xf>
    <xf numFmtId="0" fontId="0" fillId="0" borderId="3" xfId="0" applyBorder="1"/>
    <xf numFmtId="0" fontId="3" fillId="2" borderId="7" xfId="0" applyFont="1" applyFill="1" applyBorder="1" applyAlignment="1">
      <alignment horizontal="left" vertical="center"/>
    </xf>
    <xf numFmtId="0" fontId="8" fillId="12" borderId="1" xfId="0" applyFont="1" applyFill="1" applyBorder="1" applyAlignment="1">
      <alignment horizontal="center" vertical="center"/>
    </xf>
    <xf numFmtId="0" fontId="8" fillId="12" borderId="48" xfId="0" applyFont="1" applyFill="1" applyBorder="1" applyAlignment="1" applyProtection="1">
      <alignment horizontal="center" vertical="center" wrapText="1"/>
      <protection locked="0"/>
    </xf>
    <xf numFmtId="3" fontId="14" fillId="18" borderId="7" xfId="0" applyNumberFormat="1" applyFont="1" applyFill="1" applyBorder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33" fillId="14" borderId="23" xfId="0" applyFont="1" applyFill="1" applyBorder="1" applyAlignment="1">
      <alignment horizontal="center"/>
    </xf>
    <xf numFmtId="0" fontId="2" fillId="14" borderId="0" xfId="0" applyFont="1" applyFill="1" applyAlignment="1">
      <alignment horizontal="center" vertical="center" readingOrder="2"/>
    </xf>
    <xf numFmtId="0" fontId="13" fillId="37" borderId="23" xfId="0" applyFont="1" applyFill="1" applyBorder="1" applyAlignment="1">
      <alignment horizontal="center" vertical="center"/>
    </xf>
    <xf numFmtId="0" fontId="2" fillId="37" borderId="0" xfId="0" applyFont="1" applyFill="1" applyAlignment="1">
      <alignment horizontal="center" vertical="center" readingOrder="2"/>
    </xf>
    <xf numFmtId="0" fontId="0" fillId="34" borderId="7" xfId="0" applyFill="1" applyBorder="1" applyAlignment="1">
      <alignment horizontal="center" vertical="center" textRotation="180"/>
    </xf>
    <xf numFmtId="49" fontId="3" fillId="53" borderId="51" xfId="0" applyNumberFormat="1" applyFont="1" applyFill="1" applyBorder="1" applyAlignment="1">
      <alignment horizontal="center" vertical="center" readingOrder="2"/>
    </xf>
    <xf numFmtId="49" fontId="3" fillId="53" borderId="0" xfId="0" applyNumberFormat="1" applyFont="1" applyFill="1" applyAlignment="1">
      <alignment horizontal="center" vertical="center" readingOrder="2"/>
    </xf>
    <xf numFmtId="49" fontId="3" fillId="53" borderId="52" xfId="0" applyNumberFormat="1" applyFont="1" applyFill="1" applyBorder="1" applyAlignment="1">
      <alignment horizontal="center" vertical="center" readingOrder="2"/>
    </xf>
    <xf numFmtId="0" fontId="37" fillId="19" borderId="0" xfId="0" applyFont="1" applyFill="1" applyAlignment="1" applyProtection="1">
      <alignment horizontal="center" vertical="center" wrapText="1" readingOrder="2"/>
      <protection hidden="1"/>
    </xf>
    <xf numFmtId="0" fontId="0" fillId="0" borderId="0" xfId="0" applyProtection="1">
      <protection hidden="1"/>
    </xf>
    <xf numFmtId="0" fontId="58" fillId="19" borderId="19" xfId="0" applyFont="1" applyFill="1" applyBorder="1" applyAlignment="1" applyProtection="1">
      <alignment horizontal="center" vertical="center" wrapText="1"/>
      <protection hidden="1"/>
    </xf>
    <xf numFmtId="0" fontId="0" fillId="0" borderId="19" xfId="0" applyBorder="1" applyProtection="1">
      <protection hidden="1"/>
    </xf>
    <xf numFmtId="49" fontId="3" fillId="53" borderId="45" xfId="0" applyNumberFormat="1" applyFont="1" applyFill="1" applyBorder="1" applyAlignment="1">
      <alignment horizontal="center" vertical="center" readingOrder="2"/>
    </xf>
    <xf numFmtId="0" fontId="0" fillId="0" borderId="43" xfId="0" applyBorder="1"/>
    <xf numFmtId="49" fontId="3" fillId="41" borderId="45" xfId="0" applyNumberFormat="1" applyFont="1" applyFill="1" applyBorder="1" applyAlignment="1">
      <alignment horizontal="center" vertical="center" readingOrder="2"/>
    </xf>
    <xf numFmtId="0" fontId="0" fillId="41" borderId="34" xfId="0" applyFill="1" applyBorder="1"/>
    <xf numFmtId="0" fontId="0" fillId="41" borderId="43" xfId="0" applyFill="1" applyBorder="1"/>
    <xf numFmtId="3" fontId="14" fillId="18" borderId="7" xfId="0" applyNumberFormat="1" applyFont="1" applyFill="1" applyBorder="1" applyAlignment="1" applyProtection="1">
      <alignment horizontal="center" vertical="center"/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48" fillId="56" borderId="7" xfId="0" applyFont="1" applyFill="1" applyBorder="1" applyAlignment="1">
      <alignment horizontal="center" vertical="center"/>
    </xf>
    <xf numFmtId="49" fontId="3" fillId="53" borderId="53" xfId="0" applyNumberFormat="1" applyFont="1" applyFill="1" applyBorder="1" applyAlignment="1">
      <alignment horizontal="center" vertical="center" readingOrder="2"/>
    </xf>
    <xf numFmtId="49" fontId="3" fillId="53" borderId="34" xfId="0" applyNumberFormat="1" applyFont="1" applyFill="1" applyBorder="1" applyAlignment="1">
      <alignment horizontal="center" vertical="center" readingOrder="2"/>
    </xf>
    <xf numFmtId="49" fontId="3" fillId="53" borderId="43" xfId="0" applyNumberFormat="1" applyFont="1" applyFill="1" applyBorder="1" applyAlignment="1">
      <alignment horizontal="center" vertical="center" readingOrder="2"/>
    </xf>
    <xf numFmtId="0" fontId="60" fillId="19" borderId="26" xfId="0" applyFont="1" applyFill="1" applyBorder="1" applyAlignment="1" applyProtection="1">
      <alignment horizontal="center" vertical="center" wrapText="1"/>
      <protection hidden="1"/>
    </xf>
    <xf numFmtId="0" fontId="1" fillId="7" borderId="7" xfId="0" applyFont="1" applyFill="1" applyBorder="1" applyAlignment="1">
      <alignment horizontal="right" vertical="center"/>
    </xf>
    <xf numFmtId="0" fontId="1" fillId="40" borderId="26" xfId="0" applyFont="1" applyFill="1" applyBorder="1" applyAlignment="1">
      <alignment horizontal="right" vertical="center"/>
    </xf>
    <xf numFmtId="0" fontId="2" fillId="40" borderId="7" xfId="0" applyFont="1" applyFill="1" applyBorder="1" applyAlignment="1">
      <alignment horizontal="center" vertical="center"/>
    </xf>
    <xf numFmtId="9" fontId="1" fillId="7" borderId="7" xfId="0" applyNumberFormat="1" applyFont="1" applyFill="1" applyBorder="1" applyAlignment="1">
      <alignment horizontal="right" vertical="center"/>
    </xf>
    <xf numFmtId="0" fontId="14" fillId="40" borderId="7" xfId="0" applyFont="1" applyFill="1" applyBorder="1" applyAlignment="1">
      <alignment horizontal="center" vertical="center"/>
    </xf>
    <xf numFmtId="3" fontId="3" fillId="0" borderId="7" xfId="0" applyNumberFormat="1" applyFont="1" applyBorder="1" applyAlignment="1">
      <alignment horizontal="right" vertical="center"/>
    </xf>
    <xf numFmtId="0" fontId="32" fillId="3" borderId="0" xfId="0" applyFont="1" applyFill="1" applyAlignment="1">
      <alignment horizontal="center" vertical="center"/>
    </xf>
    <xf numFmtId="169" fontId="0" fillId="0" borderId="7" xfId="0" applyNumberFormat="1" applyBorder="1" applyAlignment="1">
      <alignment horizontal="center"/>
    </xf>
    <xf numFmtId="164" fontId="33" fillId="0" borderId="7" xfId="0" applyNumberFormat="1" applyFont="1" applyBorder="1" applyAlignment="1">
      <alignment horizontal="center" vertical="center"/>
    </xf>
    <xf numFmtId="4" fontId="0" fillId="0" borderId="7" xfId="0" applyNumberFormat="1" applyBorder="1" applyAlignment="1">
      <alignment horizontal="center"/>
    </xf>
    <xf numFmtId="169" fontId="0" fillId="0" borderId="18" xfId="0" applyNumberFormat="1" applyBorder="1" applyAlignment="1">
      <alignment horizontal="center" vertical="center"/>
    </xf>
    <xf numFmtId="0" fontId="1" fillId="0" borderId="49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" fillId="10" borderId="50" xfId="0" applyFont="1" applyFill="1" applyBorder="1" applyAlignment="1">
      <alignment horizontal="center" vertical="center"/>
    </xf>
    <xf numFmtId="0" fontId="1" fillId="0" borderId="0" xfId="0" applyFont="1"/>
    <xf numFmtId="0" fontId="0" fillId="0" borderId="9" xfId="0" applyBorder="1"/>
    <xf numFmtId="164" fontId="20" fillId="0" borderId="7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textRotation="90"/>
    </xf>
    <xf numFmtId="3" fontId="3" fillId="0" borderId="7" xfId="0" applyNumberFormat="1" applyFont="1" applyBorder="1" applyAlignment="1">
      <alignment horizontal="center" vertical="center"/>
    </xf>
    <xf numFmtId="0" fontId="1" fillId="40" borderId="7" xfId="0" applyFont="1" applyFill="1" applyBorder="1" applyAlignment="1">
      <alignment horizontal="right" vertical="center"/>
    </xf>
  </cellXfs>
  <cellStyles count="5">
    <cellStyle name="Calculation" xfId="4" builtinId="22"/>
    <cellStyle name="Comma" xfId="1" builtinId="3"/>
    <cellStyle name="Hyperlink" xfId="2" builtinId="8"/>
    <cellStyle name="Normal" xfId="0" builtinId="0"/>
    <cellStyle name="Percent" xfId="3" builtinId="5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DDB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64"/>
  <sheetViews>
    <sheetView showGridLines="0" rightToLeft="1" tabSelected="1" zoomScaleNormal="100" zoomScaleSheetLayoutView="100" zoomScalePageLayoutView="80" workbookViewId="0">
      <selection activeCell="B1" sqref="B1:C1"/>
    </sheetView>
  </sheetViews>
  <sheetFormatPr defaultColWidth="0" defaultRowHeight="16.5" customHeight="1" zeroHeight="1" x14ac:dyDescent="0.45"/>
  <cols>
    <col min="1" max="1" width="2" customWidth="1"/>
    <col min="2" max="2" width="5.33203125" customWidth="1"/>
    <col min="3" max="3" width="29.46484375" customWidth="1"/>
    <col min="4" max="4" width="28.86328125" customWidth="1"/>
    <col min="5" max="5" width="38.53125" customWidth="1"/>
    <col min="6" max="6" width="30.6640625" customWidth="1"/>
    <col min="7" max="7" width="2" customWidth="1"/>
    <col min="8" max="8" width="11.1328125" hidden="1" customWidth="1"/>
    <col min="9" max="16384" width="11.1328125" hidden="1"/>
  </cols>
  <sheetData>
    <row r="1" spans="1:11" ht="102.75" customHeight="1" x14ac:dyDescent="1.25">
      <c r="B1" s="297" t="s">
        <v>451</v>
      </c>
      <c r="C1" s="291"/>
      <c r="D1" s="290" t="s">
        <v>0</v>
      </c>
      <c r="E1" s="291"/>
      <c r="F1" s="237" t="s">
        <v>358</v>
      </c>
      <c r="G1" s="251"/>
      <c r="H1" s="103"/>
      <c r="I1" s="238">
        <v>3.1</v>
      </c>
    </row>
    <row r="2" spans="1:11" ht="20.25" customHeight="1" x14ac:dyDescent="0.45">
      <c r="B2" s="293" t="s">
        <v>1</v>
      </c>
      <c r="C2" s="294"/>
      <c r="D2" s="294"/>
      <c r="E2" s="294"/>
      <c r="F2" s="291"/>
      <c r="H2" s="98"/>
    </row>
    <row r="3" spans="1:11" ht="25.5" customHeight="1" x14ac:dyDescent="0.45">
      <c r="A3" s="302"/>
      <c r="B3" s="292" t="s">
        <v>2</v>
      </c>
      <c r="C3" s="291"/>
      <c r="D3" s="295" t="s">
        <v>363</v>
      </c>
      <c r="E3" s="294"/>
      <c r="F3" s="291"/>
      <c r="H3" s="98"/>
    </row>
    <row r="4" spans="1:11" ht="42" customHeight="1" x14ac:dyDescent="0.45">
      <c r="A4" s="301"/>
      <c r="B4" s="292" t="s">
        <v>3</v>
      </c>
      <c r="C4" s="291"/>
      <c r="D4" s="296" t="s">
        <v>359</v>
      </c>
      <c r="E4" s="294"/>
      <c r="F4" s="291"/>
      <c r="H4" s="98"/>
    </row>
    <row r="5" spans="1:11" ht="21" customHeight="1" x14ac:dyDescent="0.45">
      <c r="A5" s="301"/>
      <c r="B5" s="292" t="s">
        <v>4</v>
      </c>
      <c r="C5" s="291"/>
      <c r="D5" s="71" t="s">
        <v>232</v>
      </c>
      <c r="E5" s="89" t="s">
        <v>5</v>
      </c>
      <c r="F5" s="71" t="s">
        <v>442</v>
      </c>
    </row>
    <row r="6" spans="1:11" ht="21" customHeight="1" x14ac:dyDescent="0.45">
      <c r="A6" s="301"/>
      <c r="B6" s="292" t="s">
        <v>6</v>
      </c>
      <c r="C6" s="291"/>
      <c r="D6" s="71" t="s">
        <v>362</v>
      </c>
      <c r="E6" s="89" t="s">
        <v>8</v>
      </c>
      <c r="F6" s="71" t="s">
        <v>361</v>
      </c>
    </row>
    <row r="7" spans="1:11" ht="18.75" customHeight="1" x14ac:dyDescent="0.45">
      <c r="A7" s="301"/>
      <c r="B7" s="292" t="s">
        <v>9</v>
      </c>
      <c r="C7" s="291"/>
      <c r="D7" s="71" t="s">
        <v>443</v>
      </c>
      <c r="E7" s="89" t="s">
        <v>10</v>
      </c>
      <c r="F7" s="236" t="s">
        <v>360</v>
      </c>
    </row>
    <row r="8" spans="1:11" ht="24.75" customHeight="1" x14ac:dyDescent="0.45">
      <c r="A8" s="301"/>
    </row>
    <row r="9" spans="1:11" ht="8.25" customHeight="1" x14ac:dyDescent="0.45">
      <c r="K9" s="74"/>
    </row>
    <row r="10" spans="1:11" ht="20.25" customHeight="1" x14ac:dyDescent="0.45">
      <c r="B10" s="303" t="s">
        <v>12</v>
      </c>
      <c r="C10" s="304"/>
      <c r="D10" s="304"/>
      <c r="E10" s="304"/>
      <c r="F10" s="304"/>
    </row>
    <row r="11" spans="1:11" ht="21" customHeight="1" x14ac:dyDescent="0.45">
      <c r="B11" s="90" t="s">
        <v>13</v>
      </c>
      <c r="C11" s="91" t="s">
        <v>14</v>
      </c>
      <c r="D11" s="299" t="s">
        <v>15</v>
      </c>
      <c r="E11" s="291"/>
      <c r="F11" s="90" t="s">
        <v>16</v>
      </c>
    </row>
    <row r="12" spans="1:11" ht="18.95" customHeight="1" x14ac:dyDescent="0.9">
      <c r="B12" s="21">
        <v>1</v>
      </c>
      <c r="C12" s="94" t="s">
        <v>337</v>
      </c>
      <c r="D12" s="288"/>
      <c r="E12" s="289"/>
      <c r="F12" s="92" t="s">
        <v>17</v>
      </c>
    </row>
    <row r="13" spans="1:11" ht="18.95" customHeight="1" x14ac:dyDescent="0.9">
      <c r="B13" s="21">
        <v>2</v>
      </c>
      <c r="C13" s="94"/>
      <c r="D13" s="288"/>
      <c r="E13" s="289"/>
      <c r="F13" s="92"/>
    </row>
    <row r="14" spans="1:11" ht="18.95" customHeight="1" x14ac:dyDescent="0.9">
      <c r="B14" s="21">
        <v>3</v>
      </c>
      <c r="C14" s="94"/>
      <c r="D14" s="288"/>
      <c r="E14" s="289"/>
      <c r="F14" s="92"/>
    </row>
    <row r="15" spans="1:11" ht="18.95" customHeight="1" x14ac:dyDescent="0.9">
      <c r="B15" s="21">
        <v>4</v>
      </c>
      <c r="C15" s="94"/>
      <c r="D15" s="288"/>
      <c r="E15" s="289"/>
      <c r="F15" s="92"/>
    </row>
    <row r="16" spans="1:11" ht="18.95" customHeight="1" x14ac:dyDescent="0.9">
      <c r="B16" s="21">
        <v>5</v>
      </c>
      <c r="C16" s="94"/>
      <c r="D16" s="298"/>
      <c r="E16" s="289"/>
      <c r="F16" s="92"/>
    </row>
    <row r="17" spans="2:6" ht="18.95" customHeight="1" x14ac:dyDescent="0.9">
      <c r="B17" s="21">
        <v>6</v>
      </c>
      <c r="C17" s="94"/>
      <c r="D17" s="288"/>
      <c r="E17" s="289"/>
      <c r="F17" s="92"/>
    </row>
    <row r="18" spans="2:6" ht="18.95" customHeight="1" x14ac:dyDescent="0.9">
      <c r="B18" s="21">
        <v>7</v>
      </c>
      <c r="C18" s="94"/>
      <c r="D18" s="288"/>
      <c r="E18" s="289"/>
      <c r="F18" s="92"/>
    </row>
    <row r="19" spans="2:6" ht="18.95" customHeight="1" x14ac:dyDescent="0.9">
      <c r="B19" s="21">
        <v>8</v>
      </c>
      <c r="C19" s="94"/>
      <c r="D19" s="288"/>
      <c r="E19" s="289"/>
      <c r="F19" s="92"/>
    </row>
    <row r="20" spans="2:6" ht="18.95" customHeight="1" x14ac:dyDescent="0.9">
      <c r="B20" s="21">
        <v>9</v>
      </c>
      <c r="C20" s="94"/>
      <c r="D20" s="288"/>
      <c r="E20" s="289"/>
      <c r="F20" s="92"/>
    </row>
    <row r="21" spans="2:6" ht="18.95" customHeight="1" x14ac:dyDescent="0.9">
      <c r="B21" s="21">
        <v>10</v>
      </c>
      <c r="C21" s="94"/>
      <c r="D21" s="288"/>
      <c r="E21" s="289"/>
      <c r="F21" s="92"/>
    </row>
    <row r="22" spans="2:6" ht="18.95" customHeight="1" x14ac:dyDescent="0.9">
      <c r="B22" s="21">
        <v>11</v>
      </c>
      <c r="C22" s="94"/>
      <c r="D22" s="288"/>
      <c r="E22" s="289"/>
      <c r="F22" s="92"/>
    </row>
    <row r="23" spans="2:6" ht="18.95" customHeight="1" x14ac:dyDescent="0.9">
      <c r="B23" s="21">
        <v>12</v>
      </c>
      <c r="C23" s="94"/>
      <c r="D23" s="288"/>
      <c r="E23" s="289"/>
      <c r="F23" s="92"/>
    </row>
    <row r="24" spans="2:6" ht="18.95" customHeight="1" x14ac:dyDescent="0.9">
      <c r="B24" s="21">
        <v>13</v>
      </c>
      <c r="C24" s="94"/>
      <c r="D24" s="288"/>
      <c r="E24" s="289"/>
      <c r="F24" s="92"/>
    </row>
    <row r="25" spans="2:6" ht="18.95" customHeight="1" x14ac:dyDescent="0.9">
      <c r="B25" s="21">
        <v>14</v>
      </c>
      <c r="C25" s="94"/>
      <c r="D25" s="288"/>
      <c r="E25" s="289"/>
      <c r="F25" s="92"/>
    </row>
    <row r="26" spans="2:6" ht="18.95" customHeight="1" x14ac:dyDescent="0.9">
      <c r="B26" s="21">
        <v>15</v>
      </c>
      <c r="C26" s="94"/>
      <c r="D26" s="288"/>
      <c r="E26" s="289"/>
      <c r="F26" s="92"/>
    </row>
    <row r="27" spans="2:6" ht="18.95" customHeight="1" x14ac:dyDescent="0.9">
      <c r="B27" s="21">
        <v>16</v>
      </c>
      <c r="C27" s="94"/>
      <c r="D27" s="288"/>
      <c r="E27" s="289"/>
      <c r="F27" s="92"/>
    </row>
    <row r="28" spans="2:6" ht="18.95" customHeight="1" x14ac:dyDescent="0.9">
      <c r="B28" s="21">
        <v>17</v>
      </c>
      <c r="C28" s="94"/>
      <c r="D28" s="288"/>
      <c r="E28" s="289"/>
      <c r="F28" s="92"/>
    </row>
    <row r="29" spans="2:6" ht="18.95" customHeight="1" x14ac:dyDescent="0.9">
      <c r="B29" s="21">
        <v>18</v>
      </c>
      <c r="C29" s="94"/>
      <c r="D29" s="288"/>
      <c r="E29" s="289"/>
      <c r="F29" s="92"/>
    </row>
    <row r="30" spans="2:6" ht="18.95" customHeight="1" x14ac:dyDescent="0.9">
      <c r="B30" s="21">
        <v>19</v>
      </c>
      <c r="C30" s="94"/>
      <c r="D30" s="288"/>
      <c r="E30" s="289"/>
      <c r="F30" s="92"/>
    </row>
    <row r="31" spans="2:6" ht="18.95" customHeight="1" x14ac:dyDescent="0.9">
      <c r="B31" s="21">
        <v>20</v>
      </c>
      <c r="C31" s="94"/>
      <c r="D31" s="288"/>
      <c r="E31" s="289"/>
      <c r="F31" s="92"/>
    </row>
    <row r="32" spans="2:6" ht="19.5" customHeight="1" x14ac:dyDescent="0.9">
      <c r="B32" s="21">
        <v>21</v>
      </c>
      <c r="C32" s="94"/>
      <c r="D32" s="288"/>
      <c r="E32" s="289"/>
      <c r="F32" s="92"/>
    </row>
    <row r="33" spans="2:6" ht="19.5" customHeight="1" x14ac:dyDescent="0.9">
      <c r="B33" s="21">
        <v>22</v>
      </c>
      <c r="C33" s="94"/>
      <c r="D33" s="288"/>
      <c r="E33" s="289"/>
      <c r="F33" s="92"/>
    </row>
    <row r="34" spans="2:6" ht="19.5" customHeight="1" x14ac:dyDescent="0.9">
      <c r="B34" s="21">
        <v>23</v>
      </c>
      <c r="C34" s="94"/>
      <c r="D34" s="288"/>
      <c r="E34" s="289"/>
      <c r="F34" s="92"/>
    </row>
    <row r="35" spans="2:6" ht="19.5" customHeight="1" x14ac:dyDescent="0.9">
      <c r="B35" s="21">
        <v>24</v>
      </c>
      <c r="C35" s="94"/>
      <c r="D35" s="288"/>
      <c r="E35" s="289"/>
      <c r="F35" s="92"/>
    </row>
    <row r="36" spans="2:6" ht="19.5" customHeight="1" x14ac:dyDescent="0.9">
      <c r="B36" s="21">
        <v>25</v>
      </c>
      <c r="C36" s="94"/>
      <c r="D36" s="288"/>
      <c r="E36" s="289"/>
      <c r="F36" s="92"/>
    </row>
    <row r="37" spans="2:6" ht="19.5" customHeight="1" x14ac:dyDescent="0.9">
      <c r="B37" s="21">
        <v>26</v>
      </c>
      <c r="C37" s="94"/>
      <c r="D37" s="288"/>
      <c r="E37" s="289"/>
      <c r="F37" s="92"/>
    </row>
    <row r="38" spans="2:6" ht="19.5" customHeight="1" x14ac:dyDescent="0.9">
      <c r="B38" s="21">
        <v>27</v>
      </c>
      <c r="C38" s="94"/>
      <c r="D38" s="288"/>
      <c r="E38" s="289"/>
      <c r="F38" s="92"/>
    </row>
    <row r="39" spans="2:6" ht="19.5" customHeight="1" x14ac:dyDescent="0.9">
      <c r="B39" s="21">
        <v>28</v>
      </c>
      <c r="C39" s="94"/>
      <c r="D39" s="288"/>
      <c r="E39" s="289"/>
      <c r="F39" s="92"/>
    </row>
    <row r="40" spans="2:6" ht="19.5" customHeight="1" x14ac:dyDescent="0.9">
      <c r="B40" s="21">
        <v>29</v>
      </c>
      <c r="C40" s="94"/>
      <c r="D40" s="288"/>
      <c r="E40" s="289"/>
      <c r="F40" s="92"/>
    </row>
    <row r="41" spans="2:6" ht="19.5" customHeight="1" x14ac:dyDescent="0.9">
      <c r="B41" s="21">
        <v>30</v>
      </c>
      <c r="C41" s="94"/>
      <c r="D41" s="288"/>
      <c r="E41" s="289"/>
      <c r="F41" s="92"/>
    </row>
    <row r="42" spans="2:6" ht="19.5" customHeight="1" x14ac:dyDescent="0.9">
      <c r="B42" s="21">
        <v>31</v>
      </c>
      <c r="C42" s="94"/>
      <c r="D42" s="288"/>
      <c r="E42" s="289"/>
      <c r="F42" s="92"/>
    </row>
    <row r="43" spans="2:6" ht="19.5" customHeight="1" x14ac:dyDescent="0.9">
      <c r="B43" s="21">
        <v>32</v>
      </c>
      <c r="C43" s="94"/>
      <c r="D43" s="288"/>
      <c r="E43" s="289"/>
      <c r="F43" s="92"/>
    </row>
    <row r="44" spans="2:6" ht="19.5" customHeight="1" x14ac:dyDescent="0.9">
      <c r="B44" s="21">
        <v>33</v>
      </c>
      <c r="C44" s="94"/>
      <c r="D44" s="288"/>
      <c r="E44" s="289"/>
      <c r="F44" s="92"/>
    </row>
    <row r="45" spans="2:6" ht="19.5" customHeight="1" x14ac:dyDescent="0.9">
      <c r="B45" s="21">
        <v>34</v>
      </c>
      <c r="C45" s="94"/>
      <c r="D45" s="288"/>
      <c r="E45" s="289"/>
      <c r="F45" s="92"/>
    </row>
    <row r="46" spans="2:6" ht="19.5" customHeight="1" x14ac:dyDescent="0.9">
      <c r="B46" s="21">
        <v>35</v>
      </c>
      <c r="C46" s="94"/>
      <c r="D46" s="288"/>
      <c r="E46" s="289"/>
      <c r="F46" s="92"/>
    </row>
    <row r="47" spans="2:6" ht="19.5" customHeight="1" x14ac:dyDescent="0.9">
      <c r="B47" s="21">
        <v>36</v>
      </c>
      <c r="C47" s="94"/>
      <c r="D47" s="288"/>
      <c r="E47" s="289"/>
      <c r="F47" s="92"/>
    </row>
    <row r="48" spans="2:6" ht="19.5" customHeight="1" x14ac:dyDescent="0.9">
      <c r="B48" s="21">
        <v>37</v>
      </c>
      <c r="C48" s="94"/>
      <c r="D48" s="288"/>
      <c r="E48" s="289"/>
      <c r="F48" s="92"/>
    </row>
    <row r="49" spans="2:11" ht="19.5" customHeight="1" x14ac:dyDescent="0.9">
      <c r="B49" s="21">
        <v>38</v>
      </c>
      <c r="C49" s="94"/>
      <c r="D49" s="288"/>
      <c r="E49" s="289"/>
      <c r="F49" s="92"/>
    </row>
    <row r="50" spans="2:11" ht="19.5" customHeight="1" x14ac:dyDescent="0.9">
      <c r="B50" s="21">
        <v>39</v>
      </c>
      <c r="C50" s="94"/>
      <c r="D50" s="288"/>
      <c r="E50" s="289"/>
      <c r="F50" s="92"/>
    </row>
    <row r="51" spans="2:11" ht="19.5" customHeight="1" x14ac:dyDescent="0.9">
      <c r="B51" s="21">
        <v>40</v>
      </c>
      <c r="C51" s="94"/>
      <c r="D51" s="288"/>
      <c r="E51" s="289"/>
      <c r="F51" s="92"/>
    </row>
    <row r="52" spans="2:11" ht="19.5" customHeight="1" x14ac:dyDescent="0.9">
      <c r="B52" s="21">
        <v>41</v>
      </c>
      <c r="C52" s="94"/>
      <c r="D52" s="288"/>
      <c r="E52" s="289"/>
      <c r="F52" s="92"/>
    </row>
    <row r="53" spans="2:11" ht="19.5" customHeight="1" x14ac:dyDescent="0.9">
      <c r="B53" s="21">
        <v>42</v>
      </c>
      <c r="C53" s="94"/>
      <c r="D53" s="288"/>
      <c r="E53" s="289"/>
      <c r="F53" s="92"/>
    </row>
    <row r="54" spans="2:11" ht="19.5" customHeight="1" x14ac:dyDescent="0.9">
      <c r="B54" s="21">
        <v>43</v>
      </c>
      <c r="C54" s="94"/>
      <c r="D54" s="288"/>
      <c r="E54" s="289"/>
      <c r="F54" s="92"/>
    </row>
    <row r="55" spans="2:11" ht="19.5" customHeight="1" x14ac:dyDescent="0.9">
      <c r="B55" s="21">
        <v>44</v>
      </c>
      <c r="C55" s="94"/>
      <c r="D55" s="288"/>
      <c r="E55" s="289"/>
      <c r="F55" s="92"/>
      <c r="K55" s="110"/>
    </row>
    <row r="56" spans="2:11" ht="19.5" customHeight="1" x14ac:dyDescent="0.9">
      <c r="B56" s="21">
        <v>45</v>
      </c>
      <c r="C56" s="94"/>
      <c r="D56" s="288"/>
      <c r="E56" s="289"/>
      <c r="F56" s="92"/>
    </row>
    <row r="57" spans="2:11" ht="19.5" customHeight="1" x14ac:dyDescent="0.9">
      <c r="B57" s="21">
        <v>46</v>
      </c>
      <c r="C57" s="94"/>
      <c r="D57" s="288"/>
      <c r="E57" s="289"/>
      <c r="F57" s="92"/>
    </row>
    <row r="58" spans="2:11" ht="19.5" customHeight="1" x14ac:dyDescent="0.9">
      <c r="B58" s="21">
        <v>47</v>
      </c>
      <c r="C58" s="94"/>
      <c r="D58" s="288"/>
      <c r="E58" s="289"/>
      <c r="F58" s="92"/>
    </row>
    <row r="59" spans="2:11" ht="19.5" customHeight="1" x14ac:dyDescent="0.9">
      <c r="B59" s="21">
        <v>48</v>
      </c>
      <c r="C59" s="94"/>
      <c r="D59" s="288"/>
      <c r="E59" s="289"/>
      <c r="F59" s="92"/>
    </row>
    <row r="60" spans="2:11" ht="19.5" customHeight="1" x14ac:dyDescent="0.9">
      <c r="B60" s="21">
        <v>49</v>
      </c>
      <c r="C60" s="94"/>
      <c r="D60" s="288"/>
      <c r="E60" s="289"/>
      <c r="F60" s="92"/>
    </row>
    <row r="61" spans="2:11" ht="19.5" customHeight="1" x14ac:dyDescent="0.9">
      <c r="B61" s="21">
        <v>50</v>
      </c>
      <c r="C61" s="95"/>
      <c r="D61" s="288"/>
      <c r="E61" s="289"/>
      <c r="F61" s="92"/>
    </row>
    <row r="62" spans="2:11" ht="10.5" customHeight="1" x14ac:dyDescent="0.45"/>
    <row r="63" spans="2:11" ht="11.25" customHeight="1" x14ac:dyDescent="0.45">
      <c r="C63" s="300"/>
      <c r="D63" s="301"/>
      <c r="E63" s="301"/>
      <c r="F63" s="301"/>
    </row>
    <row r="64" spans="2:11" ht="16.5" customHeight="1" x14ac:dyDescent="0.45"/>
  </sheetData>
  <mergeCells count="64">
    <mergeCell ref="B4:C4"/>
    <mergeCell ref="D13:E13"/>
    <mergeCell ref="D27:E27"/>
    <mergeCell ref="D20:E20"/>
    <mergeCell ref="D38:E38"/>
    <mergeCell ref="D14:E14"/>
    <mergeCell ref="D32:E32"/>
    <mergeCell ref="D15:E15"/>
    <mergeCell ref="C63:F63"/>
    <mergeCell ref="D56:E56"/>
    <mergeCell ref="D58:E58"/>
    <mergeCell ref="D55:E55"/>
    <mergeCell ref="A3:A8"/>
    <mergeCell ref="B10:F10"/>
    <mergeCell ref="D43:E43"/>
    <mergeCell ref="D37:E37"/>
    <mergeCell ref="D28:E28"/>
    <mergeCell ref="D18:E18"/>
    <mergeCell ref="D12:E12"/>
    <mergeCell ref="D39:E39"/>
    <mergeCell ref="D25:E25"/>
    <mergeCell ref="B6:C6"/>
    <mergeCell ref="D30:E30"/>
    <mergeCell ref="D24:E24"/>
    <mergeCell ref="D54:E54"/>
    <mergeCell ref="D50:E50"/>
    <mergeCell ref="D44:E44"/>
    <mergeCell ref="D59:E59"/>
    <mergeCell ref="D61:E61"/>
    <mergeCell ref="D53:E53"/>
    <mergeCell ref="D51:E51"/>
    <mergeCell ref="D49:E49"/>
    <mergeCell ref="D60:E60"/>
    <mergeCell ref="D52:E52"/>
    <mergeCell ref="D57:E57"/>
    <mergeCell ref="D46:E46"/>
    <mergeCell ref="D48:E48"/>
    <mergeCell ref="D47:E47"/>
    <mergeCell ref="D1:E1"/>
    <mergeCell ref="B3:C3"/>
    <mergeCell ref="D34:E34"/>
    <mergeCell ref="D19:E19"/>
    <mergeCell ref="D22:E22"/>
    <mergeCell ref="B2:F2"/>
    <mergeCell ref="D3:F3"/>
    <mergeCell ref="D4:F4"/>
    <mergeCell ref="B5:C5"/>
    <mergeCell ref="B1:C1"/>
    <mergeCell ref="D17:E17"/>
    <mergeCell ref="D16:E16"/>
    <mergeCell ref="D23:E23"/>
    <mergeCell ref="B7:C7"/>
    <mergeCell ref="D11:E11"/>
    <mergeCell ref="D26:E26"/>
    <mergeCell ref="D40:E40"/>
    <mergeCell ref="D36:E36"/>
    <mergeCell ref="D31:E31"/>
    <mergeCell ref="D45:E45"/>
    <mergeCell ref="D21:E21"/>
    <mergeCell ref="D33:E33"/>
    <mergeCell ref="D42:E42"/>
    <mergeCell ref="D41:E41"/>
    <mergeCell ref="D35:E35"/>
    <mergeCell ref="D29:E29"/>
  </mergeCells>
  <conditionalFormatting sqref="D5:D7 F5:F7">
    <cfRule type="expression" dxfId="19" priority="5">
      <formula>ISBLANK(D5)</formula>
    </cfRule>
  </conditionalFormatting>
  <conditionalFormatting sqref="D3">
    <cfRule type="expression" dxfId="18" priority="2">
      <formula>ISBLANK(D3)</formula>
    </cfRule>
  </conditionalFormatting>
  <conditionalFormatting sqref="D4">
    <cfRule type="expression" dxfId="17" priority="1">
      <formula>ISBLANK(D4)</formula>
    </cfRule>
  </conditionalFormatting>
  <dataValidations disablePrompts="1" count="3">
    <dataValidation showInputMessage="1" showErrorMessage="1" sqref="D4:F4 D6:D7" xr:uid="{00000000-0002-0000-0000-000000000000}"/>
    <dataValidation type="list" allowBlank="1" showInputMessage="1" showErrorMessage="1" sqref="F12:F61" xr:uid="{00000000-0002-0000-0000-000001000000}">
      <formula1>SysWorkType</formula1>
    </dataValidation>
    <dataValidation type="list" showInputMessage="1" showErrorMessage="1" sqref="D5" xr:uid="{00000000-0002-0000-0000-000003000000}">
      <formula1>WorkingGroups</formula1>
    </dataValidation>
  </dataValidations>
  <pageMargins left="0.23622047244094491" right="0.23622047244094491" top="0.74803149606299213" bottom="0.74803149606299213" header="0.31496062992125978" footer="0.31496062992125978"/>
  <pageSetup paperSize="9" scale="84" orientation="landscape" blackAndWhite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Q2021"/>
  <sheetViews>
    <sheetView showGridLines="0" rightToLeft="1" showRuler="0" topLeftCell="A10" zoomScale="90" zoomScaleNormal="90" zoomScaleSheetLayoutView="100" zoomScalePageLayoutView="90" workbookViewId="0">
      <selection activeCell="I42" sqref="I42"/>
    </sheetView>
  </sheetViews>
  <sheetFormatPr defaultColWidth="0" defaultRowHeight="18.399999999999999" zeroHeight="1" x14ac:dyDescent="0.85"/>
  <cols>
    <col min="1" max="1" width="1.86328125" style="1" customWidth="1"/>
    <col min="2" max="2" width="6.46484375" style="45" customWidth="1"/>
    <col min="3" max="3" width="34.796875" style="278" customWidth="1"/>
    <col min="4" max="4" width="50.6640625" style="278" customWidth="1"/>
    <col min="5" max="5" width="11.53125" style="37" customWidth="1"/>
    <col min="6" max="6" width="14.6640625" style="45" customWidth="1"/>
    <col min="7" max="7" width="10.53125" style="25" hidden="1" customWidth="1"/>
    <col min="8" max="8" width="10" style="25" customWidth="1"/>
    <col min="9" max="9" width="13.53125" style="37" customWidth="1"/>
    <col min="10" max="11" width="9.1328125" hidden="1" customWidth="1"/>
    <col min="12" max="12" width="16.86328125" customWidth="1"/>
    <col min="13" max="13" width="1.86328125" customWidth="1"/>
    <col min="14" max="17" width="9.1328125" hidden="1" customWidth="1"/>
    <col min="18" max="18" width="9.1328125" style="1" hidden="1" customWidth="1"/>
    <col min="19" max="16384" width="9.1328125" style="1" hidden="1"/>
  </cols>
  <sheetData>
    <row r="1" spans="2:17" ht="44.25" customHeight="1" x14ac:dyDescent="1.9">
      <c r="B1" s="314" t="s">
        <v>337</v>
      </c>
      <c r="C1" s="315"/>
      <c r="D1" s="315"/>
      <c r="E1" s="315"/>
      <c r="F1" s="315"/>
      <c r="G1" s="315"/>
      <c r="H1" s="315"/>
      <c r="I1" s="315"/>
      <c r="J1" s="315"/>
      <c r="K1" s="315"/>
      <c r="L1" s="316"/>
    </row>
    <row r="2" spans="2:17" ht="24" customHeight="1" x14ac:dyDescent="0.85">
      <c r="B2" s="311" t="s">
        <v>18</v>
      </c>
      <c r="C2" s="312"/>
      <c r="D2" s="312"/>
      <c r="E2" s="312"/>
      <c r="F2" s="312"/>
      <c r="G2" s="312"/>
      <c r="H2" s="312"/>
      <c r="I2" s="312"/>
      <c r="J2" s="312"/>
      <c r="K2" s="312"/>
      <c r="L2" s="313"/>
      <c r="N2" s="24"/>
      <c r="O2" s="23"/>
      <c r="P2" s="23"/>
      <c r="Q2" s="22"/>
    </row>
    <row r="3" spans="2:17" ht="42.75" customHeight="1" x14ac:dyDescent="0.85">
      <c r="B3" s="307" t="s">
        <v>19</v>
      </c>
      <c r="C3" s="308"/>
      <c r="D3" s="308"/>
      <c r="E3" s="308"/>
      <c r="F3" s="308"/>
      <c r="G3" s="308"/>
      <c r="H3" s="308"/>
      <c r="I3" s="308"/>
      <c r="J3" s="308"/>
      <c r="K3" s="308"/>
      <c r="L3" s="309"/>
      <c r="N3" s="26"/>
      <c r="O3" s="26"/>
      <c r="P3" s="26"/>
      <c r="Q3" s="27"/>
    </row>
    <row r="4" spans="2:17" ht="21.75" customHeight="1" x14ac:dyDescent="0.85">
      <c r="B4" s="319" t="s">
        <v>20</v>
      </c>
      <c r="C4" s="319"/>
      <c r="D4" s="319"/>
      <c r="E4" s="320"/>
      <c r="F4" s="321">
        <f>SUM(L7:L2007)</f>
        <v>5780</v>
      </c>
      <c r="G4" s="322"/>
      <c r="H4" s="322"/>
      <c r="I4" s="323"/>
      <c r="J4" s="70"/>
      <c r="K4" s="70"/>
      <c r="L4" s="70"/>
    </row>
    <row r="5" spans="2:17" ht="19.5" customHeight="1" x14ac:dyDescent="0.85">
      <c r="B5" s="310"/>
      <c r="C5" s="310"/>
      <c r="D5" s="310"/>
      <c r="E5" s="310"/>
      <c r="F5" s="310"/>
      <c r="G5" s="310"/>
      <c r="H5" s="310"/>
      <c r="I5" s="310"/>
      <c r="J5" s="310"/>
      <c r="K5" s="310"/>
      <c r="L5" s="310"/>
    </row>
    <row r="6" spans="2:17" ht="29.25" customHeight="1" x14ac:dyDescent="0.85">
      <c r="B6" s="28" t="s">
        <v>13</v>
      </c>
      <c r="C6" s="267" t="s">
        <v>21</v>
      </c>
      <c r="D6" s="279" t="s">
        <v>22</v>
      </c>
      <c r="E6" s="28" t="s">
        <v>23</v>
      </c>
      <c r="F6" s="28" t="s">
        <v>24</v>
      </c>
      <c r="G6" s="28" t="s">
        <v>25</v>
      </c>
      <c r="H6" s="59" t="s">
        <v>26</v>
      </c>
      <c r="I6" s="28" t="s">
        <v>16</v>
      </c>
      <c r="J6" s="51" t="s">
        <v>26</v>
      </c>
      <c r="K6" s="51" t="s">
        <v>27</v>
      </c>
      <c r="L6" s="28" t="s">
        <v>28</v>
      </c>
    </row>
    <row r="7" spans="2:17" x14ac:dyDescent="0.85">
      <c r="B7" s="265">
        <v>1</v>
      </c>
      <c r="C7" s="268" t="s">
        <v>337</v>
      </c>
      <c r="D7" s="280" t="s">
        <v>331</v>
      </c>
      <c r="E7" s="10" t="s">
        <v>212</v>
      </c>
      <c r="F7" s="10" t="s">
        <v>222</v>
      </c>
      <c r="G7" s="47">
        <v>1</v>
      </c>
      <c r="H7" s="72"/>
      <c r="I7" s="10" t="s">
        <v>214</v>
      </c>
      <c r="J7" s="46">
        <f>IF(ISBLANK(H7),1,H7)</f>
        <v>1</v>
      </c>
      <c r="K7" s="46">
        <f>IFERROR(INDEX(TarrifTable,MATCH(Elements!E7,Constants!$V$4:$V$7,0),MATCH(Elements!F7,Constants!$W$3:$AA$3,0)),0)</f>
        <v>120</v>
      </c>
      <c r="L7" s="69">
        <v>180</v>
      </c>
    </row>
    <row r="8" spans="2:17" x14ac:dyDescent="0.85">
      <c r="B8" s="266">
        <v>2</v>
      </c>
      <c r="C8" s="269" t="s">
        <v>337</v>
      </c>
      <c r="D8" s="281" t="s">
        <v>338</v>
      </c>
      <c r="E8" s="44" t="s">
        <v>220</v>
      </c>
      <c r="F8" s="44" t="s">
        <v>222</v>
      </c>
      <c r="G8" s="49">
        <v>1</v>
      </c>
      <c r="H8" s="73"/>
      <c r="I8" s="44" t="s">
        <v>214</v>
      </c>
      <c r="J8" s="48">
        <f>IF(ISBLANK(H8),1,H8)</f>
        <v>1</v>
      </c>
      <c r="K8" s="48">
        <f>IFERROR(INDEX(TarrifTable,MATCH(Elements!E8,Constants!$V$4:$V$7,0),MATCH(Elements!F8,Constants!$W$3:$AA$3,0)),0)</f>
        <v>180</v>
      </c>
      <c r="L8" s="68">
        <v>180</v>
      </c>
    </row>
    <row r="9" spans="2:17" x14ac:dyDescent="0.85">
      <c r="B9" s="265">
        <v>3</v>
      </c>
      <c r="C9" s="268" t="s">
        <v>337</v>
      </c>
      <c r="D9" s="280" t="s">
        <v>343</v>
      </c>
      <c r="E9" s="10" t="s">
        <v>220</v>
      </c>
      <c r="F9" s="10" t="s">
        <v>30</v>
      </c>
      <c r="G9" s="47">
        <v>1</v>
      </c>
      <c r="H9" s="72"/>
      <c r="I9" s="10" t="s">
        <v>214</v>
      </c>
      <c r="J9" s="46">
        <f>IF(ISBLANK(H9),1,H9)</f>
        <v>1</v>
      </c>
      <c r="K9" s="46">
        <f>IFERROR(INDEX(TarrifTable,MATCH(Elements!E9,Constants!$V$4:$V$7,0),MATCH(Elements!F9,Constants!$W$3:$AA$3,0)),0)</f>
        <v>360</v>
      </c>
      <c r="L9" s="69">
        <v>20</v>
      </c>
    </row>
    <row r="10" spans="2:17" x14ac:dyDescent="0.85">
      <c r="B10" s="266">
        <v>4</v>
      </c>
      <c r="C10" s="269" t="s">
        <v>337</v>
      </c>
      <c r="D10" s="281" t="s">
        <v>349</v>
      </c>
      <c r="E10" s="44" t="s">
        <v>212</v>
      </c>
      <c r="F10" s="44" t="s">
        <v>32</v>
      </c>
      <c r="G10" s="49">
        <v>1</v>
      </c>
      <c r="H10" s="73"/>
      <c r="I10" s="44" t="s">
        <v>214</v>
      </c>
      <c r="J10" s="48">
        <f>IF(ISBLANK(H10),1,H10)</f>
        <v>1</v>
      </c>
      <c r="K10" s="48">
        <f>IFERROR(INDEX(TarrifTable,MATCH(Elements!E10,Constants!$V$4:$V$7,0),MATCH(Elements!F10,Constants!$W$3:$AA$3,0)),0)</f>
        <v>80</v>
      </c>
      <c r="L10" s="68">
        <f t="shared" ref="L10:L71" si="0">J10*G10*K10</f>
        <v>80</v>
      </c>
    </row>
    <row r="11" spans="2:17" x14ac:dyDescent="0.85">
      <c r="B11" s="265">
        <v>5</v>
      </c>
      <c r="C11" s="270" t="s">
        <v>337</v>
      </c>
      <c r="D11" s="280" t="s">
        <v>339</v>
      </c>
      <c r="E11" s="10" t="s">
        <v>220</v>
      </c>
      <c r="F11" s="10" t="s">
        <v>225</v>
      </c>
      <c r="G11" s="47">
        <v>1</v>
      </c>
      <c r="H11" s="72"/>
      <c r="I11" s="10" t="s">
        <v>214</v>
      </c>
      <c r="J11" s="46">
        <f>IF(ISBLANK(H11),1,H11)</f>
        <v>1</v>
      </c>
      <c r="K11" s="46">
        <f>IFERROR(INDEX(TarrifTable,MATCH(Elements!E11,Constants!$V$4:$V$7,0),MATCH(Elements!F11,Constants!$W$3:$AA$3,0)),0)</f>
        <v>240</v>
      </c>
      <c r="L11" s="69">
        <f t="shared" si="0"/>
        <v>240</v>
      </c>
    </row>
    <row r="12" spans="2:17" x14ac:dyDescent="0.85">
      <c r="B12" s="265">
        <v>6</v>
      </c>
      <c r="C12" s="269" t="s">
        <v>337</v>
      </c>
      <c r="D12" s="281" t="s">
        <v>335</v>
      </c>
      <c r="E12" s="44" t="s">
        <v>212</v>
      </c>
      <c r="F12" s="44" t="s">
        <v>222</v>
      </c>
      <c r="G12" s="47"/>
      <c r="H12" s="72"/>
      <c r="I12" s="44" t="s">
        <v>214</v>
      </c>
      <c r="J12" s="46"/>
      <c r="K12" s="46"/>
      <c r="L12" s="68">
        <v>120</v>
      </c>
    </row>
    <row r="13" spans="2:17" x14ac:dyDescent="0.85">
      <c r="B13" s="266">
        <v>7</v>
      </c>
      <c r="C13" s="270" t="s">
        <v>337</v>
      </c>
      <c r="D13" s="282" t="s">
        <v>350</v>
      </c>
      <c r="E13" s="10" t="s">
        <v>212</v>
      </c>
      <c r="F13" s="10" t="s">
        <v>32</v>
      </c>
      <c r="G13" s="49">
        <v>1</v>
      </c>
      <c r="H13" s="73"/>
      <c r="I13" s="10" t="s">
        <v>214</v>
      </c>
      <c r="J13" s="48">
        <f t="shared" ref="J13:J25" si="1">IF(ISBLANK(H13),1,H13)</f>
        <v>1</v>
      </c>
      <c r="K13" s="48">
        <f>IFERROR(INDEX(TarrifTable,MATCH(Elements!E13,Constants!$V$4:$V$7,0),MATCH(Elements!F13,Constants!$W$3:$AA$3,0)),0)</f>
        <v>80</v>
      </c>
      <c r="L13" s="69">
        <f t="shared" si="0"/>
        <v>80</v>
      </c>
    </row>
    <row r="14" spans="2:17" x14ac:dyDescent="0.85">
      <c r="B14" s="265">
        <v>8</v>
      </c>
      <c r="C14" s="269" t="s">
        <v>337</v>
      </c>
      <c r="D14" s="281" t="s">
        <v>340</v>
      </c>
      <c r="E14" s="44" t="s">
        <v>220</v>
      </c>
      <c r="F14" s="44" t="s">
        <v>222</v>
      </c>
      <c r="G14" s="47">
        <v>1</v>
      </c>
      <c r="H14" s="72"/>
      <c r="I14" s="44" t="s">
        <v>214</v>
      </c>
      <c r="J14" s="46">
        <f t="shared" si="1"/>
        <v>1</v>
      </c>
      <c r="K14" s="46">
        <f>IFERROR(INDEX(TarrifTable,MATCH(Elements!E14,Constants!$V$4:$V$7,0),MATCH(Elements!F14,Constants!$W$3:$AA$3,0)),0)</f>
        <v>180</v>
      </c>
      <c r="L14" s="68">
        <f t="shared" si="0"/>
        <v>180</v>
      </c>
    </row>
    <row r="15" spans="2:17" x14ac:dyDescent="0.85">
      <c r="B15" s="266">
        <v>9</v>
      </c>
      <c r="C15" s="270" t="s">
        <v>337</v>
      </c>
      <c r="D15" s="282" t="s">
        <v>334</v>
      </c>
      <c r="E15" s="10" t="s">
        <v>212</v>
      </c>
      <c r="F15" s="10" t="s">
        <v>32</v>
      </c>
      <c r="G15" s="49">
        <v>1</v>
      </c>
      <c r="H15" s="73"/>
      <c r="I15" s="10" t="s">
        <v>214</v>
      </c>
      <c r="J15" s="48">
        <f t="shared" si="1"/>
        <v>1</v>
      </c>
      <c r="K15" s="48">
        <f>IFERROR(INDEX(TarrifTable,MATCH(Elements!E15,Constants!$V$4:$V$7,0),MATCH(Elements!F15,Constants!$W$3:$AA$3,0)),0)</f>
        <v>80</v>
      </c>
      <c r="L15" s="69">
        <f t="shared" si="0"/>
        <v>80</v>
      </c>
      <c r="N15" s="29"/>
      <c r="O15" s="29"/>
      <c r="P15" s="29"/>
      <c r="Q15" s="29"/>
    </row>
    <row r="16" spans="2:17" x14ac:dyDescent="0.85">
      <c r="B16" s="265">
        <v>10</v>
      </c>
      <c r="C16" s="269" t="s">
        <v>337</v>
      </c>
      <c r="D16" s="281" t="s">
        <v>332</v>
      </c>
      <c r="E16" s="44" t="s">
        <v>212</v>
      </c>
      <c r="F16" s="44" t="s">
        <v>32</v>
      </c>
      <c r="G16" s="47">
        <v>1</v>
      </c>
      <c r="H16" s="72"/>
      <c r="I16" s="44" t="s">
        <v>214</v>
      </c>
      <c r="J16" s="46">
        <f t="shared" si="1"/>
        <v>1</v>
      </c>
      <c r="K16" s="46">
        <f>IFERROR(INDEX(TarrifTable,MATCH(Elements!E16,Constants!$V$4:$V$7,0),MATCH(Elements!F16,Constants!$W$3:$AA$3,0)),0)</f>
        <v>80</v>
      </c>
      <c r="L16" s="68">
        <f t="shared" si="0"/>
        <v>80</v>
      </c>
      <c r="N16" s="29"/>
      <c r="O16" s="29"/>
      <c r="P16" s="29"/>
      <c r="Q16" s="29"/>
    </row>
    <row r="17" spans="2:17" x14ac:dyDescent="0.85">
      <c r="B17" s="266">
        <v>11</v>
      </c>
      <c r="C17" s="270" t="s">
        <v>337</v>
      </c>
      <c r="D17" s="282" t="s">
        <v>333</v>
      </c>
      <c r="E17" s="10" t="s">
        <v>212</v>
      </c>
      <c r="F17" s="10" t="s">
        <v>32</v>
      </c>
      <c r="G17" s="49">
        <v>1</v>
      </c>
      <c r="H17" s="73"/>
      <c r="I17" s="10" t="s">
        <v>214</v>
      </c>
      <c r="J17" s="48">
        <f t="shared" si="1"/>
        <v>1</v>
      </c>
      <c r="K17" s="48">
        <f>IFERROR(INDEX(TarrifTable,MATCH(Elements!E17,Constants!$V$4:$V$7,0),MATCH(Elements!F17,Constants!$W$3:$AA$3,0)),0)</f>
        <v>80</v>
      </c>
      <c r="L17" s="69">
        <f t="shared" si="0"/>
        <v>80</v>
      </c>
      <c r="N17" s="29"/>
      <c r="O17" s="29"/>
      <c r="P17" s="29"/>
      <c r="Q17" s="29"/>
    </row>
    <row r="18" spans="2:17" x14ac:dyDescent="0.85">
      <c r="B18" s="265">
        <v>12</v>
      </c>
      <c r="C18" s="269" t="s">
        <v>337</v>
      </c>
      <c r="D18" s="281" t="s">
        <v>341</v>
      </c>
      <c r="E18" s="44" t="s">
        <v>212</v>
      </c>
      <c r="F18" s="44" t="s">
        <v>225</v>
      </c>
      <c r="G18" s="47">
        <v>1</v>
      </c>
      <c r="H18" s="72"/>
      <c r="I18" s="44" t="s">
        <v>214</v>
      </c>
      <c r="J18" s="46">
        <f t="shared" si="1"/>
        <v>1</v>
      </c>
      <c r="K18" s="46">
        <f>IFERROR(INDEX(TarrifTable,MATCH(Elements!E18,Constants!$V$4:$V$7,0),MATCH(Elements!F18,Constants!$W$3:$AA$3,0)),0)</f>
        <v>160</v>
      </c>
      <c r="L18" s="68">
        <f t="shared" si="0"/>
        <v>160</v>
      </c>
      <c r="N18" s="29"/>
      <c r="O18" s="29"/>
      <c r="P18" s="29"/>
      <c r="Q18" s="29"/>
    </row>
    <row r="19" spans="2:17" x14ac:dyDescent="0.85">
      <c r="B19" s="266">
        <v>13</v>
      </c>
      <c r="C19" s="270" t="s">
        <v>337</v>
      </c>
      <c r="D19" s="282" t="s">
        <v>342</v>
      </c>
      <c r="E19" s="10" t="s">
        <v>212</v>
      </c>
      <c r="F19" s="10" t="s">
        <v>225</v>
      </c>
      <c r="G19" s="49">
        <v>1</v>
      </c>
      <c r="H19" s="73"/>
      <c r="I19" s="10" t="s">
        <v>214</v>
      </c>
      <c r="J19" s="48">
        <f t="shared" si="1"/>
        <v>1</v>
      </c>
      <c r="K19" s="48">
        <f>IFERROR(INDEX(TarrifTable,MATCH(Elements!E19,Constants!$V$4:$V$7,0),MATCH(Elements!F19,Constants!$W$3:$AA$3,0)),0)</f>
        <v>160</v>
      </c>
      <c r="L19" s="69">
        <f t="shared" si="0"/>
        <v>160</v>
      </c>
      <c r="N19" s="29"/>
      <c r="O19" s="29"/>
      <c r="P19" s="29"/>
      <c r="Q19" s="29"/>
    </row>
    <row r="20" spans="2:17" x14ac:dyDescent="0.85">
      <c r="B20" s="265">
        <v>14</v>
      </c>
      <c r="C20" s="269" t="s">
        <v>337</v>
      </c>
      <c r="D20" s="281" t="s">
        <v>356</v>
      </c>
      <c r="E20" s="44" t="s">
        <v>220</v>
      </c>
      <c r="F20" s="44" t="s">
        <v>222</v>
      </c>
      <c r="G20" s="47">
        <v>1</v>
      </c>
      <c r="H20" s="72"/>
      <c r="I20" s="10" t="s">
        <v>214</v>
      </c>
      <c r="J20" s="46">
        <f t="shared" si="1"/>
        <v>1</v>
      </c>
      <c r="K20" s="46">
        <f>IFERROR(INDEX(TarrifTable,MATCH(Elements!E20,Constants!$V$4:$V$7,0),MATCH(Elements!F20,Constants!$W$3:$AA$3,0)),0)</f>
        <v>180</v>
      </c>
      <c r="L20" s="68">
        <f t="shared" si="0"/>
        <v>180</v>
      </c>
      <c r="N20" s="29"/>
      <c r="O20" s="29"/>
      <c r="P20" s="29"/>
      <c r="Q20" s="29"/>
    </row>
    <row r="21" spans="2:17" x14ac:dyDescent="0.85">
      <c r="B21" s="266">
        <v>15</v>
      </c>
      <c r="C21" s="270" t="s">
        <v>337</v>
      </c>
      <c r="D21" s="282" t="s">
        <v>357</v>
      </c>
      <c r="E21" s="10" t="s">
        <v>212</v>
      </c>
      <c r="F21" s="10" t="s">
        <v>32</v>
      </c>
      <c r="G21" s="49">
        <v>1</v>
      </c>
      <c r="H21" s="73"/>
      <c r="I21" s="10" t="s">
        <v>214</v>
      </c>
      <c r="J21" s="48">
        <f t="shared" si="1"/>
        <v>1</v>
      </c>
      <c r="K21" s="48">
        <f>IFERROR(INDEX(TarrifTable,MATCH(Elements!E21,Constants!$V$4:$V$7,0),MATCH(Elements!F21,Constants!$W$3:$AA$3,0)),0)</f>
        <v>80</v>
      </c>
      <c r="L21" s="69">
        <f t="shared" si="0"/>
        <v>80</v>
      </c>
      <c r="N21" s="29"/>
      <c r="O21" s="29"/>
      <c r="P21" s="29"/>
      <c r="Q21" s="29"/>
    </row>
    <row r="22" spans="2:17" x14ac:dyDescent="0.85">
      <c r="B22" s="265">
        <v>16</v>
      </c>
      <c r="C22" s="269" t="s">
        <v>337</v>
      </c>
      <c r="D22" s="281" t="s">
        <v>335</v>
      </c>
      <c r="E22" s="44" t="s">
        <v>212</v>
      </c>
      <c r="F22" s="44" t="s">
        <v>222</v>
      </c>
      <c r="G22" s="47">
        <v>1</v>
      </c>
      <c r="H22" s="72"/>
      <c r="I22" s="44" t="s">
        <v>214</v>
      </c>
      <c r="J22" s="46">
        <f t="shared" si="1"/>
        <v>1</v>
      </c>
      <c r="K22" s="46">
        <f>IFERROR(INDEX(TarrifTable,MATCH(Elements!E22,Constants!$V$4:$V$7,0),MATCH(Elements!F22,Constants!$W$3:$AA$3,0)),0)</f>
        <v>120</v>
      </c>
      <c r="L22" s="68">
        <f t="shared" si="0"/>
        <v>120</v>
      </c>
      <c r="N22" s="29"/>
      <c r="O22" s="29"/>
      <c r="P22" s="29"/>
      <c r="Q22" s="29"/>
    </row>
    <row r="23" spans="2:17" x14ac:dyDescent="0.85">
      <c r="B23" s="266">
        <v>17</v>
      </c>
      <c r="C23" s="270" t="s">
        <v>337</v>
      </c>
      <c r="D23" s="282" t="s">
        <v>344</v>
      </c>
      <c r="E23" s="10" t="s">
        <v>220</v>
      </c>
      <c r="F23" s="10" t="s">
        <v>225</v>
      </c>
      <c r="G23" s="49">
        <v>1</v>
      </c>
      <c r="H23" s="73"/>
      <c r="I23" s="10" t="s">
        <v>214</v>
      </c>
      <c r="J23" s="48">
        <f t="shared" si="1"/>
        <v>1</v>
      </c>
      <c r="K23" s="48">
        <f>IFERROR(INDEX(TarrifTable,MATCH(Elements!E23,Constants!$V$4:$V$7,0),MATCH(Elements!F23,Constants!$W$3:$AA$3,0)),0)</f>
        <v>240</v>
      </c>
      <c r="L23" s="69">
        <f t="shared" si="0"/>
        <v>240</v>
      </c>
      <c r="N23" s="29"/>
      <c r="O23" s="29"/>
      <c r="P23" s="29"/>
      <c r="Q23" s="29"/>
    </row>
    <row r="24" spans="2:17" x14ac:dyDescent="0.85">
      <c r="B24" s="265">
        <v>18</v>
      </c>
      <c r="C24" s="269" t="s">
        <v>337</v>
      </c>
      <c r="D24" s="281" t="s">
        <v>345</v>
      </c>
      <c r="E24" s="44" t="s">
        <v>212</v>
      </c>
      <c r="F24" s="44" t="s">
        <v>225</v>
      </c>
      <c r="G24" s="47">
        <v>1</v>
      </c>
      <c r="H24" s="72"/>
      <c r="I24" s="44" t="s">
        <v>214</v>
      </c>
      <c r="J24" s="46">
        <f t="shared" si="1"/>
        <v>1</v>
      </c>
      <c r="K24" s="46">
        <f>IFERROR(INDEX(TarrifTable,MATCH(Elements!E24,Constants!$V$4:$V$7,0),MATCH(Elements!F24,Constants!$W$3:$AA$3,0)),0)</f>
        <v>160</v>
      </c>
      <c r="L24" s="68">
        <f t="shared" si="0"/>
        <v>160</v>
      </c>
      <c r="N24" s="29"/>
      <c r="O24" s="29"/>
      <c r="P24" s="29"/>
      <c r="Q24" s="29"/>
    </row>
    <row r="25" spans="2:17" x14ac:dyDescent="0.85">
      <c r="B25" s="266">
        <v>19</v>
      </c>
      <c r="C25" s="270" t="s">
        <v>337</v>
      </c>
      <c r="D25" s="280" t="s">
        <v>336</v>
      </c>
      <c r="E25" s="10" t="s">
        <v>223</v>
      </c>
      <c r="F25" s="10" t="s">
        <v>222</v>
      </c>
      <c r="G25" s="49">
        <v>1</v>
      </c>
      <c r="H25" s="73"/>
      <c r="I25" s="10" t="s">
        <v>214</v>
      </c>
      <c r="J25" s="48">
        <f t="shared" si="1"/>
        <v>1</v>
      </c>
      <c r="K25" s="48">
        <f>IFERROR(INDEX(TarrifTable,MATCH(Elements!E35,Constants!$V$4:$V$7,0),MATCH(Elements!F25,Constants!$W$3:$AA$3,0)),0)</f>
        <v>120</v>
      </c>
      <c r="L25" s="69">
        <v>180</v>
      </c>
      <c r="N25" s="29"/>
      <c r="O25" s="29"/>
      <c r="P25" s="29"/>
      <c r="Q25" s="29"/>
    </row>
    <row r="26" spans="2:17" x14ac:dyDescent="0.85">
      <c r="B26" s="265">
        <v>20</v>
      </c>
      <c r="C26" s="269" t="s">
        <v>337</v>
      </c>
      <c r="D26" s="281" t="s">
        <v>351</v>
      </c>
      <c r="E26" s="44" t="s">
        <v>220</v>
      </c>
      <c r="F26" s="44" t="s">
        <v>222</v>
      </c>
      <c r="G26" s="10"/>
      <c r="H26" s="72"/>
      <c r="I26" s="44" t="s">
        <v>214</v>
      </c>
      <c r="J26" s="10"/>
      <c r="K26" s="46" t="str">
        <f>IF(ISBLANK(I26),1,I26)</f>
        <v>ایجاد</v>
      </c>
      <c r="L26" s="68">
        <v>180</v>
      </c>
      <c r="N26" s="29"/>
      <c r="O26" s="29"/>
      <c r="P26" s="29"/>
      <c r="Q26" s="29"/>
    </row>
    <row r="27" spans="2:17" x14ac:dyDescent="0.85">
      <c r="B27" s="266">
        <v>21</v>
      </c>
      <c r="C27" s="270" t="s">
        <v>337</v>
      </c>
      <c r="D27" s="282" t="s">
        <v>346</v>
      </c>
      <c r="E27" s="10" t="s">
        <v>212</v>
      </c>
      <c r="F27" s="10" t="s">
        <v>222</v>
      </c>
      <c r="G27" s="44"/>
      <c r="H27" s="73"/>
      <c r="I27" s="10" t="s">
        <v>214</v>
      </c>
      <c r="J27" s="44"/>
      <c r="K27" s="48" t="str">
        <f>IF(ISBLANK(I27),1,I27)</f>
        <v>ایجاد</v>
      </c>
      <c r="L27" s="69">
        <v>180</v>
      </c>
      <c r="N27" s="29"/>
      <c r="O27" s="29"/>
      <c r="P27" s="29"/>
      <c r="Q27" s="29"/>
    </row>
    <row r="28" spans="2:17" x14ac:dyDescent="0.85">
      <c r="B28" s="265">
        <v>22</v>
      </c>
      <c r="C28" s="269" t="s">
        <v>337</v>
      </c>
      <c r="D28" s="281" t="s">
        <v>352</v>
      </c>
      <c r="E28" s="44" t="s">
        <v>220</v>
      </c>
      <c r="F28" s="44" t="s">
        <v>222</v>
      </c>
      <c r="G28" s="47">
        <v>1</v>
      </c>
      <c r="H28" s="72"/>
      <c r="I28" s="44" t="s">
        <v>214</v>
      </c>
      <c r="J28" s="46">
        <f t="shared" ref="J28:J71" si="2">IF(ISBLANK(H28),1,H28)</f>
        <v>1</v>
      </c>
      <c r="K28" s="46">
        <f>IFERROR(INDEX(TarrifTable,MATCH(Elements!E26,Constants!$V$4:$V$7,0),MATCH(Elements!F28,Constants!$W$3:$AA$3,0)),0)</f>
        <v>180</v>
      </c>
      <c r="L28" s="68">
        <f t="shared" si="0"/>
        <v>180</v>
      </c>
      <c r="N28" s="29"/>
      <c r="O28" s="29"/>
      <c r="P28" s="29"/>
      <c r="Q28" s="29"/>
    </row>
    <row r="29" spans="2:17" x14ac:dyDescent="0.85">
      <c r="B29" s="266">
        <v>23</v>
      </c>
      <c r="C29" s="270" t="s">
        <v>337</v>
      </c>
      <c r="D29" s="280" t="s">
        <v>347</v>
      </c>
      <c r="E29" s="10" t="s">
        <v>212</v>
      </c>
      <c r="F29" s="10" t="s">
        <v>222</v>
      </c>
      <c r="G29" s="49">
        <v>1</v>
      </c>
      <c r="H29" s="73"/>
      <c r="I29" s="10" t="s">
        <v>214</v>
      </c>
      <c r="J29" s="48">
        <f t="shared" si="2"/>
        <v>1</v>
      </c>
      <c r="K29" s="48">
        <f>IFERROR(INDEX(TarrifTable,MATCH(Elements!E27,Constants!$V$4:$V$7,0),MATCH(Elements!F29,Constants!$W$3:$AA$3,0)),0)</f>
        <v>120</v>
      </c>
      <c r="L29" s="69">
        <f t="shared" si="0"/>
        <v>120</v>
      </c>
      <c r="N29" s="29"/>
      <c r="O29" s="29"/>
      <c r="P29" s="29"/>
      <c r="Q29" s="29"/>
    </row>
    <row r="30" spans="2:17" x14ac:dyDescent="0.85">
      <c r="B30" s="265">
        <v>24</v>
      </c>
      <c r="C30" s="269" t="s">
        <v>337</v>
      </c>
      <c r="D30" s="281" t="s">
        <v>364</v>
      </c>
      <c r="E30" s="44" t="s">
        <v>220</v>
      </c>
      <c r="F30" s="44" t="s">
        <v>222</v>
      </c>
      <c r="G30" s="47">
        <v>1</v>
      </c>
      <c r="H30" s="72"/>
      <c r="I30" s="44" t="s">
        <v>214</v>
      </c>
      <c r="J30" s="46">
        <f t="shared" si="2"/>
        <v>1</v>
      </c>
      <c r="K30" s="46">
        <f>IFERROR(INDEX(TarrifTable,MATCH(Elements!E28,Constants!$V$4:$V$7,0),MATCH(Elements!F30,Constants!$W$3:$AA$3,0)),0)</f>
        <v>180</v>
      </c>
      <c r="L30" s="68">
        <f t="shared" si="0"/>
        <v>180</v>
      </c>
      <c r="N30" s="29"/>
      <c r="O30" s="29"/>
      <c r="P30" s="29"/>
      <c r="Q30" s="29"/>
    </row>
    <row r="31" spans="2:17" x14ac:dyDescent="0.85">
      <c r="B31" s="266">
        <v>25</v>
      </c>
      <c r="C31" s="270" t="s">
        <v>337</v>
      </c>
      <c r="D31" s="282" t="s">
        <v>365</v>
      </c>
      <c r="E31" s="10" t="s">
        <v>212</v>
      </c>
      <c r="F31" s="10" t="s">
        <v>222</v>
      </c>
      <c r="G31" s="49">
        <v>1</v>
      </c>
      <c r="H31" s="73"/>
      <c r="I31" s="10" t="s">
        <v>214</v>
      </c>
      <c r="J31" s="48">
        <f t="shared" si="2"/>
        <v>1</v>
      </c>
      <c r="K31" s="48">
        <f>IFERROR(INDEX(TarrifTable,MATCH(Elements!E29,Constants!$V$4:$V$7,0),MATCH(Elements!F31,Constants!$W$3:$AA$3,0)),0)</f>
        <v>120</v>
      </c>
      <c r="L31" s="69">
        <f t="shared" si="0"/>
        <v>120</v>
      </c>
      <c r="N31" s="29"/>
      <c r="O31" s="29"/>
      <c r="P31" s="29"/>
      <c r="Q31" s="29"/>
    </row>
    <row r="32" spans="2:17" x14ac:dyDescent="0.85">
      <c r="B32" s="265">
        <v>26</v>
      </c>
      <c r="C32" s="269" t="s">
        <v>337</v>
      </c>
      <c r="D32" s="281" t="s">
        <v>353</v>
      </c>
      <c r="E32" s="44" t="s">
        <v>220</v>
      </c>
      <c r="F32" s="44" t="s">
        <v>222</v>
      </c>
      <c r="G32" s="47">
        <v>1</v>
      </c>
      <c r="H32" s="72"/>
      <c r="I32" s="44" t="s">
        <v>214</v>
      </c>
      <c r="J32" s="46">
        <f t="shared" si="2"/>
        <v>1</v>
      </c>
      <c r="K32" s="46">
        <f>IFERROR(INDEX(TarrifTable,MATCH(Elements!E30,Constants!$V$4:$V$7,0),MATCH(Elements!F32,Constants!$W$3:$AA$3,0)),0)</f>
        <v>180</v>
      </c>
      <c r="L32" s="68">
        <f t="shared" si="0"/>
        <v>180</v>
      </c>
      <c r="N32" s="29"/>
      <c r="O32" s="29"/>
      <c r="P32" s="29"/>
      <c r="Q32" s="29"/>
    </row>
    <row r="33" spans="2:17" x14ac:dyDescent="0.85">
      <c r="B33" s="266">
        <v>27</v>
      </c>
      <c r="C33" s="270" t="s">
        <v>337</v>
      </c>
      <c r="D33" s="282" t="s">
        <v>348</v>
      </c>
      <c r="E33" s="10" t="s">
        <v>212</v>
      </c>
      <c r="F33" s="10" t="s">
        <v>222</v>
      </c>
      <c r="G33" s="49">
        <v>1</v>
      </c>
      <c r="H33" s="73"/>
      <c r="I33" s="10" t="s">
        <v>214</v>
      </c>
      <c r="J33" s="48">
        <f t="shared" si="2"/>
        <v>1</v>
      </c>
      <c r="K33" s="48">
        <f>IFERROR(INDEX(TarrifTable,MATCH(Elements!E31,Constants!$V$4:$V$7,0),MATCH(Elements!F33,Constants!$W$3:$AA$3,0)),0)</f>
        <v>120</v>
      </c>
      <c r="L33" s="69">
        <f t="shared" si="0"/>
        <v>120</v>
      </c>
      <c r="N33" s="29"/>
      <c r="O33" s="29"/>
      <c r="P33" s="29"/>
      <c r="Q33" s="29"/>
    </row>
    <row r="34" spans="2:17" x14ac:dyDescent="0.85">
      <c r="B34" s="265">
        <v>28</v>
      </c>
      <c r="C34" s="269" t="s">
        <v>337</v>
      </c>
      <c r="D34" s="281" t="s">
        <v>354</v>
      </c>
      <c r="E34" s="44" t="s">
        <v>220</v>
      </c>
      <c r="F34" s="44" t="s">
        <v>222</v>
      </c>
      <c r="G34" s="47">
        <v>1</v>
      </c>
      <c r="H34" s="72"/>
      <c r="I34" s="44" t="s">
        <v>214</v>
      </c>
      <c r="J34" s="46">
        <f t="shared" si="2"/>
        <v>1</v>
      </c>
      <c r="K34" s="46">
        <f>IFERROR(INDEX(TarrifTable,MATCH(Elements!E32,Constants!$V$4:$V$7,0),MATCH(Elements!F34,Constants!$W$3:$AA$3,0)),0)</f>
        <v>180</v>
      </c>
      <c r="L34" s="68">
        <f t="shared" si="0"/>
        <v>180</v>
      </c>
      <c r="N34" s="29"/>
      <c r="O34" s="29"/>
      <c r="P34" s="29"/>
      <c r="Q34" s="29"/>
    </row>
    <row r="35" spans="2:17" x14ac:dyDescent="0.85">
      <c r="B35" s="266">
        <v>29</v>
      </c>
      <c r="C35" s="270" t="s">
        <v>337</v>
      </c>
      <c r="D35" s="280" t="s">
        <v>355</v>
      </c>
      <c r="E35" s="10" t="s">
        <v>212</v>
      </c>
      <c r="F35" s="10" t="s">
        <v>32</v>
      </c>
      <c r="G35" s="49">
        <v>1</v>
      </c>
      <c r="H35" s="73"/>
      <c r="I35" s="10" t="s">
        <v>214</v>
      </c>
      <c r="J35" s="48">
        <f t="shared" si="2"/>
        <v>1</v>
      </c>
      <c r="K35" s="48">
        <f>IFERROR(INDEX(TarrifTable,MATCH(Elements!E33,Constants!$V$4:$V$7,0),MATCH(Elements!F35,Constants!$W$3:$AA$3,0)),0)</f>
        <v>80</v>
      </c>
      <c r="L35" s="69">
        <f t="shared" si="0"/>
        <v>80</v>
      </c>
      <c r="N35" s="29"/>
      <c r="O35" s="29"/>
      <c r="P35" s="29"/>
      <c r="Q35" s="29"/>
    </row>
    <row r="36" spans="2:17" x14ac:dyDescent="0.85">
      <c r="B36" s="265">
        <v>30</v>
      </c>
      <c r="C36" s="269" t="s">
        <v>337</v>
      </c>
      <c r="D36" s="281" t="s">
        <v>444</v>
      </c>
      <c r="E36" s="44" t="s">
        <v>29</v>
      </c>
      <c r="F36" s="44" t="s">
        <v>30</v>
      </c>
      <c r="G36" s="47">
        <v>1</v>
      </c>
      <c r="H36" s="72"/>
      <c r="I36" s="44" t="s">
        <v>214</v>
      </c>
      <c r="J36" s="46">
        <f t="shared" si="2"/>
        <v>1</v>
      </c>
      <c r="K36" s="46">
        <f>IFERROR(INDEX(TarrifTable,MATCH(Elements!E36,Constants!$V$4:$V$7,0),MATCH(Elements!F36,Constants!$W$3:$AA$3,0)),0)</f>
        <v>360</v>
      </c>
      <c r="L36" s="68">
        <f t="shared" si="0"/>
        <v>360</v>
      </c>
      <c r="N36" s="29"/>
      <c r="O36" s="29"/>
      <c r="P36" s="29"/>
      <c r="Q36" s="29"/>
    </row>
    <row r="37" spans="2:17" x14ac:dyDescent="0.85">
      <c r="B37" s="266">
        <v>31</v>
      </c>
      <c r="C37" s="270" t="s">
        <v>337</v>
      </c>
      <c r="D37" s="282" t="s">
        <v>445</v>
      </c>
      <c r="E37" s="10" t="s">
        <v>29</v>
      </c>
      <c r="F37" s="10" t="s">
        <v>225</v>
      </c>
      <c r="G37" s="49">
        <v>1</v>
      </c>
      <c r="H37" s="73"/>
      <c r="I37" s="10" t="s">
        <v>214</v>
      </c>
      <c r="J37" s="48">
        <f t="shared" si="2"/>
        <v>1</v>
      </c>
      <c r="K37" s="48">
        <f>IFERROR(INDEX(TarrifTable,MATCH(Elements!E37,Constants!$V$4:$V$7,0),MATCH(Elements!F37,Constants!$W$3:$AA$3,0)),0)</f>
        <v>240</v>
      </c>
      <c r="L37" s="69">
        <f t="shared" si="0"/>
        <v>240</v>
      </c>
      <c r="N37" s="29"/>
      <c r="O37" s="29"/>
      <c r="P37" s="29"/>
      <c r="Q37" s="29"/>
    </row>
    <row r="38" spans="2:17" x14ac:dyDescent="0.85">
      <c r="B38" s="265">
        <v>32</v>
      </c>
      <c r="C38" s="269" t="s">
        <v>337</v>
      </c>
      <c r="D38" s="281" t="s">
        <v>446</v>
      </c>
      <c r="E38" s="44" t="s">
        <v>212</v>
      </c>
      <c r="F38" s="44" t="s">
        <v>225</v>
      </c>
      <c r="G38" s="47">
        <v>1</v>
      </c>
      <c r="H38" s="72"/>
      <c r="I38" s="44" t="s">
        <v>214</v>
      </c>
      <c r="J38" s="46">
        <f t="shared" si="2"/>
        <v>1</v>
      </c>
      <c r="K38" s="46">
        <f>IFERROR(INDEX(TarrifTable,MATCH(Elements!E38,Constants!$V$4:$V$7,0),MATCH(Elements!F38,Constants!$W$3:$AA$3,0)),0)</f>
        <v>160</v>
      </c>
      <c r="L38" s="68">
        <f t="shared" si="0"/>
        <v>160</v>
      </c>
      <c r="N38" s="29"/>
      <c r="O38" s="29"/>
      <c r="P38" s="29"/>
      <c r="Q38" s="29"/>
    </row>
    <row r="39" spans="2:17" x14ac:dyDescent="0.85">
      <c r="B39" s="266">
        <v>33</v>
      </c>
      <c r="C39" s="270" t="s">
        <v>337</v>
      </c>
      <c r="D39" s="282" t="s">
        <v>447</v>
      </c>
      <c r="E39" s="10" t="s">
        <v>29</v>
      </c>
      <c r="F39" s="10" t="s">
        <v>225</v>
      </c>
      <c r="G39" s="49">
        <v>1</v>
      </c>
      <c r="H39" s="73"/>
      <c r="I39" s="10" t="s">
        <v>214</v>
      </c>
      <c r="J39" s="48">
        <f t="shared" si="2"/>
        <v>1</v>
      </c>
      <c r="K39" s="48">
        <f>IFERROR(INDEX(TarrifTable,MATCH(Elements!E39,Constants!$V$4:$V$7,0),MATCH(Elements!F39,Constants!$W$3:$AA$3,0)),0)</f>
        <v>240</v>
      </c>
      <c r="L39" s="69">
        <f t="shared" si="0"/>
        <v>240</v>
      </c>
      <c r="N39" s="29"/>
      <c r="O39" s="29"/>
      <c r="P39" s="29"/>
      <c r="Q39" s="29"/>
    </row>
    <row r="40" spans="2:17" x14ac:dyDescent="0.85">
      <c r="B40" s="265">
        <v>34</v>
      </c>
      <c r="C40" s="271" t="s">
        <v>337</v>
      </c>
      <c r="D40" s="280" t="s">
        <v>448</v>
      </c>
      <c r="E40" s="10" t="s">
        <v>29</v>
      </c>
      <c r="F40" s="10" t="s">
        <v>30</v>
      </c>
      <c r="G40" s="47">
        <v>1</v>
      </c>
      <c r="H40" s="72"/>
      <c r="I40" s="10" t="s">
        <v>214</v>
      </c>
      <c r="J40" s="46">
        <f t="shared" si="2"/>
        <v>1</v>
      </c>
      <c r="K40" s="46">
        <f>IFERROR(INDEX(TarrifTable,MATCH(Elements!E40,Constants!$V$4:$V$7,0),MATCH(Elements!F40,Constants!$W$3:$AA$3,0)),0)</f>
        <v>360</v>
      </c>
      <c r="L40" s="69">
        <f t="shared" si="0"/>
        <v>360</v>
      </c>
      <c r="N40" s="29"/>
      <c r="O40" s="29"/>
      <c r="P40" s="29"/>
      <c r="Q40" s="29"/>
    </row>
    <row r="41" spans="2:17" x14ac:dyDescent="0.85">
      <c r="B41" s="266">
        <v>35</v>
      </c>
      <c r="C41" s="272" t="s">
        <v>337</v>
      </c>
      <c r="D41" s="281" t="s">
        <v>449</v>
      </c>
      <c r="E41" s="44" t="s">
        <v>29</v>
      </c>
      <c r="F41" s="44" t="s">
        <v>222</v>
      </c>
      <c r="G41" s="49">
        <v>1</v>
      </c>
      <c r="H41" s="73"/>
      <c r="I41" s="44" t="s">
        <v>214</v>
      </c>
      <c r="J41" s="48">
        <f t="shared" si="2"/>
        <v>1</v>
      </c>
      <c r="K41" s="48">
        <f>IFERROR(INDEX(TarrifTable,MATCH(Elements!E41,Constants!$V$4:$V$7,0),MATCH(Elements!F41,Constants!$W$3:$AA$3,0)),0)</f>
        <v>180</v>
      </c>
      <c r="L41" s="68">
        <f t="shared" si="0"/>
        <v>180</v>
      </c>
      <c r="N41" s="29"/>
      <c r="O41" s="29"/>
      <c r="P41" s="29"/>
      <c r="Q41" s="29"/>
    </row>
    <row r="42" spans="2:17" x14ac:dyDescent="0.85">
      <c r="B42" s="46">
        <v>36</v>
      </c>
      <c r="C42" s="273" t="s">
        <v>337</v>
      </c>
      <c r="D42" s="283" t="s">
        <v>450</v>
      </c>
      <c r="E42" s="10" t="s">
        <v>220</v>
      </c>
      <c r="F42" s="10" t="s">
        <v>32</v>
      </c>
      <c r="G42" s="47">
        <v>1</v>
      </c>
      <c r="H42" s="72"/>
      <c r="I42" s="10" t="s">
        <v>214</v>
      </c>
      <c r="J42" s="46">
        <f t="shared" si="2"/>
        <v>1</v>
      </c>
      <c r="K42" s="46">
        <f>IFERROR(INDEX(TarrifTable,MATCH(Elements!E42,Constants!$V$4:$V$7,0),MATCH(Elements!F42,Constants!$W$3:$AA$3,0)),0)</f>
        <v>120</v>
      </c>
      <c r="L42" s="69">
        <f t="shared" si="0"/>
        <v>120</v>
      </c>
      <c r="N42" s="29"/>
      <c r="O42" s="29"/>
      <c r="P42" s="29"/>
      <c r="Q42" s="29"/>
    </row>
    <row r="43" spans="2:17" x14ac:dyDescent="0.85">
      <c r="B43" s="48">
        <v>37</v>
      </c>
      <c r="C43" s="274"/>
      <c r="D43" s="284"/>
      <c r="E43" s="44"/>
      <c r="F43" s="44"/>
      <c r="G43" s="49">
        <v>1</v>
      </c>
      <c r="H43" s="73"/>
      <c r="I43" s="44"/>
      <c r="J43" s="48">
        <f t="shared" si="2"/>
        <v>1</v>
      </c>
      <c r="K43" s="48">
        <f>IFERROR(INDEX(TarrifTable,MATCH(Elements!E43,Constants!$V$4:$V$7,0),MATCH(Elements!F43,Constants!$W$3:$AA$3,0)),0)</f>
        <v>0</v>
      </c>
      <c r="L43" s="68">
        <f t="shared" si="0"/>
        <v>0</v>
      </c>
      <c r="N43" s="29"/>
      <c r="O43" s="29"/>
      <c r="P43" s="29"/>
      <c r="Q43" s="29"/>
    </row>
    <row r="44" spans="2:17" x14ac:dyDescent="0.85">
      <c r="B44" s="46">
        <v>38</v>
      </c>
      <c r="C44" s="275"/>
      <c r="D44" s="283"/>
      <c r="E44" s="10"/>
      <c r="F44" s="10"/>
      <c r="G44" s="47">
        <v>1</v>
      </c>
      <c r="H44" s="72"/>
      <c r="I44" s="10"/>
      <c r="J44" s="46">
        <f t="shared" si="2"/>
        <v>1</v>
      </c>
      <c r="K44" s="46">
        <f>IFERROR(INDEX(TarrifTable,MATCH(Elements!E44,Constants!$V$4:$V$7,0),MATCH(Elements!F44,Constants!$W$3:$AA$3,0)),0)</f>
        <v>0</v>
      </c>
      <c r="L44" s="69">
        <f t="shared" si="0"/>
        <v>0</v>
      </c>
      <c r="N44" s="29"/>
      <c r="O44" s="29"/>
      <c r="P44" s="29"/>
      <c r="Q44" s="29"/>
    </row>
    <row r="45" spans="2:17" x14ac:dyDescent="0.85">
      <c r="B45" s="48">
        <v>39</v>
      </c>
      <c r="C45" s="274"/>
      <c r="D45" s="284"/>
      <c r="E45" s="44"/>
      <c r="F45" s="44"/>
      <c r="G45" s="49">
        <v>1</v>
      </c>
      <c r="H45" s="73"/>
      <c r="I45" s="44"/>
      <c r="J45" s="48">
        <f t="shared" si="2"/>
        <v>1</v>
      </c>
      <c r="K45" s="48">
        <f>IFERROR(INDEX(TarrifTable,MATCH(Elements!E45,Constants!$V$4:$V$7,0),MATCH(Elements!F45,Constants!$W$3:$AA$3,0)),0)</f>
        <v>0</v>
      </c>
      <c r="L45" s="68">
        <f t="shared" si="0"/>
        <v>0</v>
      </c>
      <c r="N45" s="29"/>
      <c r="O45" s="29"/>
      <c r="P45" s="29"/>
      <c r="Q45" s="29"/>
    </row>
    <row r="46" spans="2:17" x14ac:dyDescent="0.85">
      <c r="B46" s="46">
        <v>40</v>
      </c>
      <c r="C46" s="275"/>
      <c r="D46" s="283"/>
      <c r="E46" s="10"/>
      <c r="F46" s="10"/>
      <c r="G46" s="47">
        <v>1</v>
      </c>
      <c r="H46" s="72"/>
      <c r="I46" s="10"/>
      <c r="J46" s="46">
        <f t="shared" si="2"/>
        <v>1</v>
      </c>
      <c r="K46" s="46">
        <f>IFERROR(INDEX(TarrifTable,MATCH(Elements!E46,Constants!$V$4:$V$7,0),MATCH(Elements!F46,Constants!$W$3:$AA$3,0)),0)</f>
        <v>0</v>
      </c>
      <c r="L46" s="69">
        <f t="shared" si="0"/>
        <v>0</v>
      </c>
      <c r="N46" s="29"/>
      <c r="O46" s="29"/>
      <c r="P46" s="29"/>
      <c r="Q46" s="29"/>
    </row>
    <row r="47" spans="2:17" x14ac:dyDescent="0.85">
      <c r="B47" s="48">
        <v>41</v>
      </c>
      <c r="C47" s="274"/>
      <c r="D47" s="284"/>
      <c r="E47" s="44"/>
      <c r="F47" s="44"/>
      <c r="G47" s="49">
        <v>1</v>
      </c>
      <c r="H47" s="73"/>
      <c r="I47" s="44"/>
      <c r="J47" s="48">
        <f t="shared" si="2"/>
        <v>1</v>
      </c>
      <c r="K47" s="48">
        <f>IFERROR(INDEX(TarrifTable,MATCH(Elements!E47,Constants!$V$4:$V$7,0),MATCH(Elements!F47,Constants!$W$3:$AA$3,0)),0)</f>
        <v>0</v>
      </c>
      <c r="L47" s="68">
        <f t="shared" si="0"/>
        <v>0</v>
      </c>
      <c r="N47" s="29"/>
      <c r="O47" s="29"/>
      <c r="P47" s="29"/>
      <c r="Q47" s="29"/>
    </row>
    <row r="48" spans="2:17" x14ac:dyDescent="0.85">
      <c r="B48" s="46">
        <v>42</v>
      </c>
      <c r="C48" s="275"/>
      <c r="D48" s="283"/>
      <c r="E48" s="10"/>
      <c r="F48" s="10"/>
      <c r="G48" s="47">
        <v>1</v>
      </c>
      <c r="H48" s="72"/>
      <c r="I48" s="10"/>
      <c r="J48" s="46">
        <f t="shared" si="2"/>
        <v>1</v>
      </c>
      <c r="K48" s="46">
        <f>IFERROR(INDEX(TarrifTable,MATCH(Elements!E48,Constants!$V$4:$V$7,0),MATCH(Elements!F48,Constants!$W$3:$AA$3,0)),0)</f>
        <v>0</v>
      </c>
      <c r="L48" s="69">
        <f t="shared" si="0"/>
        <v>0</v>
      </c>
      <c r="N48" s="29"/>
      <c r="O48" s="29"/>
      <c r="P48" s="29"/>
      <c r="Q48" s="29"/>
    </row>
    <row r="49" spans="2:17" x14ac:dyDescent="0.85">
      <c r="B49" s="48">
        <v>43</v>
      </c>
      <c r="C49" s="274"/>
      <c r="D49" s="284"/>
      <c r="E49" s="44"/>
      <c r="F49" s="44"/>
      <c r="G49" s="49">
        <v>1</v>
      </c>
      <c r="H49" s="73"/>
      <c r="I49" s="44"/>
      <c r="J49" s="48">
        <f t="shared" si="2"/>
        <v>1</v>
      </c>
      <c r="K49" s="48">
        <f>IFERROR(INDEX(TarrifTable,MATCH(Elements!E49,Constants!$V$4:$V$7,0),MATCH(Elements!F49,Constants!$W$3:$AA$3,0)),0)</f>
        <v>0</v>
      </c>
      <c r="L49" s="68">
        <f t="shared" si="0"/>
        <v>0</v>
      </c>
      <c r="N49" s="29"/>
      <c r="O49" s="29"/>
      <c r="P49" s="29"/>
      <c r="Q49" s="29"/>
    </row>
    <row r="50" spans="2:17" x14ac:dyDescent="0.85">
      <c r="B50" s="46">
        <v>44</v>
      </c>
      <c r="C50" s="275"/>
      <c r="D50" s="283"/>
      <c r="E50" s="10"/>
      <c r="F50" s="10"/>
      <c r="G50" s="47">
        <v>1</v>
      </c>
      <c r="H50" s="72"/>
      <c r="I50" s="10"/>
      <c r="J50" s="46">
        <f t="shared" si="2"/>
        <v>1</v>
      </c>
      <c r="K50" s="46">
        <f>IFERROR(INDEX(TarrifTable,MATCH(Elements!E50,Constants!$V$4:$V$7,0),MATCH(Elements!F50,Constants!$W$3:$AA$3,0)),0)</f>
        <v>0</v>
      </c>
      <c r="L50" s="69">
        <f t="shared" si="0"/>
        <v>0</v>
      </c>
      <c r="N50" s="29"/>
      <c r="O50" s="29"/>
      <c r="P50" s="29"/>
      <c r="Q50" s="29"/>
    </row>
    <row r="51" spans="2:17" x14ac:dyDescent="0.85">
      <c r="B51" s="48">
        <v>44</v>
      </c>
      <c r="C51" s="274"/>
      <c r="D51" s="284"/>
      <c r="E51" s="44"/>
      <c r="F51" s="44"/>
      <c r="G51" s="49">
        <v>1</v>
      </c>
      <c r="H51" s="73"/>
      <c r="I51" s="44"/>
      <c r="J51" s="48">
        <f t="shared" si="2"/>
        <v>1</v>
      </c>
      <c r="K51" s="48">
        <f>IFERROR(INDEX(TarrifTable,MATCH(Elements!E51,Constants!$V$4:$V$7,0),MATCH(Elements!F51,Constants!$W$3:$AA$3,0)),0)</f>
        <v>0</v>
      </c>
      <c r="L51" s="68">
        <f t="shared" si="0"/>
        <v>0</v>
      </c>
      <c r="N51" s="29"/>
      <c r="O51" s="29"/>
      <c r="P51" s="29"/>
      <c r="Q51" s="29"/>
    </row>
    <row r="52" spans="2:17" x14ac:dyDescent="0.85">
      <c r="B52" s="46">
        <v>45</v>
      </c>
      <c r="C52" s="275"/>
      <c r="D52" s="283"/>
      <c r="E52" s="10"/>
      <c r="F52" s="10"/>
      <c r="G52" s="47">
        <v>1</v>
      </c>
      <c r="H52" s="72"/>
      <c r="I52" s="10"/>
      <c r="J52" s="46">
        <f t="shared" si="2"/>
        <v>1</v>
      </c>
      <c r="K52" s="46">
        <f>IFERROR(INDEX(TarrifTable,MATCH(Elements!E52,Constants!$V$4:$V$7,0),MATCH(Elements!F52,Constants!$W$3:$AA$3,0)),0)</f>
        <v>0</v>
      </c>
      <c r="L52" s="69">
        <f t="shared" si="0"/>
        <v>0</v>
      </c>
      <c r="N52" s="29"/>
      <c r="O52" s="29"/>
      <c r="P52" s="29"/>
      <c r="Q52" s="29"/>
    </row>
    <row r="53" spans="2:17" x14ac:dyDescent="0.85">
      <c r="B53" s="48">
        <v>46</v>
      </c>
      <c r="C53" s="274"/>
      <c r="D53" s="284"/>
      <c r="E53" s="44"/>
      <c r="F53" s="44"/>
      <c r="G53" s="49">
        <v>1</v>
      </c>
      <c r="H53" s="73"/>
      <c r="I53" s="44"/>
      <c r="J53" s="48">
        <f t="shared" si="2"/>
        <v>1</v>
      </c>
      <c r="K53" s="48">
        <f>IFERROR(INDEX(TarrifTable,MATCH(Elements!E53,Constants!$V$4:$V$7,0),MATCH(Elements!F53,Constants!$W$3:$AA$3,0)),0)</f>
        <v>0</v>
      </c>
      <c r="L53" s="68">
        <f t="shared" si="0"/>
        <v>0</v>
      </c>
      <c r="N53" s="29"/>
      <c r="O53" s="29"/>
      <c r="P53" s="29"/>
      <c r="Q53" s="29"/>
    </row>
    <row r="54" spans="2:17" x14ac:dyDescent="0.85">
      <c r="B54" s="46">
        <v>47</v>
      </c>
      <c r="C54" s="275"/>
      <c r="D54" s="283"/>
      <c r="E54" s="10"/>
      <c r="F54" s="10"/>
      <c r="G54" s="47">
        <v>1</v>
      </c>
      <c r="H54" s="72"/>
      <c r="I54" s="10"/>
      <c r="J54" s="46">
        <f t="shared" si="2"/>
        <v>1</v>
      </c>
      <c r="K54" s="46">
        <f>IFERROR(INDEX(TarrifTable,MATCH(Elements!E54,Constants!$V$4:$V$7,0),MATCH(Elements!F54,Constants!$W$3:$AA$3,0)),0)</f>
        <v>0</v>
      </c>
      <c r="L54" s="69">
        <f t="shared" si="0"/>
        <v>0</v>
      </c>
      <c r="N54" s="29"/>
      <c r="O54" s="29"/>
      <c r="P54" s="29"/>
      <c r="Q54" s="29"/>
    </row>
    <row r="55" spans="2:17" x14ac:dyDescent="0.85">
      <c r="B55" s="48">
        <v>48</v>
      </c>
      <c r="C55" s="274"/>
      <c r="D55" s="284"/>
      <c r="E55" s="44"/>
      <c r="F55" s="44"/>
      <c r="G55" s="49">
        <v>1</v>
      </c>
      <c r="H55" s="73"/>
      <c r="I55" s="44"/>
      <c r="J55" s="48">
        <f t="shared" si="2"/>
        <v>1</v>
      </c>
      <c r="K55" s="48">
        <f>IFERROR(INDEX(TarrifTable,MATCH(Elements!E55,Constants!$V$4:$V$7,0),MATCH(Elements!F55,Constants!$W$3:$AA$3,0)),0)</f>
        <v>0</v>
      </c>
      <c r="L55" s="68">
        <f t="shared" si="0"/>
        <v>0</v>
      </c>
      <c r="N55" s="29"/>
      <c r="O55" s="29"/>
      <c r="P55" s="29"/>
      <c r="Q55" s="29"/>
    </row>
    <row r="56" spans="2:17" x14ac:dyDescent="0.85">
      <c r="B56" s="46">
        <v>49</v>
      </c>
      <c r="C56" s="275"/>
      <c r="D56" s="283"/>
      <c r="E56" s="10"/>
      <c r="F56" s="10"/>
      <c r="G56" s="47">
        <v>1</v>
      </c>
      <c r="H56" s="72"/>
      <c r="I56" s="10"/>
      <c r="J56" s="46">
        <f t="shared" si="2"/>
        <v>1</v>
      </c>
      <c r="K56" s="46">
        <f>IFERROR(INDEX(TarrifTable,MATCH(Elements!E56,Constants!$V$4:$V$7,0),MATCH(Elements!F56,Constants!$W$3:$AA$3,0)),0)</f>
        <v>0</v>
      </c>
      <c r="L56" s="69">
        <f t="shared" si="0"/>
        <v>0</v>
      </c>
      <c r="N56" s="29"/>
      <c r="O56" s="29"/>
      <c r="P56" s="29"/>
      <c r="Q56" s="29"/>
    </row>
    <row r="57" spans="2:17" x14ac:dyDescent="0.85">
      <c r="B57" s="48">
        <v>50</v>
      </c>
      <c r="C57" s="274"/>
      <c r="D57" s="284"/>
      <c r="E57" s="44"/>
      <c r="F57" s="44"/>
      <c r="G57" s="49">
        <v>1</v>
      </c>
      <c r="H57" s="73"/>
      <c r="I57" s="44"/>
      <c r="J57" s="48">
        <f t="shared" si="2"/>
        <v>1</v>
      </c>
      <c r="K57" s="48">
        <f>IFERROR(INDEX(TarrifTable,MATCH(Elements!E57,Constants!$V$4:$V$7,0),MATCH(Elements!F57,Constants!$W$3:$AA$3,0)),0)</f>
        <v>0</v>
      </c>
      <c r="L57" s="68">
        <f t="shared" si="0"/>
        <v>0</v>
      </c>
      <c r="N57" s="29"/>
      <c r="O57" s="29"/>
      <c r="P57" s="29"/>
      <c r="Q57" s="29"/>
    </row>
    <row r="58" spans="2:17" x14ac:dyDescent="0.85">
      <c r="B58" s="46">
        <v>51</v>
      </c>
      <c r="C58" s="275"/>
      <c r="D58" s="283"/>
      <c r="E58" s="10"/>
      <c r="F58" s="10"/>
      <c r="G58" s="47">
        <v>1</v>
      </c>
      <c r="H58" s="72"/>
      <c r="I58" s="10"/>
      <c r="J58" s="46">
        <f t="shared" si="2"/>
        <v>1</v>
      </c>
      <c r="K58" s="46">
        <f>IFERROR(INDEX(TarrifTable,MATCH(Elements!E58,Constants!$V$4:$V$7,0),MATCH(Elements!F58,Constants!$W$3:$AA$3,0)),0)</f>
        <v>0</v>
      </c>
      <c r="L58" s="69">
        <f t="shared" si="0"/>
        <v>0</v>
      </c>
      <c r="N58" s="29"/>
      <c r="O58" s="29"/>
      <c r="P58" s="29"/>
      <c r="Q58" s="29"/>
    </row>
    <row r="59" spans="2:17" x14ac:dyDescent="0.85">
      <c r="B59" s="48">
        <v>52</v>
      </c>
      <c r="C59" s="274"/>
      <c r="D59" s="284"/>
      <c r="E59" s="44"/>
      <c r="F59" s="44"/>
      <c r="G59" s="49">
        <v>1</v>
      </c>
      <c r="H59" s="73"/>
      <c r="I59" s="44"/>
      <c r="J59" s="48">
        <f t="shared" si="2"/>
        <v>1</v>
      </c>
      <c r="K59" s="48">
        <f>IFERROR(INDEX(TarrifTable,MATCH(Elements!E59,Constants!$V$4:$V$7,0),MATCH(Elements!F59,Constants!$W$3:$AA$3,0)),0)</f>
        <v>0</v>
      </c>
      <c r="L59" s="68">
        <f t="shared" si="0"/>
        <v>0</v>
      </c>
      <c r="N59" s="29"/>
      <c r="O59" s="29"/>
      <c r="P59" s="29"/>
      <c r="Q59" s="29"/>
    </row>
    <row r="60" spans="2:17" x14ac:dyDescent="0.85">
      <c r="B60" s="46">
        <v>53</v>
      </c>
      <c r="C60" s="275"/>
      <c r="D60" s="283"/>
      <c r="E60" s="10"/>
      <c r="F60" s="10"/>
      <c r="G60" s="47">
        <v>1</v>
      </c>
      <c r="H60" s="72"/>
      <c r="I60" s="10"/>
      <c r="J60" s="46">
        <f t="shared" si="2"/>
        <v>1</v>
      </c>
      <c r="K60" s="46">
        <f>IFERROR(INDEX(TarrifTable,MATCH(Elements!E60,Constants!$V$4:$V$7,0),MATCH(Elements!F60,Constants!$W$3:$AA$3,0)),0)</f>
        <v>0</v>
      </c>
      <c r="L60" s="69">
        <f t="shared" si="0"/>
        <v>0</v>
      </c>
      <c r="N60" s="29"/>
      <c r="O60" s="29"/>
      <c r="P60" s="29"/>
      <c r="Q60" s="29"/>
    </row>
    <row r="61" spans="2:17" x14ac:dyDescent="0.85">
      <c r="B61" s="48">
        <v>54</v>
      </c>
      <c r="C61" s="274"/>
      <c r="D61" s="284"/>
      <c r="E61" s="44"/>
      <c r="F61" s="44"/>
      <c r="G61" s="49">
        <v>1</v>
      </c>
      <c r="H61" s="73"/>
      <c r="I61" s="44"/>
      <c r="J61" s="48">
        <f t="shared" si="2"/>
        <v>1</v>
      </c>
      <c r="K61" s="48">
        <f>IFERROR(INDEX(TarrifTable,MATCH(Elements!E61,Constants!$V$4:$V$7,0),MATCH(Elements!F61,Constants!$W$3:$AA$3,0)),0)</f>
        <v>0</v>
      </c>
      <c r="L61" s="68">
        <f t="shared" si="0"/>
        <v>0</v>
      </c>
      <c r="N61" s="29"/>
      <c r="O61" s="29"/>
      <c r="P61" s="29"/>
      <c r="Q61" s="29"/>
    </row>
    <row r="62" spans="2:17" x14ac:dyDescent="0.85">
      <c r="B62" s="46">
        <v>55</v>
      </c>
      <c r="C62" s="275"/>
      <c r="D62" s="283"/>
      <c r="E62" s="10"/>
      <c r="F62" s="10"/>
      <c r="G62" s="47">
        <v>1</v>
      </c>
      <c r="H62" s="72"/>
      <c r="I62" s="10"/>
      <c r="J62" s="46">
        <f t="shared" si="2"/>
        <v>1</v>
      </c>
      <c r="K62" s="46">
        <f>IFERROR(INDEX(TarrifTable,MATCH(Elements!E62,Constants!$V$4:$V$7,0),MATCH(Elements!F62,Constants!$W$3:$AA$3,0)),0)</f>
        <v>0</v>
      </c>
      <c r="L62" s="69">
        <f t="shared" si="0"/>
        <v>0</v>
      </c>
      <c r="N62" s="29"/>
      <c r="O62" s="29"/>
      <c r="P62" s="29"/>
      <c r="Q62" s="29"/>
    </row>
    <row r="63" spans="2:17" x14ac:dyDescent="0.85">
      <c r="B63" s="48">
        <v>56</v>
      </c>
      <c r="C63" s="274"/>
      <c r="D63" s="284"/>
      <c r="E63" s="44"/>
      <c r="F63" s="44"/>
      <c r="G63" s="49">
        <v>1</v>
      </c>
      <c r="H63" s="73"/>
      <c r="I63" s="44"/>
      <c r="J63" s="48">
        <f t="shared" si="2"/>
        <v>1</v>
      </c>
      <c r="K63" s="48">
        <f>IFERROR(INDEX(TarrifTable,MATCH(Elements!E63,Constants!$V$4:$V$7,0),MATCH(Elements!F63,Constants!$W$3:$AA$3,0)),0)</f>
        <v>0</v>
      </c>
      <c r="L63" s="68">
        <f t="shared" si="0"/>
        <v>0</v>
      </c>
      <c r="N63" s="29"/>
      <c r="O63" s="29"/>
      <c r="P63" s="29"/>
      <c r="Q63" s="29"/>
    </row>
    <row r="64" spans="2:17" x14ac:dyDescent="0.85">
      <c r="B64" s="46">
        <v>57</v>
      </c>
      <c r="C64" s="275"/>
      <c r="D64" s="283"/>
      <c r="E64" s="10"/>
      <c r="F64" s="10"/>
      <c r="G64" s="47">
        <v>1</v>
      </c>
      <c r="H64" s="72"/>
      <c r="I64" s="10"/>
      <c r="J64" s="46">
        <f t="shared" si="2"/>
        <v>1</v>
      </c>
      <c r="K64" s="46">
        <f>IFERROR(INDEX(TarrifTable,MATCH(Elements!E64,Constants!$V$4:$V$7,0),MATCH(Elements!F64,Constants!$W$3:$AA$3,0)),0)</f>
        <v>0</v>
      </c>
      <c r="L64" s="69">
        <f t="shared" si="0"/>
        <v>0</v>
      </c>
      <c r="N64" s="29"/>
      <c r="O64" s="29"/>
      <c r="P64" s="29"/>
      <c r="Q64" s="29"/>
    </row>
    <row r="65" spans="2:17" x14ac:dyDescent="0.85">
      <c r="B65" s="48">
        <v>58</v>
      </c>
      <c r="C65" s="274"/>
      <c r="D65" s="284"/>
      <c r="E65" s="44"/>
      <c r="F65" s="44"/>
      <c r="G65" s="49">
        <v>1</v>
      </c>
      <c r="H65" s="73"/>
      <c r="I65" s="44"/>
      <c r="J65" s="48">
        <f t="shared" si="2"/>
        <v>1</v>
      </c>
      <c r="K65" s="48">
        <f>IFERROR(INDEX(TarrifTable,MATCH(Elements!E65,Constants!$V$4:$V$7,0),MATCH(Elements!F65,Constants!$W$3:$AA$3,0)),0)</f>
        <v>0</v>
      </c>
      <c r="L65" s="68">
        <f t="shared" si="0"/>
        <v>0</v>
      </c>
      <c r="N65" s="29"/>
      <c r="O65" s="29"/>
      <c r="P65" s="29"/>
      <c r="Q65" s="29"/>
    </row>
    <row r="66" spans="2:17" x14ac:dyDescent="0.85">
      <c r="B66" s="46">
        <v>59</v>
      </c>
      <c r="C66" s="275"/>
      <c r="D66" s="283"/>
      <c r="E66" s="10"/>
      <c r="F66" s="10"/>
      <c r="G66" s="47">
        <v>1</v>
      </c>
      <c r="H66" s="72"/>
      <c r="I66" s="10"/>
      <c r="J66" s="46">
        <f t="shared" si="2"/>
        <v>1</v>
      </c>
      <c r="K66" s="46">
        <f>IFERROR(INDEX(TarrifTable,MATCH(Elements!E66,Constants!$V$4:$V$7,0),MATCH(Elements!F66,Constants!$W$3:$AA$3,0)),0)</f>
        <v>0</v>
      </c>
      <c r="L66" s="69">
        <f t="shared" si="0"/>
        <v>0</v>
      </c>
      <c r="N66" s="29"/>
      <c r="O66" s="29"/>
      <c r="P66" s="29"/>
      <c r="Q66" s="29"/>
    </row>
    <row r="67" spans="2:17" x14ac:dyDescent="0.85">
      <c r="B67" s="48">
        <v>60</v>
      </c>
      <c r="C67" s="274"/>
      <c r="D67" s="284"/>
      <c r="E67" s="44"/>
      <c r="F67" s="44"/>
      <c r="G67" s="49">
        <v>1</v>
      </c>
      <c r="H67" s="73"/>
      <c r="I67" s="44"/>
      <c r="J67" s="48">
        <f t="shared" si="2"/>
        <v>1</v>
      </c>
      <c r="K67" s="48">
        <f>IFERROR(INDEX(TarrifTable,MATCH(Elements!E67,Constants!$V$4:$V$7,0),MATCH(Elements!F67,Constants!$W$3:$AA$3,0)),0)</f>
        <v>0</v>
      </c>
      <c r="L67" s="68">
        <f t="shared" si="0"/>
        <v>0</v>
      </c>
      <c r="N67" s="29"/>
      <c r="O67" s="29"/>
      <c r="P67" s="29"/>
      <c r="Q67" s="29"/>
    </row>
    <row r="68" spans="2:17" x14ac:dyDescent="0.85">
      <c r="B68" s="46">
        <v>61</v>
      </c>
      <c r="C68" s="275"/>
      <c r="D68" s="283"/>
      <c r="E68" s="10"/>
      <c r="F68" s="10"/>
      <c r="G68" s="47">
        <v>1</v>
      </c>
      <c r="H68" s="72"/>
      <c r="I68" s="10"/>
      <c r="J68" s="46">
        <f t="shared" si="2"/>
        <v>1</v>
      </c>
      <c r="K68" s="46">
        <f>IFERROR(INDEX(TarrifTable,MATCH(Elements!E68,Constants!$V$4:$V$7,0),MATCH(Elements!F68,Constants!$W$3:$AA$3,0)),0)</f>
        <v>0</v>
      </c>
      <c r="L68" s="69">
        <f t="shared" si="0"/>
        <v>0</v>
      </c>
      <c r="N68" s="29"/>
      <c r="O68" s="29"/>
      <c r="P68" s="29"/>
      <c r="Q68" s="29"/>
    </row>
    <row r="69" spans="2:17" x14ac:dyDescent="0.85">
      <c r="B69" s="48">
        <v>62</v>
      </c>
      <c r="C69" s="274"/>
      <c r="D69" s="284"/>
      <c r="E69" s="44"/>
      <c r="F69" s="44"/>
      <c r="G69" s="49">
        <v>1</v>
      </c>
      <c r="H69" s="73"/>
      <c r="I69" s="44"/>
      <c r="J69" s="48">
        <f t="shared" si="2"/>
        <v>1</v>
      </c>
      <c r="K69" s="48">
        <f>IFERROR(INDEX(TarrifTable,MATCH(Elements!E69,Constants!$V$4:$V$7,0),MATCH(Elements!F69,Constants!$W$3:$AA$3,0)),0)</f>
        <v>0</v>
      </c>
      <c r="L69" s="68">
        <f t="shared" si="0"/>
        <v>0</v>
      </c>
      <c r="N69" s="29"/>
      <c r="O69" s="29"/>
      <c r="P69" s="29"/>
      <c r="Q69" s="29"/>
    </row>
    <row r="70" spans="2:17" x14ac:dyDescent="0.85">
      <c r="B70" s="46">
        <v>63</v>
      </c>
      <c r="C70" s="275"/>
      <c r="D70" s="283"/>
      <c r="E70" s="10"/>
      <c r="F70" s="10"/>
      <c r="G70" s="47">
        <v>1</v>
      </c>
      <c r="H70" s="72"/>
      <c r="I70" s="10"/>
      <c r="J70" s="46">
        <f t="shared" si="2"/>
        <v>1</v>
      </c>
      <c r="K70" s="46">
        <f>IFERROR(INDEX(TarrifTable,MATCH(Elements!E70,Constants!$V$4:$V$7,0),MATCH(Elements!F70,Constants!$W$3:$AA$3,0)),0)</f>
        <v>0</v>
      </c>
      <c r="L70" s="69">
        <f t="shared" si="0"/>
        <v>0</v>
      </c>
      <c r="N70" s="29"/>
      <c r="O70" s="29"/>
      <c r="P70" s="29"/>
      <c r="Q70" s="29"/>
    </row>
    <row r="71" spans="2:17" x14ac:dyDescent="0.85">
      <c r="B71" s="48">
        <v>64</v>
      </c>
      <c r="C71" s="274"/>
      <c r="D71" s="284"/>
      <c r="E71" s="44"/>
      <c r="F71" s="44"/>
      <c r="G71" s="49">
        <v>1</v>
      </c>
      <c r="H71" s="73"/>
      <c r="I71" s="44"/>
      <c r="J71" s="48">
        <f t="shared" si="2"/>
        <v>1</v>
      </c>
      <c r="K71" s="48">
        <f>IFERROR(INDEX(TarrifTable,MATCH(Elements!E71,Constants!$V$4:$V$7,0),MATCH(Elements!F71,Constants!$W$3:$AA$3,0)),0)</f>
        <v>0</v>
      </c>
      <c r="L71" s="68">
        <f t="shared" si="0"/>
        <v>0</v>
      </c>
      <c r="N71" s="29"/>
      <c r="O71" s="29"/>
      <c r="P71" s="29"/>
      <c r="Q71" s="29"/>
    </row>
    <row r="72" spans="2:17" x14ac:dyDescent="0.85">
      <c r="B72" s="46">
        <v>65</v>
      </c>
      <c r="C72" s="275"/>
      <c r="D72" s="283"/>
      <c r="E72" s="10"/>
      <c r="F72" s="10"/>
      <c r="G72" s="47">
        <v>1</v>
      </c>
      <c r="H72" s="72"/>
      <c r="I72" s="10"/>
      <c r="J72" s="46">
        <f t="shared" ref="J72:J135" si="3">IF(ISBLANK(H72),1,H72)</f>
        <v>1</v>
      </c>
      <c r="K72" s="46">
        <f>IFERROR(INDEX(TarrifTable,MATCH(Elements!E72,Constants!$V$4:$V$7,0),MATCH(Elements!F72,Constants!$W$3:$AA$3,0)),0)</f>
        <v>0</v>
      </c>
      <c r="L72" s="69">
        <f t="shared" ref="L72:L135" si="4">J72*G72*K72</f>
        <v>0</v>
      </c>
      <c r="N72" s="29"/>
      <c r="O72" s="29"/>
      <c r="P72" s="29"/>
      <c r="Q72" s="29"/>
    </row>
    <row r="73" spans="2:17" x14ac:dyDescent="0.85">
      <c r="B73" s="48">
        <v>66</v>
      </c>
      <c r="C73" s="274"/>
      <c r="D73" s="284"/>
      <c r="E73" s="44"/>
      <c r="F73" s="44"/>
      <c r="G73" s="49">
        <v>1</v>
      </c>
      <c r="H73" s="73"/>
      <c r="I73" s="44"/>
      <c r="J73" s="48">
        <f t="shared" si="3"/>
        <v>1</v>
      </c>
      <c r="K73" s="48">
        <f>IFERROR(INDEX(TarrifTable,MATCH(Elements!E73,Constants!$V$4:$V$7,0),MATCH(Elements!F73,Constants!$W$3:$AA$3,0)),0)</f>
        <v>0</v>
      </c>
      <c r="L73" s="68">
        <f t="shared" si="4"/>
        <v>0</v>
      </c>
      <c r="N73" s="29"/>
      <c r="O73" s="29"/>
      <c r="P73" s="29"/>
      <c r="Q73" s="29"/>
    </row>
    <row r="74" spans="2:17" x14ac:dyDescent="0.85">
      <c r="B74" s="46">
        <v>67</v>
      </c>
      <c r="C74" s="275"/>
      <c r="D74" s="283"/>
      <c r="E74" s="10"/>
      <c r="F74" s="10"/>
      <c r="G74" s="47">
        <v>1</v>
      </c>
      <c r="H74" s="72"/>
      <c r="I74" s="10"/>
      <c r="J74" s="46">
        <f t="shared" si="3"/>
        <v>1</v>
      </c>
      <c r="K74" s="46">
        <f>IFERROR(INDEX(TarrifTable,MATCH(Elements!E74,Constants!$V$4:$V$7,0),MATCH(Elements!F74,Constants!$W$3:$AA$3,0)),0)</f>
        <v>0</v>
      </c>
      <c r="L74" s="69">
        <f t="shared" si="4"/>
        <v>0</v>
      </c>
      <c r="N74" s="29"/>
      <c r="O74" s="29"/>
      <c r="P74" s="29"/>
      <c r="Q74" s="29"/>
    </row>
    <row r="75" spans="2:17" x14ac:dyDescent="0.85">
      <c r="B75" s="48">
        <v>68</v>
      </c>
      <c r="C75" s="274"/>
      <c r="D75" s="284"/>
      <c r="E75" s="44"/>
      <c r="F75" s="44"/>
      <c r="G75" s="49">
        <v>1</v>
      </c>
      <c r="H75" s="73"/>
      <c r="I75" s="44"/>
      <c r="J75" s="48">
        <f t="shared" si="3"/>
        <v>1</v>
      </c>
      <c r="K75" s="48">
        <f>IFERROR(INDEX(TarrifTable,MATCH(Elements!E75,Constants!$V$4:$V$7,0),MATCH(Elements!F75,Constants!$W$3:$AA$3,0)),0)</f>
        <v>0</v>
      </c>
      <c r="L75" s="68">
        <f t="shared" si="4"/>
        <v>0</v>
      </c>
      <c r="N75" s="29"/>
      <c r="O75" s="29"/>
      <c r="P75" s="29"/>
      <c r="Q75" s="29"/>
    </row>
    <row r="76" spans="2:17" x14ac:dyDescent="0.85">
      <c r="B76" s="46">
        <v>69</v>
      </c>
      <c r="C76" s="275"/>
      <c r="D76" s="283"/>
      <c r="E76" s="10"/>
      <c r="F76" s="10"/>
      <c r="G76" s="47">
        <v>1</v>
      </c>
      <c r="H76" s="72"/>
      <c r="I76" s="10"/>
      <c r="J76" s="46">
        <f t="shared" si="3"/>
        <v>1</v>
      </c>
      <c r="K76" s="46">
        <f>IFERROR(INDEX(TarrifTable,MATCH(Elements!E76,Constants!$V$4:$V$7,0),MATCH(Elements!F76,Constants!$W$3:$AA$3,0)),0)</f>
        <v>0</v>
      </c>
      <c r="L76" s="69">
        <f t="shared" si="4"/>
        <v>0</v>
      </c>
      <c r="N76" s="29"/>
      <c r="O76" s="29"/>
      <c r="P76" s="29"/>
      <c r="Q76" s="29"/>
    </row>
    <row r="77" spans="2:17" x14ac:dyDescent="0.85">
      <c r="B77" s="48">
        <v>70</v>
      </c>
      <c r="C77" s="274"/>
      <c r="D77" s="284"/>
      <c r="E77" s="44"/>
      <c r="F77" s="44"/>
      <c r="G77" s="49">
        <v>1</v>
      </c>
      <c r="H77" s="73"/>
      <c r="I77" s="44"/>
      <c r="J77" s="48">
        <f t="shared" si="3"/>
        <v>1</v>
      </c>
      <c r="K77" s="48">
        <f>IFERROR(INDEX(TarrifTable,MATCH(Elements!E77,Constants!$V$4:$V$7,0),MATCH(Elements!F77,Constants!$W$3:$AA$3,0)),0)</f>
        <v>0</v>
      </c>
      <c r="L77" s="68">
        <f t="shared" si="4"/>
        <v>0</v>
      </c>
      <c r="N77" s="29"/>
      <c r="O77" s="29"/>
      <c r="P77" s="29"/>
      <c r="Q77" s="29"/>
    </row>
    <row r="78" spans="2:17" x14ac:dyDescent="0.85">
      <c r="B78" s="46">
        <v>71</v>
      </c>
      <c r="C78" s="275"/>
      <c r="D78" s="283"/>
      <c r="E78" s="10"/>
      <c r="F78" s="10"/>
      <c r="G78" s="47">
        <v>1</v>
      </c>
      <c r="H78" s="72"/>
      <c r="I78" s="10"/>
      <c r="J78" s="46">
        <f t="shared" si="3"/>
        <v>1</v>
      </c>
      <c r="K78" s="46">
        <f>IFERROR(INDEX(TarrifTable,MATCH(Elements!E78,Constants!$V$4:$V$7,0),MATCH(Elements!F78,Constants!$W$3:$AA$3,0)),0)</f>
        <v>0</v>
      </c>
      <c r="L78" s="69">
        <f t="shared" si="4"/>
        <v>0</v>
      </c>
      <c r="N78" s="29"/>
      <c r="O78" s="29"/>
      <c r="P78" s="29"/>
      <c r="Q78" s="29"/>
    </row>
    <row r="79" spans="2:17" x14ac:dyDescent="0.85">
      <c r="B79" s="48">
        <v>72</v>
      </c>
      <c r="C79" s="274"/>
      <c r="D79" s="284"/>
      <c r="E79" s="44"/>
      <c r="F79" s="44"/>
      <c r="G79" s="49">
        <v>1</v>
      </c>
      <c r="H79" s="73"/>
      <c r="I79" s="44"/>
      <c r="J79" s="48">
        <f t="shared" si="3"/>
        <v>1</v>
      </c>
      <c r="K79" s="48">
        <f>IFERROR(INDEX(TarrifTable,MATCH(Elements!E79,Constants!$V$4:$V$7,0),MATCH(Elements!F79,Constants!$W$3:$AA$3,0)),0)</f>
        <v>0</v>
      </c>
      <c r="L79" s="68">
        <f t="shared" si="4"/>
        <v>0</v>
      </c>
      <c r="N79" s="29"/>
      <c r="O79" s="29"/>
      <c r="P79" s="29"/>
      <c r="Q79" s="29"/>
    </row>
    <row r="80" spans="2:17" x14ac:dyDescent="0.85">
      <c r="B80" s="46">
        <v>73</v>
      </c>
      <c r="C80" s="275"/>
      <c r="D80" s="283"/>
      <c r="E80" s="10"/>
      <c r="F80" s="10"/>
      <c r="G80" s="47">
        <v>1</v>
      </c>
      <c r="H80" s="72"/>
      <c r="I80" s="10"/>
      <c r="J80" s="46">
        <f t="shared" si="3"/>
        <v>1</v>
      </c>
      <c r="K80" s="46">
        <f>IFERROR(INDEX(TarrifTable,MATCH(Elements!E80,Constants!$V$4:$V$7,0),MATCH(Elements!F80,Constants!$W$3:$AA$3,0)),0)</f>
        <v>0</v>
      </c>
      <c r="L80" s="69">
        <f t="shared" si="4"/>
        <v>0</v>
      </c>
      <c r="N80" s="29"/>
      <c r="O80" s="29"/>
      <c r="P80" s="29"/>
      <c r="Q80" s="29"/>
    </row>
    <row r="81" spans="2:17" x14ac:dyDescent="0.85">
      <c r="B81" s="48">
        <v>74</v>
      </c>
      <c r="C81" s="274"/>
      <c r="D81" s="284"/>
      <c r="E81" s="44"/>
      <c r="F81" s="44"/>
      <c r="G81" s="49">
        <v>1</v>
      </c>
      <c r="H81" s="73"/>
      <c r="I81" s="44"/>
      <c r="J81" s="48">
        <f t="shared" si="3"/>
        <v>1</v>
      </c>
      <c r="K81" s="48">
        <f>IFERROR(INDEX(TarrifTable,MATCH(Elements!E81,Constants!$V$4:$V$7,0),MATCH(Elements!F81,Constants!$W$3:$AA$3,0)),0)</f>
        <v>0</v>
      </c>
      <c r="L81" s="68">
        <f t="shared" si="4"/>
        <v>0</v>
      </c>
      <c r="N81" s="29"/>
      <c r="O81" s="29"/>
      <c r="P81" s="29"/>
      <c r="Q81" s="29"/>
    </row>
    <row r="82" spans="2:17" x14ac:dyDescent="0.85">
      <c r="B82" s="46">
        <v>75</v>
      </c>
      <c r="C82" s="275"/>
      <c r="D82" s="283"/>
      <c r="E82" s="10"/>
      <c r="F82" s="10"/>
      <c r="G82" s="47">
        <v>1</v>
      </c>
      <c r="H82" s="72"/>
      <c r="I82" s="10"/>
      <c r="J82" s="46">
        <f t="shared" si="3"/>
        <v>1</v>
      </c>
      <c r="K82" s="46">
        <f>IFERROR(INDEX(TarrifTable,MATCH(Elements!E82,Constants!$V$4:$V$7,0),MATCH(Elements!F82,Constants!$W$3:$AA$3,0)),0)</f>
        <v>0</v>
      </c>
      <c r="L82" s="69">
        <f t="shared" si="4"/>
        <v>0</v>
      </c>
      <c r="N82" s="29"/>
      <c r="O82" s="29"/>
      <c r="P82" s="29"/>
      <c r="Q82" s="29"/>
    </row>
    <row r="83" spans="2:17" x14ac:dyDescent="0.85">
      <c r="B83" s="48">
        <v>76</v>
      </c>
      <c r="C83" s="274"/>
      <c r="D83" s="284"/>
      <c r="E83" s="44"/>
      <c r="F83" s="44"/>
      <c r="G83" s="49">
        <v>1</v>
      </c>
      <c r="H83" s="73"/>
      <c r="I83" s="44"/>
      <c r="J83" s="48">
        <f t="shared" si="3"/>
        <v>1</v>
      </c>
      <c r="K83" s="48">
        <f>IFERROR(INDEX(TarrifTable,MATCH(Elements!E83,Constants!$V$4:$V$7,0),MATCH(Elements!F83,Constants!$W$3:$AA$3,0)),0)</f>
        <v>0</v>
      </c>
      <c r="L83" s="68">
        <f t="shared" si="4"/>
        <v>0</v>
      </c>
      <c r="N83" s="29"/>
      <c r="O83" s="29"/>
      <c r="P83" s="29"/>
      <c r="Q83" s="29"/>
    </row>
    <row r="84" spans="2:17" x14ac:dyDescent="0.85">
      <c r="B84" s="46">
        <v>77</v>
      </c>
      <c r="C84" s="275"/>
      <c r="D84" s="283"/>
      <c r="E84" s="10"/>
      <c r="F84" s="10"/>
      <c r="G84" s="47">
        <v>1</v>
      </c>
      <c r="H84" s="72"/>
      <c r="I84" s="10"/>
      <c r="J84" s="46">
        <f t="shared" si="3"/>
        <v>1</v>
      </c>
      <c r="K84" s="46">
        <f>IFERROR(INDEX(TarrifTable,MATCH(Elements!E84,Constants!$V$4:$V$7,0),MATCH(Elements!F84,Constants!$W$3:$AA$3,0)),0)</f>
        <v>0</v>
      </c>
      <c r="L84" s="69">
        <f t="shared" si="4"/>
        <v>0</v>
      </c>
      <c r="N84" s="29"/>
      <c r="O84" s="29"/>
      <c r="P84" s="29"/>
      <c r="Q84" s="29"/>
    </row>
    <row r="85" spans="2:17" x14ac:dyDescent="0.85">
      <c r="B85" s="48">
        <v>78</v>
      </c>
      <c r="C85" s="274"/>
      <c r="D85" s="284"/>
      <c r="E85" s="44"/>
      <c r="F85" s="44"/>
      <c r="G85" s="49">
        <v>1</v>
      </c>
      <c r="H85" s="73"/>
      <c r="I85" s="44"/>
      <c r="J85" s="48">
        <f t="shared" si="3"/>
        <v>1</v>
      </c>
      <c r="K85" s="48">
        <f>IFERROR(INDEX(TarrifTable,MATCH(Elements!E85,Constants!$V$4:$V$7,0),MATCH(Elements!F85,Constants!$W$3:$AA$3,0)),0)</f>
        <v>0</v>
      </c>
      <c r="L85" s="68">
        <f t="shared" si="4"/>
        <v>0</v>
      </c>
      <c r="N85" s="29"/>
      <c r="O85" s="29"/>
      <c r="P85" s="29"/>
      <c r="Q85" s="29"/>
    </row>
    <row r="86" spans="2:17" x14ac:dyDescent="0.85">
      <c r="B86" s="46">
        <v>79</v>
      </c>
      <c r="C86" s="275"/>
      <c r="D86" s="283"/>
      <c r="E86" s="10"/>
      <c r="F86" s="10"/>
      <c r="G86" s="47">
        <v>1</v>
      </c>
      <c r="H86" s="72"/>
      <c r="I86" s="10"/>
      <c r="J86" s="46">
        <f t="shared" si="3"/>
        <v>1</v>
      </c>
      <c r="K86" s="46">
        <f>IFERROR(INDEX(TarrifTable,MATCH(Elements!E86,Constants!$V$4:$V$7,0),MATCH(Elements!F86,Constants!$W$3:$AA$3,0)),0)</f>
        <v>0</v>
      </c>
      <c r="L86" s="69">
        <f t="shared" si="4"/>
        <v>0</v>
      </c>
      <c r="N86" s="29"/>
      <c r="O86" s="29"/>
      <c r="P86" s="29"/>
      <c r="Q86" s="29"/>
    </row>
    <row r="87" spans="2:17" x14ac:dyDescent="0.85">
      <c r="B87" s="48">
        <v>80</v>
      </c>
      <c r="C87" s="274"/>
      <c r="D87" s="284"/>
      <c r="E87" s="44"/>
      <c r="F87" s="44"/>
      <c r="G87" s="49">
        <v>1</v>
      </c>
      <c r="H87" s="73"/>
      <c r="I87" s="44"/>
      <c r="J87" s="48">
        <f t="shared" si="3"/>
        <v>1</v>
      </c>
      <c r="K87" s="48">
        <f>IFERROR(INDEX(TarrifTable,MATCH(Elements!E87,Constants!$V$4:$V$7,0),MATCH(Elements!F87,Constants!$W$3:$AA$3,0)),0)</f>
        <v>0</v>
      </c>
      <c r="L87" s="68">
        <f t="shared" si="4"/>
        <v>0</v>
      </c>
      <c r="N87" s="29"/>
      <c r="O87" s="29"/>
      <c r="P87" s="29"/>
      <c r="Q87" s="29"/>
    </row>
    <row r="88" spans="2:17" x14ac:dyDescent="0.85">
      <c r="B88" s="46">
        <v>81</v>
      </c>
      <c r="C88" s="275"/>
      <c r="D88" s="283"/>
      <c r="E88" s="10"/>
      <c r="F88" s="10"/>
      <c r="G88" s="47">
        <v>1</v>
      </c>
      <c r="H88" s="72"/>
      <c r="I88" s="10"/>
      <c r="J88" s="46">
        <f t="shared" si="3"/>
        <v>1</v>
      </c>
      <c r="K88" s="46">
        <f>IFERROR(INDEX(TarrifTable,MATCH(Elements!E88,Constants!$V$4:$V$7,0),MATCH(Elements!F88,Constants!$W$3:$AA$3,0)),0)</f>
        <v>0</v>
      </c>
      <c r="L88" s="69">
        <f t="shared" si="4"/>
        <v>0</v>
      </c>
      <c r="N88" s="29"/>
      <c r="O88" s="29"/>
      <c r="P88" s="29"/>
      <c r="Q88" s="29"/>
    </row>
    <row r="89" spans="2:17" x14ac:dyDescent="0.85">
      <c r="B89" s="48">
        <v>82</v>
      </c>
      <c r="C89" s="274"/>
      <c r="D89" s="284"/>
      <c r="E89" s="44"/>
      <c r="F89" s="44"/>
      <c r="G89" s="49">
        <v>1</v>
      </c>
      <c r="H89" s="73"/>
      <c r="I89" s="44"/>
      <c r="J89" s="48">
        <f t="shared" si="3"/>
        <v>1</v>
      </c>
      <c r="K89" s="48">
        <f>IFERROR(INDEX(TarrifTable,MATCH(Elements!E89,Constants!$V$4:$V$7,0),MATCH(Elements!F89,Constants!$W$3:$AA$3,0)),0)</f>
        <v>0</v>
      </c>
      <c r="L89" s="68">
        <f t="shared" si="4"/>
        <v>0</v>
      </c>
      <c r="N89" s="29"/>
      <c r="O89" s="29"/>
      <c r="P89" s="29"/>
      <c r="Q89" s="29"/>
    </row>
    <row r="90" spans="2:17" x14ac:dyDescent="0.85">
      <c r="B90" s="46">
        <v>83</v>
      </c>
      <c r="C90" s="275"/>
      <c r="D90" s="283"/>
      <c r="E90" s="10"/>
      <c r="F90" s="10"/>
      <c r="G90" s="47">
        <v>1</v>
      </c>
      <c r="H90" s="72"/>
      <c r="I90" s="10"/>
      <c r="J90" s="46">
        <f t="shared" si="3"/>
        <v>1</v>
      </c>
      <c r="K90" s="46">
        <f>IFERROR(INDEX(TarrifTable,MATCH(Elements!E90,Constants!$V$4:$V$7,0),MATCH(Elements!F90,Constants!$W$3:$AA$3,0)),0)</f>
        <v>0</v>
      </c>
      <c r="L90" s="69">
        <f t="shared" si="4"/>
        <v>0</v>
      </c>
      <c r="N90" s="29"/>
      <c r="O90" s="29"/>
      <c r="P90" s="29"/>
      <c r="Q90" s="29"/>
    </row>
    <row r="91" spans="2:17" x14ac:dyDescent="0.85">
      <c r="B91" s="48">
        <v>84</v>
      </c>
      <c r="C91" s="274"/>
      <c r="D91" s="284"/>
      <c r="E91" s="44"/>
      <c r="F91" s="44"/>
      <c r="G91" s="49">
        <v>1</v>
      </c>
      <c r="H91" s="73"/>
      <c r="I91" s="44"/>
      <c r="J91" s="48">
        <f t="shared" si="3"/>
        <v>1</v>
      </c>
      <c r="K91" s="48">
        <f>IFERROR(INDEX(TarrifTable,MATCH(Elements!E91,Constants!$V$4:$V$7,0),MATCH(Elements!F91,Constants!$W$3:$AA$3,0)),0)</f>
        <v>0</v>
      </c>
      <c r="L91" s="68">
        <f t="shared" si="4"/>
        <v>0</v>
      </c>
      <c r="N91" s="29"/>
      <c r="O91" s="29"/>
      <c r="P91" s="29"/>
      <c r="Q91" s="29"/>
    </row>
    <row r="92" spans="2:17" x14ac:dyDescent="0.85">
      <c r="B92" s="46">
        <v>85</v>
      </c>
      <c r="C92" s="275"/>
      <c r="D92" s="283"/>
      <c r="E92" s="10"/>
      <c r="F92" s="10"/>
      <c r="G92" s="47">
        <v>1</v>
      </c>
      <c r="H92" s="72"/>
      <c r="I92" s="10"/>
      <c r="J92" s="46">
        <f t="shared" si="3"/>
        <v>1</v>
      </c>
      <c r="K92" s="46">
        <f>IFERROR(INDEX(TarrifTable,MATCH(Elements!E92,Constants!$V$4:$V$7,0),MATCH(Elements!F92,Constants!$W$3:$AA$3,0)),0)</f>
        <v>0</v>
      </c>
      <c r="L92" s="69">
        <f t="shared" si="4"/>
        <v>0</v>
      </c>
      <c r="N92" s="29"/>
      <c r="O92" s="29"/>
      <c r="P92" s="29"/>
      <c r="Q92" s="29"/>
    </row>
    <row r="93" spans="2:17" x14ac:dyDescent="0.85">
      <c r="B93" s="48">
        <v>86</v>
      </c>
      <c r="C93" s="274"/>
      <c r="D93" s="284"/>
      <c r="E93" s="44"/>
      <c r="F93" s="44"/>
      <c r="G93" s="49">
        <v>1</v>
      </c>
      <c r="H93" s="73"/>
      <c r="I93" s="44"/>
      <c r="J93" s="48">
        <f t="shared" si="3"/>
        <v>1</v>
      </c>
      <c r="K93" s="48">
        <f>IFERROR(INDEX(TarrifTable,MATCH(Elements!E93,Constants!$V$4:$V$7,0),MATCH(Elements!F93,Constants!$W$3:$AA$3,0)),0)</f>
        <v>0</v>
      </c>
      <c r="L93" s="68">
        <f t="shared" si="4"/>
        <v>0</v>
      </c>
      <c r="N93" s="29"/>
      <c r="O93" s="29"/>
      <c r="P93" s="29"/>
      <c r="Q93" s="29"/>
    </row>
    <row r="94" spans="2:17" x14ac:dyDescent="0.85">
      <c r="B94" s="46">
        <v>87</v>
      </c>
      <c r="C94" s="275"/>
      <c r="D94" s="283"/>
      <c r="E94" s="10"/>
      <c r="F94" s="10"/>
      <c r="G94" s="47">
        <v>1</v>
      </c>
      <c r="H94" s="72"/>
      <c r="I94" s="10"/>
      <c r="J94" s="46">
        <f t="shared" si="3"/>
        <v>1</v>
      </c>
      <c r="K94" s="46">
        <f>IFERROR(INDEX(TarrifTable,MATCH(Elements!E94,Constants!$V$4:$V$7,0),MATCH(Elements!F94,Constants!$W$3:$AA$3,0)),0)</f>
        <v>0</v>
      </c>
      <c r="L94" s="69">
        <f t="shared" si="4"/>
        <v>0</v>
      </c>
      <c r="N94" s="29"/>
      <c r="O94" s="29"/>
      <c r="P94" s="29"/>
      <c r="Q94" s="29"/>
    </row>
    <row r="95" spans="2:17" x14ac:dyDescent="0.85">
      <c r="B95" s="48">
        <v>88</v>
      </c>
      <c r="C95" s="274"/>
      <c r="D95" s="284"/>
      <c r="E95" s="44"/>
      <c r="F95" s="44"/>
      <c r="G95" s="49">
        <v>1</v>
      </c>
      <c r="H95" s="73"/>
      <c r="I95" s="44"/>
      <c r="J95" s="48">
        <f t="shared" si="3"/>
        <v>1</v>
      </c>
      <c r="K95" s="48">
        <f>IFERROR(INDEX(TarrifTable,MATCH(Elements!E95,Constants!$V$4:$V$7,0),MATCH(Elements!F95,Constants!$W$3:$AA$3,0)),0)</f>
        <v>0</v>
      </c>
      <c r="L95" s="68">
        <f t="shared" si="4"/>
        <v>0</v>
      </c>
      <c r="N95" s="29"/>
      <c r="O95" s="29"/>
      <c r="P95" s="29"/>
      <c r="Q95" s="29"/>
    </row>
    <row r="96" spans="2:17" x14ac:dyDescent="0.85">
      <c r="B96" s="46">
        <v>89</v>
      </c>
      <c r="C96" s="275"/>
      <c r="D96" s="283"/>
      <c r="E96" s="10"/>
      <c r="F96" s="10"/>
      <c r="G96" s="47">
        <v>1</v>
      </c>
      <c r="H96" s="72"/>
      <c r="I96" s="10"/>
      <c r="J96" s="46">
        <f t="shared" si="3"/>
        <v>1</v>
      </c>
      <c r="K96" s="46">
        <f>IFERROR(INDEX(TarrifTable,MATCH(Elements!E96,Constants!$V$4:$V$7,0),MATCH(Elements!F96,Constants!$W$3:$AA$3,0)),0)</f>
        <v>0</v>
      </c>
      <c r="L96" s="69">
        <f t="shared" si="4"/>
        <v>0</v>
      </c>
      <c r="N96" s="29"/>
      <c r="O96" s="29"/>
      <c r="P96" s="29"/>
      <c r="Q96" s="29"/>
    </row>
    <row r="97" spans="2:17" x14ac:dyDescent="0.85">
      <c r="B97" s="48">
        <v>90</v>
      </c>
      <c r="C97" s="274"/>
      <c r="D97" s="284"/>
      <c r="E97" s="44"/>
      <c r="F97" s="44"/>
      <c r="G97" s="49">
        <v>1</v>
      </c>
      <c r="H97" s="73"/>
      <c r="I97" s="44"/>
      <c r="J97" s="48">
        <f t="shared" si="3"/>
        <v>1</v>
      </c>
      <c r="K97" s="48">
        <f>IFERROR(INDEX(TarrifTable,MATCH(Elements!E97,Constants!$V$4:$V$7,0),MATCH(Elements!F97,Constants!$W$3:$AA$3,0)),0)</f>
        <v>0</v>
      </c>
      <c r="L97" s="68">
        <f t="shared" si="4"/>
        <v>0</v>
      </c>
      <c r="N97" s="29"/>
      <c r="O97" s="29"/>
      <c r="P97" s="29"/>
      <c r="Q97" s="29"/>
    </row>
    <row r="98" spans="2:17" x14ac:dyDescent="0.85">
      <c r="B98" s="46">
        <v>91</v>
      </c>
      <c r="C98" s="275"/>
      <c r="D98" s="283"/>
      <c r="E98" s="10"/>
      <c r="F98" s="10"/>
      <c r="G98" s="47">
        <v>1</v>
      </c>
      <c r="H98" s="72"/>
      <c r="I98" s="10"/>
      <c r="J98" s="46">
        <f t="shared" si="3"/>
        <v>1</v>
      </c>
      <c r="K98" s="46">
        <f>IFERROR(INDEX(TarrifTable,MATCH(Elements!E98,Constants!$V$4:$V$7,0),MATCH(Elements!F98,Constants!$W$3:$AA$3,0)),0)</f>
        <v>0</v>
      </c>
      <c r="L98" s="69">
        <f t="shared" si="4"/>
        <v>0</v>
      </c>
      <c r="N98" s="29"/>
      <c r="O98" s="29"/>
      <c r="P98" s="29"/>
      <c r="Q98" s="29"/>
    </row>
    <row r="99" spans="2:17" x14ac:dyDescent="0.85">
      <c r="B99" s="48">
        <v>92</v>
      </c>
      <c r="C99" s="274"/>
      <c r="D99" s="284"/>
      <c r="E99" s="44"/>
      <c r="F99" s="44"/>
      <c r="G99" s="49">
        <v>1</v>
      </c>
      <c r="H99" s="73"/>
      <c r="I99" s="44"/>
      <c r="J99" s="48">
        <f t="shared" si="3"/>
        <v>1</v>
      </c>
      <c r="K99" s="48">
        <f>IFERROR(INDEX(TarrifTable,MATCH(Elements!E99,Constants!$V$4:$V$7,0),MATCH(Elements!F99,Constants!$W$3:$AA$3,0)),0)</f>
        <v>0</v>
      </c>
      <c r="L99" s="68">
        <f t="shared" si="4"/>
        <v>0</v>
      </c>
      <c r="N99" s="29"/>
      <c r="O99" s="29"/>
      <c r="P99" s="29"/>
      <c r="Q99" s="29"/>
    </row>
    <row r="100" spans="2:17" x14ac:dyDescent="0.85">
      <c r="B100" s="46">
        <v>93</v>
      </c>
      <c r="C100" s="275"/>
      <c r="D100" s="283"/>
      <c r="E100" s="10"/>
      <c r="F100" s="10"/>
      <c r="G100" s="47">
        <v>1</v>
      </c>
      <c r="H100" s="72"/>
      <c r="I100" s="10"/>
      <c r="J100" s="46">
        <f t="shared" si="3"/>
        <v>1</v>
      </c>
      <c r="K100" s="46">
        <f>IFERROR(INDEX(TarrifTable,MATCH(Elements!E100,Constants!$V$4:$V$7,0),MATCH(Elements!F100,Constants!$W$3:$AA$3,0)),0)</f>
        <v>0</v>
      </c>
      <c r="L100" s="69">
        <f t="shared" si="4"/>
        <v>0</v>
      </c>
      <c r="N100" s="29"/>
      <c r="O100" s="29"/>
      <c r="P100" s="29"/>
      <c r="Q100" s="29"/>
    </row>
    <row r="101" spans="2:17" x14ac:dyDescent="0.85">
      <c r="B101" s="48">
        <v>94</v>
      </c>
      <c r="C101" s="274"/>
      <c r="D101" s="284"/>
      <c r="E101" s="44"/>
      <c r="F101" s="44"/>
      <c r="G101" s="49">
        <v>1</v>
      </c>
      <c r="H101" s="73"/>
      <c r="I101" s="44"/>
      <c r="J101" s="48">
        <f t="shared" si="3"/>
        <v>1</v>
      </c>
      <c r="K101" s="48">
        <f>IFERROR(INDEX(TarrifTable,MATCH(Elements!E101,Constants!$V$4:$V$7,0),MATCH(Elements!F101,Constants!$W$3:$AA$3,0)),0)</f>
        <v>0</v>
      </c>
      <c r="L101" s="68">
        <f t="shared" si="4"/>
        <v>0</v>
      </c>
      <c r="N101" s="29"/>
      <c r="O101" s="29"/>
      <c r="P101" s="29"/>
      <c r="Q101" s="29"/>
    </row>
    <row r="102" spans="2:17" x14ac:dyDescent="0.85">
      <c r="B102" s="46">
        <v>95</v>
      </c>
      <c r="C102" s="275"/>
      <c r="D102" s="283"/>
      <c r="E102" s="10"/>
      <c r="F102" s="10"/>
      <c r="G102" s="47">
        <v>1</v>
      </c>
      <c r="H102" s="72"/>
      <c r="I102" s="10"/>
      <c r="J102" s="46">
        <f t="shared" si="3"/>
        <v>1</v>
      </c>
      <c r="K102" s="46">
        <f>IFERROR(INDEX(TarrifTable,MATCH(Elements!E102,Constants!$V$4:$V$7,0),MATCH(Elements!F102,Constants!$W$3:$AA$3,0)),0)</f>
        <v>0</v>
      </c>
      <c r="L102" s="69">
        <f t="shared" si="4"/>
        <v>0</v>
      </c>
      <c r="N102" s="29"/>
      <c r="O102" s="29"/>
      <c r="P102" s="29"/>
      <c r="Q102" s="29"/>
    </row>
    <row r="103" spans="2:17" x14ac:dyDescent="0.85">
      <c r="B103" s="48">
        <v>96</v>
      </c>
      <c r="C103" s="274"/>
      <c r="D103" s="284"/>
      <c r="E103" s="44"/>
      <c r="F103" s="44"/>
      <c r="G103" s="49">
        <v>1</v>
      </c>
      <c r="H103" s="73"/>
      <c r="I103" s="44"/>
      <c r="J103" s="48">
        <f t="shared" si="3"/>
        <v>1</v>
      </c>
      <c r="K103" s="48">
        <f>IFERROR(INDEX(TarrifTable,MATCH(Elements!E103,Constants!$V$4:$V$7,0),MATCH(Elements!F103,Constants!$W$3:$AA$3,0)),0)</f>
        <v>0</v>
      </c>
      <c r="L103" s="68">
        <f t="shared" si="4"/>
        <v>0</v>
      </c>
      <c r="N103" s="29"/>
      <c r="O103" s="29"/>
      <c r="P103" s="29"/>
      <c r="Q103" s="29"/>
    </row>
    <row r="104" spans="2:17" x14ac:dyDescent="0.85">
      <c r="B104" s="46">
        <v>97</v>
      </c>
      <c r="C104" s="275"/>
      <c r="D104" s="283"/>
      <c r="E104" s="10"/>
      <c r="F104" s="10"/>
      <c r="G104" s="47">
        <v>1</v>
      </c>
      <c r="H104" s="72"/>
      <c r="I104" s="10"/>
      <c r="J104" s="46">
        <f t="shared" si="3"/>
        <v>1</v>
      </c>
      <c r="K104" s="46">
        <f>IFERROR(INDEX(TarrifTable,MATCH(Elements!E104,Constants!$V$4:$V$7,0),MATCH(Elements!F104,Constants!$W$3:$AA$3,0)),0)</f>
        <v>0</v>
      </c>
      <c r="L104" s="69">
        <f t="shared" si="4"/>
        <v>0</v>
      </c>
      <c r="N104" s="29"/>
      <c r="O104" s="29"/>
      <c r="P104" s="29"/>
      <c r="Q104" s="29"/>
    </row>
    <row r="105" spans="2:17" x14ac:dyDescent="0.85">
      <c r="B105" s="48">
        <v>98</v>
      </c>
      <c r="C105" s="274"/>
      <c r="D105" s="284"/>
      <c r="E105" s="44"/>
      <c r="F105" s="44"/>
      <c r="G105" s="49">
        <v>1</v>
      </c>
      <c r="H105" s="73"/>
      <c r="I105" s="44"/>
      <c r="J105" s="48">
        <f t="shared" si="3"/>
        <v>1</v>
      </c>
      <c r="K105" s="48">
        <f>IFERROR(INDEX(TarrifTable,MATCH(Elements!E105,Constants!$V$4:$V$7,0),MATCH(Elements!F105,Constants!$W$3:$AA$3,0)),0)</f>
        <v>0</v>
      </c>
      <c r="L105" s="68">
        <f t="shared" si="4"/>
        <v>0</v>
      </c>
      <c r="N105" s="29"/>
      <c r="O105" s="29"/>
      <c r="P105" s="29"/>
      <c r="Q105" s="29"/>
    </row>
    <row r="106" spans="2:17" x14ac:dyDescent="0.85">
      <c r="B106" s="46">
        <v>99</v>
      </c>
      <c r="C106" s="275"/>
      <c r="D106" s="283"/>
      <c r="E106" s="10"/>
      <c r="F106" s="10"/>
      <c r="G106" s="47">
        <v>1</v>
      </c>
      <c r="H106" s="72"/>
      <c r="I106" s="10"/>
      <c r="J106" s="46">
        <f t="shared" si="3"/>
        <v>1</v>
      </c>
      <c r="K106" s="46">
        <f>IFERROR(INDEX(TarrifTable,MATCH(Elements!E106,Constants!$V$4:$V$7,0),MATCH(Elements!F106,Constants!$W$3:$AA$3,0)),0)</f>
        <v>0</v>
      </c>
      <c r="L106" s="69">
        <f t="shared" si="4"/>
        <v>0</v>
      </c>
      <c r="N106" s="29"/>
      <c r="O106" s="29"/>
      <c r="P106" s="29"/>
      <c r="Q106" s="29"/>
    </row>
    <row r="107" spans="2:17" x14ac:dyDescent="0.85">
      <c r="B107" s="48">
        <v>100</v>
      </c>
      <c r="C107" s="274"/>
      <c r="D107" s="284"/>
      <c r="E107" s="44"/>
      <c r="F107" s="44"/>
      <c r="G107" s="49">
        <v>1</v>
      </c>
      <c r="H107" s="73"/>
      <c r="I107" s="44"/>
      <c r="J107" s="48">
        <f t="shared" si="3"/>
        <v>1</v>
      </c>
      <c r="K107" s="48">
        <f>IFERROR(INDEX(TarrifTable,MATCH(Elements!E107,Constants!$V$4:$V$7,0),MATCH(Elements!F107,Constants!$W$3:$AA$3,0)),0)</f>
        <v>0</v>
      </c>
      <c r="L107" s="68">
        <f t="shared" si="4"/>
        <v>0</v>
      </c>
      <c r="N107" s="29"/>
      <c r="O107" s="29"/>
      <c r="P107" s="29"/>
      <c r="Q107" s="29"/>
    </row>
    <row r="108" spans="2:17" x14ac:dyDescent="0.85">
      <c r="B108" s="46">
        <v>101</v>
      </c>
      <c r="C108" s="275"/>
      <c r="D108" s="283"/>
      <c r="E108" s="10"/>
      <c r="F108" s="10"/>
      <c r="G108" s="47">
        <v>1</v>
      </c>
      <c r="H108" s="72"/>
      <c r="I108" s="10"/>
      <c r="J108" s="46">
        <f t="shared" si="3"/>
        <v>1</v>
      </c>
      <c r="K108" s="46">
        <f>IFERROR(INDEX(TarrifTable,MATCH(Elements!E108,Constants!$V$4:$V$7,0),MATCH(Elements!F108,Constants!$W$3:$AA$3,0)),0)</f>
        <v>0</v>
      </c>
      <c r="L108" s="69">
        <f t="shared" si="4"/>
        <v>0</v>
      </c>
      <c r="N108" s="29"/>
      <c r="O108" s="29"/>
      <c r="P108" s="29"/>
      <c r="Q108" s="29"/>
    </row>
    <row r="109" spans="2:17" x14ac:dyDescent="0.85">
      <c r="B109" s="48">
        <v>102</v>
      </c>
      <c r="C109" s="274"/>
      <c r="D109" s="284"/>
      <c r="E109" s="44"/>
      <c r="F109" s="44"/>
      <c r="G109" s="49">
        <v>1</v>
      </c>
      <c r="H109" s="73"/>
      <c r="I109" s="44"/>
      <c r="J109" s="48">
        <f t="shared" si="3"/>
        <v>1</v>
      </c>
      <c r="K109" s="48">
        <f>IFERROR(INDEX(TarrifTable,MATCH(Elements!E109,Constants!$V$4:$V$7,0),MATCH(Elements!F109,Constants!$W$3:$AA$3,0)),0)</f>
        <v>0</v>
      </c>
      <c r="L109" s="68">
        <f t="shared" si="4"/>
        <v>0</v>
      </c>
      <c r="N109" s="29"/>
      <c r="O109" s="29"/>
      <c r="P109" s="29"/>
      <c r="Q109" s="29"/>
    </row>
    <row r="110" spans="2:17" x14ac:dyDescent="0.85">
      <c r="B110" s="46">
        <v>103</v>
      </c>
      <c r="C110" s="275"/>
      <c r="D110" s="283"/>
      <c r="E110" s="10"/>
      <c r="F110" s="10"/>
      <c r="G110" s="47">
        <v>1</v>
      </c>
      <c r="H110" s="72"/>
      <c r="I110" s="10"/>
      <c r="J110" s="46">
        <f t="shared" si="3"/>
        <v>1</v>
      </c>
      <c r="K110" s="46">
        <f>IFERROR(INDEX(TarrifTable,MATCH(Elements!E110,Constants!$V$4:$V$7,0),MATCH(Elements!F110,Constants!$W$3:$AA$3,0)),0)</f>
        <v>0</v>
      </c>
      <c r="L110" s="69">
        <f t="shared" si="4"/>
        <v>0</v>
      </c>
      <c r="N110" s="29"/>
      <c r="O110" s="29"/>
      <c r="P110" s="29"/>
      <c r="Q110" s="29"/>
    </row>
    <row r="111" spans="2:17" x14ac:dyDescent="0.85">
      <c r="B111" s="48">
        <v>104</v>
      </c>
      <c r="C111" s="274"/>
      <c r="D111" s="284"/>
      <c r="E111" s="44"/>
      <c r="F111" s="44"/>
      <c r="G111" s="49">
        <v>1</v>
      </c>
      <c r="H111" s="73"/>
      <c r="I111" s="44"/>
      <c r="J111" s="48">
        <f t="shared" si="3"/>
        <v>1</v>
      </c>
      <c r="K111" s="48">
        <f>IFERROR(INDEX(TarrifTable,MATCH(Elements!E111,Constants!$V$4:$V$7,0),MATCH(Elements!F111,Constants!$W$3:$AA$3,0)),0)</f>
        <v>0</v>
      </c>
      <c r="L111" s="68">
        <f t="shared" si="4"/>
        <v>0</v>
      </c>
      <c r="N111" s="29"/>
      <c r="O111" s="29"/>
      <c r="P111" s="29"/>
      <c r="Q111" s="29"/>
    </row>
    <row r="112" spans="2:17" x14ac:dyDescent="0.85">
      <c r="B112" s="46">
        <v>105</v>
      </c>
      <c r="C112" s="275"/>
      <c r="D112" s="283"/>
      <c r="E112" s="10"/>
      <c r="F112" s="10"/>
      <c r="G112" s="47">
        <v>1</v>
      </c>
      <c r="H112" s="72"/>
      <c r="I112" s="10"/>
      <c r="J112" s="46">
        <f t="shared" si="3"/>
        <v>1</v>
      </c>
      <c r="K112" s="46">
        <f>IFERROR(INDEX(TarrifTable,MATCH(Elements!E112,Constants!$V$4:$V$7,0),MATCH(Elements!F112,Constants!$W$3:$AA$3,0)),0)</f>
        <v>0</v>
      </c>
      <c r="L112" s="69">
        <f t="shared" si="4"/>
        <v>0</v>
      </c>
      <c r="N112" s="29"/>
      <c r="O112" s="29"/>
      <c r="P112" s="29"/>
      <c r="Q112" s="29"/>
    </row>
    <row r="113" spans="2:17" x14ac:dyDescent="0.85">
      <c r="B113" s="48">
        <v>106</v>
      </c>
      <c r="C113" s="274"/>
      <c r="D113" s="284"/>
      <c r="E113" s="44"/>
      <c r="F113" s="44"/>
      <c r="G113" s="49">
        <v>1</v>
      </c>
      <c r="H113" s="73"/>
      <c r="I113" s="44"/>
      <c r="J113" s="48">
        <f t="shared" si="3"/>
        <v>1</v>
      </c>
      <c r="K113" s="48">
        <f>IFERROR(INDEX(TarrifTable,MATCH(Elements!E113,Constants!$V$4:$V$7,0),MATCH(Elements!F113,Constants!$W$3:$AA$3,0)),0)</f>
        <v>0</v>
      </c>
      <c r="L113" s="68">
        <f t="shared" si="4"/>
        <v>0</v>
      </c>
      <c r="N113" s="29"/>
      <c r="O113" s="29"/>
      <c r="P113" s="29"/>
      <c r="Q113" s="29"/>
    </row>
    <row r="114" spans="2:17" x14ac:dyDescent="0.85">
      <c r="B114" s="46">
        <v>107</v>
      </c>
      <c r="C114" s="275"/>
      <c r="D114" s="283"/>
      <c r="E114" s="10"/>
      <c r="F114" s="10"/>
      <c r="G114" s="47">
        <v>1</v>
      </c>
      <c r="H114" s="72"/>
      <c r="I114" s="10"/>
      <c r="J114" s="46">
        <f t="shared" si="3"/>
        <v>1</v>
      </c>
      <c r="K114" s="46">
        <f>IFERROR(INDEX(TarrifTable,MATCH(Elements!E114,Constants!$V$4:$V$7,0),MATCH(Elements!F114,Constants!$W$3:$AA$3,0)),0)</f>
        <v>0</v>
      </c>
      <c r="L114" s="69">
        <f t="shared" si="4"/>
        <v>0</v>
      </c>
      <c r="N114" s="29"/>
      <c r="O114" s="29"/>
      <c r="P114" s="29"/>
      <c r="Q114" s="29"/>
    </row>
    <row r="115" spans="2:17" x14ac:dyDescent="0.85">
      <c r="B115" s="48">
        <v>108</v>
      </c>
      <c r="C115" s="274"/>
      <c r="D115" s="284"/>
      <c r="E115" s="44"/>
      <c r="F115" s="44"/>
      <c r="G115" s="49">
        <v>1</v>
      </c>
      <c r="H115" s="73"/>
      <c r="I115" s="44"/>
      <c r="J115" s="48">
        <f t="shared" si="3"/>
        <v>1</v>
      </c>
      <c r="K115" s="48">
        <f>IFERROR(INDEX(TarrifTable,MATCH(Elements!E115,Constants!$V$4:$V$7,0),MATCH(Elements!F115,Constants!$W$3:$AA$3,0)),0)</f>
        <v>0</v>
      </c>
      <c r="L115" s="68">
        <f t="shared" si="4"/>
        <v>0</v>
      </c>
      <c r="N115" s="29"/>
      <c r="O115" s="29"/>
      <c r="P115" s="29"/>
      <c r="Q115" s="29"/>
    </row>
    <row r="116" spans="2:17" x14ac:dyDescent="0.85">
      <c r="B116" s="46">
        <v>109</v>
      </c>
      <c r="C116" s="275"/>
      <c r="D116" s="283"/>
      <c r="E116" s="10"/>
      <c r="F116" s="10"/>
      <c r="G116" s="47">
        <v>1</v>
      </c>
      <c r="H116" s="72"/>
      <c r="I116" s="10"/>
      <c r="J116" s="46">
        <f t="shared" si="3"/>
        <v>1</v>
      </c>
      <c r="K116" s="46">
        <f>IFERROR(INDEX(TarrifTable,MATCH(Elements!E116,Constants!$V$4:$V$7,0),MATCH(Elements!F116,Constants!$W$3:$AA$3,0)),0)</f>
        <v>0</v>
      </c>
      <c r="L116" s="69">
        <f t="shared" si="4"/>
        <v>0</v>
      </c>
      <c r="N116" s="29"/>
      <c r="O116" s="29"/>
      <c r="P116" s="29"/>
      <c r="Q116" s="29"/>
    </row>
    <row r="117" spans="2:17" x14ac:dyDescent="0.85">
      <c r="B117" s="48">
        <v>110</v>
      </c>
      <c r="C117" s="274"/>
      <c r="D117" s="284"/>
      <c r="E117" s="44"/>
      <c r="F117" s="44"/>
      <c r="G117" s="49">
        <v>1</v>
      </c>
      <c r="H117" s="73"/>
      <c r="I117" s="44"/>
      <c r="J117" s="48">
        <f t="shared" si="3"/>
        <v>1</v>
      </c>
      <c r="K117" s="48">
        <f>IFERROR(INDEX(TarrifTable,MATCH(Elements!E117,Constants!$V$4:$V$7,0),MATCH(Elements!F117,Constants!$W$3:$AA$3,0)),0)</f>
        <v>0</v>
      </c>
      <c r="L117" s="68">
        <f t="shared" si="4"/>
        <v>0</v>
      </c>
      <c r="N117" s="29"/>
      <c r="O117" s="29"/>
      <c r="P117" s="29"/>
      <c r="Q117" s="29"/>
    </row>
    <row r="118" spans="2:17" x14ac:dyDescent="0.85">
      <c r="B118" s="46">
        <v>111</v>
      </c>
      <c r="C118" s="275"/>
      <c r="D118" s="283"/>
      <c r="E118" s="10"/>
      <c r="F118" s="10"/>
      <c r="G118" s="47">
        <v>1</v>
      </c>
      <c r="H118" s="72"/>
      <c r="I118" s="10"/>
      <c r="J118" s="46">
        <f t="shared" si="3"/>
        <v>1</v>
      </c>
      <c r="K118" s="46">
        <f>IFERROR(INDEX(TarrifTable,MATCH(Elements!E118,Constants!$V$4:$V$7,0),MATCH(Elements!F118,Constants!$W$3:$AA$3,0)),0)</f>
        <v>0</v>
      </c>
      <c r="L118" s="69">
        <f t="shared" si="4"/>
        <v>0</v>
      </c>
      <c r="N118" s="29"/>
      <c r="O118" s="29"/>
      <c r="P118" s="29"/>
      <c r="Q118" s="29"/>
    </row>
    <row r="119" spans="2:17" x14ac:dyDescent="0.85">
      <c r="B119" s="48">
        <v>112</v>
      </c>
      <c r="C119" s="274"/>
      <c r="D119" s="284"/>
      <c r="E119" s="44"/>
      <c r="F119" s="44"/>
      <c r="G119" s="49">
        <v>1</v>
      </c>
      <c r="H119" s="73"/>
      <c r="I119" s="44"/>
      <c r="J119" s="48">
        <f t="shared" si="3"/>
        <v>1</v>
      </c>
      <c r="K119" s="48">
        <f>IFERROR(INDEX(TarrifTable,MATCH(Elements!E119,Constants!$V$4:$V$7,0),MATCH(Elements!F119,Constants!$W$3:$AA$3,0)),0)</f>
        <v>0</v>
      </c>
      <c r="L119" s="68">
        <f t="shared" si="4"/>
        <v>0</v>
      </c>
      <c r="N119" s="29"/>
      <c r="O119" s="29"/>
      <c r="P119" s="29"/>
      <c r="Q119" s="29"/>
    </row>
    <row r="120" spans="2:17" x14ac:dyDescent="0.85">
      <c r="B120" s="46">
        <v>113</v>
      </c>
      <c r="C120" s="275"/>
      <c r="D120" s="283"/>
      <c r="E120" s="10"/>
      <c r="F120" s="10"/>
      <c r="G120" s="47">
        <v>1</v>
      </c>
      <c r="H120" s="72"/>
      <c r="I120" s="10"/>
      <c r="J120" s="46">
        <f t="shared" si="3"/>
        <v>1</v>
      </c>
      <c r="K120" s="46">
        <f>IFERROR(INDEX(TarrifTable,MATCH(Elements!E120,Constants!$V$4:$V$7,0),MATCH(Elements!F120,Constants!$W$3:$AA$3,0)),0)</f>
        <v>0</v>
      </c>
      <c r="L120" s="69">
        <f t="shared" si="4"/>
        <v>0</v>
      </c>
      <c r="N120" s="29"/>
      <c r="O120" s="29"/>
      <c r="P120" s="29"/>
      <c r="Q120" s="29"/>
    </row>
    <row r="121" spans="2:17" x14ac:dyDescent="0.85">
      <c r="B121" s="48">
        <v>114</v>
      </c>
      <c r="C121" s="274"/>
      <c r="D121" s="284"/>
      <c r="E121" s="44"/>
      <c r="F121" s="44"/>
      <c r="G121" s="49">
        <v>1</v>
      </c>
      <c r="H121" s="73"/>
      <c r="I121" s="44"/>
      <c r="J121" s="48">
        <f t="shared" si="3"/>
        <v>1</v>
      </c>
      <c r="K121" s="48">
        <f>IFERROR(INDEX(TarrifTable,MATCH(Elements!E121,Constants!$V$4:$V$7,0),MATCH(Elements!F121,Constants!$W$3:$AA$3,0)),0)</f>
        <v>0</v>
      </c>
      <c r="L121" s="68">
        <f t="shared" si="4"/>
        <v>0</v>
      </c>
      <c r="N121" s="29"/>
      <c r="O121" s="29"/>
      <c r="P121" s="29"/>
      <c r="Q121" s="29"/>
    </row>
    <row r="122" spans="2:17" x14ac:dyDescent="0.85">
      <c r="B122" s="46">
        <v>115</v>
      </c>
      <c r="C122" s="275"/>
      <c r="D122" s="283"/>
      <c r="E122" s="10"/>
      <c r="F122" s="10"/>
      <c r="G122" s="47">
        <v>1</v>
      </c>
      <c r="H122" s="72"/>
      <c r="I122" s="10"/>
      <c r="J122" s="46">
        <f t="shared" si="3"/>
        <v>1</v>
      </c>
      <c r="K122" s="46">
        <f>IFERROR(INDEX(TarrifTable,MATCH(Elements!E122,Constants!$V$4:$V$7,0),MATCH(Elements!F122,Constants!$W$3:$AA$3,0)),0)</f>
        <v>0</v>
      </c>
      <c r="L122" s="69">
        <f t="shared" si="4"/>
        <v>0</v>
      </c>
      <c r="N122" s="29"/>
      <c r="O122" s="29"/>
      <c r="P122" s="29"/>
      <c r="Q122" s="29"/>
    </row>
    <row r="123" spans="2:17" x14ac:dyDescent="0.85">
      <c r="B123" s="48">
        <v>116</v>
      </c>
      <c r="C123" s="274"/>
      <c r="D123" s="284"/>
      <c r="E123" s="44"/>
      <c r="F123" s="44"/>
      <c r="G123" s="49">
        <v>1</v>
      </c>
      <c r="H123" s="73"/>
      <c r="I123" s="44"/>
      <c r="J123" s="48">
        <f t="shared" si="3"/>
        <v>1</v>
      </c>
      <c r="K123" s="48">
        <f>IFERROR(INDEX(TarrifTable,MATCH(Elements!E123,Constants!$V$4:$V$7,0),MATCH(Elements!F123,Constants!$W$3:$AA$3,0)),0)</f>
        <v>0</v>
      </c>
      <c r="L123" s="68">
        <f t="shared" si="4"/>
        <v>0</v>
      </c>
      <c r="N123" s="29"/>
      <c r="O123" s="29"/>
      <c r="P123" s="29"/>
      <c r="Q123" s="29"/>
    </row>
    <row r="124" spans="2:17" x14ac:dyDescent="0.85">
      <c r="B124" s="46">
        <v>117</v>
      </c>
      <c r="C124" s="275"/>
      <c r="D124" s="283"/>
      <c r="E124" s="10"/>
      <c r="F124" s="10"/>
      <c r="G124" s="47">
        <v>1</v>
      </c>
      <c r="H124" s="72"/>
      <c r="I124" s="10"/>
      <c r="J124" s="46">
        <f t="shared" si="3"/>
        <v>1</v>
      </c>
      <c r="K124" s="46">
        <f>IFERROR(INDEX(TarrifTable,MATCH(Elements!E124,Constants!$V$4:$V$7,0),MATCH(Elements!F124,Constants!$W$3:$AA$3,0)),0)</f>
        <v>0</v>
      </c>
      <c r="L124" s="69">
        <f t="shared" si="4"/>
        <v>0</v>
      </c>
      <c r="N124" s="29"/>
      <c r="O124" s="29"/>
      <c r="P124" s="29"/>
      <c r="Q124" s="29"/>
    </row>
    <row r="125" spans="2:17" x14ac:dyDescent="0.85">
      <c r="B125" s="48">
        <v>118</v>
      </c>
      <c r="C125" s="274"/>
      <c r="D125" s="284"/>
      <c r="E125" s="44"/>
      <c r="F125" s="44"/>
      <c r="G125" s="49">
        <v>1</v>
      </c>
      <c r="H125" s="73"/>
      <c r="I125" s="44"/>
      <c r="J125" s="48">
        <f t="shared" si="3"/>
        <v>1</v>
      </c>
      <c r="K125" s="48">
        <f>IFERROR(INDEX(TarrifTable,MATCH(Elements!E125,Constants!$V$4:$V$7,0),MATCH(Elements!F125,Constants!$W$3:$AA$3,0)),0)</f>
        <v>0</v>
      </c>
      <c r="L125" s="68">
        <f t="shared" si="4"/>
        <v>0</v>
      </c>
      <c r="N125" s="29"/>
      <c r="O125" s="29"/>
      <c r="P125" s="29"/>
      <c r="Q125" s="29"/>
    </row>
    <row r="126" spans="2:17" x14ac:dyDescent="0.85">
      <c r="B126" s="46">
        <v>119</v>
      </c>
      <c r="C126" s="275"/>
      <c r="D126" s="283"/>
      <c r="E126" s="10"/>
      <c r="F126" s="10"/>
      <c r="G126" s="47">
        <v>1</v>
      </c>
      <c r="H126" s="72"/>
      <c r="I126" s="10"/>
      <c r="J126" s="46">
        <f t="shared" si="3"/>
        <v>1</v>
      </c>
      <c r="K126" s="46">
        <f>IFERROR(INDEX(TarrifTable,MATCH(Elements!E126,Constants!$V$4:$V$7,0),MATCH(Elements!F126,Constants!$W$3:$AA$3,0)),0)</f>
        <v>0</v>
      </c>
      <c r="L126" s="69">
        <f t="shared" si="4"/>
        <v>0</v>
      </c>
      <c r="N126" s="29"/>
      <c r="O126" s="29"/>
      <c r="P126" s="29"/>
      <c r="Q126" s="29"/>
    </row>
    <row r="127" spans="2:17" x14ac:dyDescent="0.85">
      <c r="B127" s="48">
        <v>120</v>
      </c>
      <c r="C127" s="274"/>
      <c r="D127" s="284"/>
      <c r="E127" s="44"/>
      <c r="F127" s="44"/>
      <c r="G127" s="49">
        <v>1</v>
      </c>
      <c r="H127" s="73"/>
      <c r="I127" s="44"/>
      <c r="J127" s="48">
        <f t="shared" si="3"/>
        <v>1</v>
      </c>
      <c r="K127" s="48">
        <f>IFERROR(INDEX(TarrifTable,MATCH(Elements!E127,Constants!$V$4:$V$7,0),MATCH(Elements!F127,Constants!$W$3:$AA$3,0)),0)</f>
        <v>0</v>
      </c>
      <c r="L127" s="68">
        <f t="shared" si="4"/>
        <v>0</v>
      </c>
      <c r="N127" s="29"/>
      <c r="O127" s="29"/>
      <c r="P127" s="29"/>
      <c r="Q127" s="29"/>
    </row>
    <row r="128" spans="2:17" x14ac:dyDescent="0.85">
      <c r="B128" s="46">
        <v>121</v>
      </c>
      <c r="C128" s="275"/>
      <c r="D128" s="283"/>
      <c r="E128" s="10"/>
      <c r="F128" s="10"/>
      <c r="G128" s="47">
        <v>1</v>
      </c>
      <c r="H128" s="72"/>
      <c r="I128" s="10"/>
      <c r="J128" s="46">
        <f t="shared" si="3"/>
        <v>1</v>
      </c>
      <c r="K128" s="46">
        <f>IFERROR(INDEX(TarrifTable,MATCH(Elements!E128,Constants!$V$4:$V$7,0),MATCH(Elements!F128,Constants!$W$3:$AA$3,0)),0)</f>
        <v>0</v>
      </c>
      <c r="L128" s="69">
        <f t="shared" si="4"/>
        <v>0</v>
      </c>
      <c r="N128" s="29"/>
      <c r="O128" s="29"/>
      <c r="P128" s="29"/>
      <c r="Q128" s="29"/>
    </row>
    <row r="129" spans="2:17" x14ac:dyDescent="0.85">
      <c r="B129" s="48">
        <v>122</v>
      </c>
      <c r="C129" s="274"/>
      <c r="D129" s="284"/>
      <c r="E129" s="44"/>
      <c r="F129" s="44"/>
      <c r="G129" s="49">
        <v>1</v>
      </c>
      <c r="H129" s="73"/>
      <c r="I129" s="44"/>
      <c r="J129" s="48">
        <f t="shared" si="3"/>
        <v>1</v>
      </c>
      <c r="K129" s="48">
        <f>IFERROR(INDEX(TarrifTable,MATCH(Elements!E129,Constants!$V$4:$V$7,0),MATCH(Elements!F129,Constants!$W$3:$AA$3,0)),0)</f>
        <v>0</v>
      </c>
      <c r="L129" s="68">
        <f t="shared" si="4"/>
        <v>0</v>
      </c>
      <c r="N129" s="29"/>
      <c r="O129" s="29"/>
      <c r="P129" s="29"/>
      <c r="Q129" s="29"/>
    </row>
    <row r="130" spans="2:17" x14ac:dyDescent="0.85">
      <c r="B130" s="46">
        <v>123</v>
      </c>
      <c r="C130" s="275"/>
      <c r="D130" s="283"/>
      <c r="E130" s="10"/>
      <c r="F130" s="10"/>
      <c r="G130" s="47">
        <v>1</v>
      </c>
      <c r="H130" s="72"/>
      <c r="I130" s="10"/>
      <c r="J130" s="46">
        <f t="shared" si="3"/>
        <v>1</v>
      </c>
      <c r="K130" s="46">
        <f>IFERROR(INDEX(TarrifTable,MATCH(Elements!E130,Constants!$V$4:$V$7,0),MATCH(Elements!F130,Constants!$W$3:$AA$3,0)),0)</f>
        <v>0</v>
      </c>
      <c r="L130" s="69">
        <f t="shared" si="4"/>
        <v>0</v>
      </c>
      <c r="N130" s="29"/>
      <c r="O130" s="29"/>
      <c r="P130" s="29"/>
      <c r="Q130" s="29"/>
    </row>
    <row r="131" spans="2:17" x14ac:dyDescent="0.85">
      <c r="B131" s="48">
        <v>124</v>
      </c>
      <c r="C131" s="274"/>
      <c r="D131" s="284"/>
      <c r="E131" s="44"/>
      <c r="F131" s="44"/>
      <c r="G131" s="49">
        <v>1</v>
      </c>
      <c r="H131" s="73"/>
      <c r="I131" s="44"/>
      <c r="J131" s="48">
        <f t="shared" si="3"/>
        <v>1</v>
      </c>
      <c r="K131" s="48">
        <f>IFERROR(INDEX(TarrifTable,MATCH(Elements!E131,Constants!$V$4:$V$7,0),MATCH(Elements!F131,Constants!$W$3:$AA$3,0)),0)</f>
        <v>0</v>
      </c>
      <c r="L131" s="68">
        <f t="shared" si="4"/>
        <v>0</v>
      </c>
      <c r="N131" s="29"/>
      <c r="O131" s="29"/>
      <c r="P131" s="29"/>
      <c r="Q131" s="29"/>
    </row>
    <row r="132" spans="2:17" x14ac:dyDescent="0.85">
      <c r="B132" s="46">
        <v>125</v>
      </c>
      <c r="C132" s="275"/>
      <c r="D132" s="283"/>
      <c r="E132" s="10"/>
      <c r="F132" s="10"/>
      <c r="G132" s="47">
        <v>1</v>
      </c>
      <c r="H132" s="72"/>
      <c r="I132" s="10"/>
      <c r="J132" s="46">
        <f t="shared" si="3"/>
        <v>1</v>
      </c>
      <c r="K132" s="46">
        <f>IFERROR(INDEX(TarrifTable,MATCH(Elements!E132,Constants!$V$4:$V$7,0),MATCH(Elements!F132,Constants!$W$3:$AA$3,0)),0)</f>
        <v>0</v>
      </c>
      <c r="L132" s="69">
        <f t="shared" si="4"/>
        <v>0</v>
      </c>
      <c r="N132" s="29"/>
      <c r="O132" s="29"/>
      <c r="P132" s="29"/>
      <c r="Q132" s="29"/>
    </row>
    <row r="133" spans="2:17" x14ac:dyDescent="0.85">
      <c r="B133" s="48">
        <v>126</v>
      </c>
      <c r="C133" s="274"/>
      <c r="D133" s="284"/>
      <c r="E133" s="44"/>
      <c r="F133" s="44"/>
      <c r="G133" s="49">
        <v>1</v>
      </c>
      <c r="H133" s="73"/>
      <c r="I133" s="44"/>
      <c r="J133" s="48">
        <f t="shared" si="3"/>
        <v>1</v>
      </c>
      <c r="K133" s="48">
        <f>IFERROR(INDEX(TarrifTable,MATCH(Elements!E133,Constants!$V$4:$V$7,0),MATCH(Elements!F133,Constants!$W$3:$AA$3,0)),0)</f>
        <v>0</v>
      </c>
      <c r="L133" s="68">
        <f t="shared" si="4"/>
        <v>0</v>
      </c>
      <c r="N133" s="29"/>
      <c r="O133" s="29"/>
      <c r="P133" s="29"/>
      <c r="Q133" s="29"/>
    </row>
    <row r="134" spans="2:17" x14ac:dyDescent="0.85">
      <c r="B134" s="46">
        <v>127</v>
      </c>
      <c r="C134" s="275"/>
      <c r="D134" s="283"/>
      <c r="E134" s="10"/>
      <c r="F134" s="10"/>
      <c r="G134" s="47">
        <v>1</v>
      </c>
      <c r="H134" s="72"/>
      <c r="I134" s="10"/>
      <c r="J134" s="46">
        <f t="shared" si="3"/>
        <v>1</v>
      </c>
      <c r="K134" s="46">
        <f>IFERROR(INDEX(TarrifTable,MATCH(Elements!E134,Constants!$V$4:$V$7,0),MATCH(Elements!F134,Constants!$W$3:$AA$3,0)),0)</f>
        <v>0</v>
      </c>
      <c r="L134" s="69">
        <f t="shared" si="4"/>
        <v>0</v>
      </c>
      <c r="N134" s="29"/>
      <c r="O134" s="29"/>
      <c r="P134" s="29"/>
      <c r="Q134" s="29"/>
    </row>
    <row r="135" spans="2:17" x14ac:dyDescent="0.85">
      <c r="B135" s="48">
        <v>128</v>
      </c>
      <c r="C135" s="274"/>
      <c r="D135" s="284"/>
      <c r="E135" s="44"/>
      <c r="F135" s="44"/>
      <c r="G135" s="49">
        <v>1</v>
      </c>
      <c r="H135" s="73"/>
      <c r="I135" s="44"/>
      <c r="J135" s="48">
        <f t="shared" si="3"/>
        <v>1</v>
      </c>
      <c r="K135" s="48">
        <f>IFERROR(INDEX(TarrifTable,MATCH(Elements!E135,Constants!$V$4:$V$7,0),MATCH(Elements!F135,Constants!$W$3:$AA$3,0)),0)</f>
        <v>0</v>
      </c>
      <c r="L135" s="68">
        <f t="shared" si="4"/>
        <v>0</v>
      </c>
      <c r="N135" s="29"/>
      <c r="O135" s="29"/>
      <c r="P135" s="29"/>
      <c r="Q135" s="29"/>
    </row>
    <row r="136" spans="2:17" x14ac:dyDescent="0.85">
      <c r="B136" s="46">
        <v>129</v>
      </c>
      <c r="C136" s="275"/>
      <c r="D136" s="283"/>
      <c r="E136" s="10"/>
      <c r="F136" s="10"/>
      <c r="G136" s="47">
        <v>1</v>
      </c>
      <c r="H136" s="72"/>
      <c r="I136" s="10"/>
      <c r="J136" s="46">
        <f t="shared" ref="J136:J199" si="5">IF(ISBLANK(H136),1,H136)</f>
        <v>1</v>
      </c>
      <c r="K136" s="46">
        <f>IFERROR(INDEX(TarrifTable,MATCH(Elements!E136,Constants!$V$4:$V$7,0),MATCH(Elements!F136,Constants!$W$3:$AA$3,0)),0)</f>
        <v>0</v>
      </c>
      <c r="L136" s="69">
        <f t="shared" ref="L136:L199" si="6">J136*G136*K136</f>
        <v>0</v>
      </c>
      <c r="N136" s="29"/>
      <c r="O136" s="29"/>
      <c r="P136" s="29"/>
      <c r="Q136" s="29"/>
    </row>
    <row r="137" spans="2:17" x14ac:dyDescent="0.85">
      <c r="B137" s="48">
        <v>130</v>
      </c>
      <c r="C137" s="274"/>
      <c r="D137" s="284"/>
      <c r="E137" s="44"/>
      <c r="F137" s="44"/>
      <c r="G137" s="49">
        <v>1</v>
      </c>
      <c r="H137" s="73"/>
      <c r="I137" s="44"/>
      <c r="J137" s="48">
        <f t="shared" si="5"/>
        <v>1</v>
      </c>
      <c r="K137" s="48">
        <f>IFERROR(INDEX(TarrifTable,MATCH(Elements!E137,Constants!$V$4:$V$7,0),MATCH(Elements!F137,Constants!$W$3:$AA$3,0)),0)</f>
        <v>0</v>
      </c>
      <c r="L137" s="68">
        <f t="shared" si="6"/>
        <v>0</v>
      </c>
      <c r="N137" s="29"/>
      <c r="O137" s="29"/>
      <c r="P137" s="29"/>
      <c r="Q137" s="29"/>
    </row>
    <row r="138" spans="2:17" x14ac:dyDescent="0.85">
      <c r="B138" s="46">
        <v>131</v>
      </c>
      <c r="C138" s="275"/>
      <c r="D138" s="283"/>
      <c r="E138" s="10"/>
      <c r="F138" s="10"/>
      <c r="G138" s="47">
        <v>1</v>
      </c>
      <c r="H138" s="72"/>
      <c r="I138" s="10"/>
      <c r="J138" s="46">
        <f t="shared" si="5"/>
        <v>1</v>
      </c>
      <c r="K138" s="46">
        <f>IFERROR(INDEX(TarrifTable,MATCH(Elements!E138,Constants!$V$4:$V$7,0),MATCH(Elements!F138,Constants!$W$3:$AA$3,0)),0)</f>
        <v>0</v>
      </c>
      <c r="L138" s="69">
        <f t="shared" si="6"/>
        <v>0</v>
      </c>
      <c r="N138" s="29"/>
      <c r="O138" s="29"/>
      <c r="P138" s="29"/>
      <c r="Q138" s="29"/>
    </row>
    <row r="139" spans="2:17" x14ac:dyDescent="0.85">
      <c r="B139" s="48">
        <v>132</v>
      </c>
      <c r="C139" s="274"/>
      <c r="D139" s="284"/>
      <c r="E139" s="44"/>
      <c r="F139" s="44"/>
      <c r="G139" s="49">
        <v>1</v>
      </c>
      <c r="H139" s="73"/>
      <c r="I139" s="44"/>
      <c r="J139" s="48">
        <f t="shared" si="5"/>
        <v>1</v>
      </c>
      <c r="K139" s="48">
        <f>IFERROR(INDEX(TarrifTable,MATCH(Elements!E139,Constants!$V$4:$V$7,0),MATCH(Elements!F139,Constants!$W$3:$AA$3,0)),0)</f>
        <v>0</v>
      </c>
      <c r="L139" s="68">
        <f t="shared" si="6"/>
        <v>0</v>
      </c>
      <c r="N139" s="29"/>
      <c r="O139" s="29"/>
      <c r="P139" s="29"/>
      <c r="Q139" s="29"/>
    </row>
    <row r="140" spans="2:17" x14ac:dyDescent="0.85">
      <c r="B140" s="46">
        <v>133</v>
      </c>
      <c r="C140" s="275"/>
      <c r="D140" s="283"/>
      <c r="E140" s="10"/>
      <c r="F140" s="10"/>
      <c r="G140" s="47">
        <v>1</v>
      </c>
      <c r="H140" s="72"/>
      <c r="I140" s="10"/>
      <c r="J140" s="46">
        <f t="shared" si="5"/>
        <v>1</v>
      </c>
      <c r="K140" s="46">
        <f>IFERROR(INDEX(TarrifTable,MATCH(Elements!E140,Constants!$V$4:$V$7,0),MATCH(Elements!F140,Constants!$W$3:$AA$3,0)),0)</f>
        <v>0</v>
      </c>
      <c r="L140" s="69">
        <f t="shared" si="6"/>
        <v>0</v>
      </c>
      <c r="N140" s="29"/>
      <c r="O140" s="29"/>
      <c r="P140" s="29"/>
      <c r="Q140" s="29"/>
    </row>
    <row r="141" spans="2:17" x14ac:dyDescent="0.85">
      <c r="B141" s="48">
        <v>134</v>
      </c>
      <c r="C141" s="274"/>
      <c r="D141" s="284"/>
      <c r="E141" s="44"/>
      <c r="F141" s="44"/>
      <c r="G141" s="49">
        <v>1</v>
      </c>
      <c r="H141" s="73"/>
      <c r="I141" s="44"/>
      <c r="J141" s="48">
        <f t="shared" si="5"/>
        <v>1</v>
      </c>
      <c r="K141" s="48">
        <f>IFERROR(INDEX(TarrifTable,MATCH(Elements!E141,Constants!$V$4:$V$7,0),MATCH(Elements!F141,Constants!$W$3:$AA$3,0)),0)</f>
        <v>0</v>
      </c>
      <c r="L141" s="68">
        <f t="shared" si="6"/>
        <v>0</v>
      </c>
      <c r="N141" s="29"/>
      <c r="O141" s="29"/>
      <c r="P141" s="29"/>
      <c r="Q141" s="29"/>
    </row>
    <row r="142" spans="2:17" x14ac:dyDescent="0.85">
      <c r="B142" s="46">
        <v>135</v>
      </c>
      <c r="C142" s="275"/>
      <c r="D142" s="283"/>
      <c r="E142" s="10"/>
      <c r="F142" s="10"/>
      <c r="G142" s="47">
        <v>1</v>
      </c>
      <c r="H142" s="72"/>
      <c r="I142" s="10"/>
      <c r="J142" s="46">
        <f t="shared" si="5"/>
        <v>1</v>
      </c>
      <c r="K142" s="46">
        <f>IFERROR(INDEX(TarrifTable,MATCH(Elements!E142,Constants!$V$4:$V$7,0),MATCH(Elements!F142,Constants!$W$3:$AA$3,0)),0)</f>
        <v>0</v>
      </c>
      <c r="L142" s="69">
        <f t="shared" si="6"/>
        <v>0</v>
      </c>
      <c r="N142" s="29"/>
      <c r="O142" s="29"/>
      <c r="P142" s="29"/>
      <c r="Q142" s="29"/>
    </row>
    <row r="143" spans="2:17" x14ac:dyDescent="0.85">
      <c r="B143" s="48">
        <v>136</v>
      </c>
      <c r="C143" s="274"/>
      <c r="D143" s="284"/>
      <c r="E143" s="44"/>
      <c r="F143" s="44"/>
      <c r="G143" s="49">
        <v>1</v>
      </c>
      <c r="H143" s="73"/>
      <c r="I143" s="44"/>
      <c r="J143" s="48">
        <f t="shared" si="5"/>
        <v>1</v>
      </c>
      <c r="K143" s="48">
        <f>IFERROR(INDEX(TarrifTable,MATCH(Elements!E143,Constants!$V$4:$V$7,0),MATCH(Elements!F143,Constants!$W$3:$AA$3,0)),0)</f>
        <v>0</v>
      </c>
      <c r="L143" s="68">
        <f t="shared" si="6"/>
        <v>0</v>
      </c>
      <c r="N143" s="29"/>
      <c r="O143" s="29"/>
      <c r="P143" s="29"/>
      <c r="Q143" s="29"/>
    </row>
    <row r="144" spans="2:17" x14ac:dyDescent="0.85">
      <c r="B144" s="46">
        <v>137</v>
      </c>
      <c r="C144" s="275"/>
      <c r="D144" s="283"/>
      <c r="E144" s="10"/>
      <c r="F144" s="10"/>
      <c r="G144" s="47">
        <v>1</v>
      </c>
      <c r="H144" s="72"/>
      <c r="I144" s="10"/>
      <c r="J144" s="46">
        <f t="shared" si="5"/>
        <v>1</v>
      </c>
      <c r="K144" s="46">
        <f>IFERROR(INDEX(TarrifTable,MATCH(Elements!E144,Constants!$V$4:$V$7,0),MATCH(Elements!F144,Constants!$W$3:$AA$3,0)),0)</f>
        <v>0</v>
      </c>
      <c r="L144" s="69">
        <f t="shared" si="6"/>
        <v>0</v>
      </c>
      <c r="N144" s="29"/>
      <c r="O144" s="29"/>
      <c r="P144" s="29"/>
      <c r="Q144" s="29"/>
    </row>
    <row r="145" spans="2:17" x14ac:dyDescent="0.85">
      <c r="B145" s="48">
        <v>138</v>
      </c>
      <c r="C145" s="274"/>
      <c r="D145" s="284"/>
      <c r="E145" s="44"/>
      <c r="F145" s="44"/>
      <c r="G145" s="49">
        <v>1</v>
      </c>
      <c r="H145" s="73"/>
      <c r="I145" s="44"/>
      <c r="J145" s="48">
        <f t="shared" si="5"/>
        <v>1</v>
      </c>
      <c r="K145" s="48">
        <f>IFERROR(INDEX(TarrifTable,MATCH(Elements!E145,Constants!$V$4:$V$7,0),MATCH(Elements!F145,Constants!$W$3:$AA$3,0)),0)</f>
        <v>0</v>
      </c>
      <c r="L145" s="68">
        <f t="shared" si="6"/>
        <v>0</v>
      </c>
      <c r="N145" s="29"/>
      <c r="O145" s="29"/>
      <c r="P145" s="29"/>
      <c r="Q145" s="29"/>
    </row>
    <row r="146" spans="2:17" x14ac:dyDescent="0.85">
      <c r="B146" s="46">
        <v>139</v>
      </c>
      <c r="C146" s="275"/>
      <c r="D146" s="283"/>
      <c r="E146" s="10"/>
      <c r="F146" s="10"/>
      <c r="G146" s="47">
        <v>1</v>
      </c>
      <c r="H146" s="72"/>
      <c r="I146" s="10"/>
      <c r="J146" s="46">
        <f t="shared" si="5"/>
        <v>1</v>
      </c>
      <c r="K146" s="46">
        <f>IFERROR(INDEX(TarrifTable,MATCH(Elements!E146,Constants!$V$4:$V$7,0),MATCH(Elements!F146,Constants!$W$3:$AA$3,0)),0)</f>
        <v>0</v>
      </c>
      <c r="L146" s="69">
        <f t="shared" si="6"/>
        <v>0</v>
      </c>
      <c r="N146" s="29"/>
      <c r="O146" s="29"/>
      <c r="P146" s="29"/>
      <c r="Q146" s="29"/>
    </row>
    <row r="147" spans="2:17" x14ac:dyDescent="0.85">
      <c r="B147" s="48">
        <v>140</v>
      </c>
      <c r="C147" s="274"/>
      <c r="D147" s="284"/>
      <c r="E147" s="44"/>
      <c r="F147" s="44"/>
      <c r="G147" s="49">
        <v>1</v>
      </c>
      <c r="H147" s="73"/>
      <c r="I147" s="44"/>
      <c r="J147" s="48">
        <f t="shared" si="5"/>
        <v>1</v>
      </c>
      <c r="K147" s="48">
        <f>IFERROR(INDEX(TarrifTable,MATCH(Elements!E147,Constants!$V$4:$V$7,0),MATCH(Elements!F147,Constants!$W$3:$AA$3,0)),0)</f>
        <v>0</v>
      </c>
      <c r="L147" s="68">
        <f t="shared" si="6"/>
        <v>0</v>
      </c>
      <c r="N147" s="29"/>
      <c r="O147" s="29"/>
      <c r="P147" s="29"/>
      <c r="Q147" s="29"/>
    </row>
    <row r="148" spans="2:17" x14ac:dyDescent="0.85">
      <c r="B148" s="46">
        <v>141</v>
      </c>
      <c r="C148" s="275"/>
      <c r="D148" s="283"/>
      <c r="E148" s="10"/>
      <c r="F148" s="10"/>
      <c r="G148" s="47">
        <v>1</v>
      </c>
      <c r="H148" s="72"/>
      <c r="I148" s="10"/>
      <c r="J148" s="46">
        <f t="shared" si="5"/>
        <v>1</v>
      </c>
      <c r="K148" s="46">
        <f>IFERROR(INDEX(TarrifTable,MATCH(Elements!E148,Constants!$V$4:$V$7,0),MATCH(Elements!F148,Constants!$W$3:$AA$3,0)),0)</f>
        <v>0</v>
      </c>
      <c r="L148" s="69">
        <f t="shared" si="6"/>
        <v>0</v>
      </c>
      <c r="N148" s="29"/>
      <c r="O148" s="29"/>
      <c r="P148" s="29"/>
      <c r="Q148" s="29"/>
    </row>
    <row r="149" spans="2:17" x14ac:dyDescent="0.85">
      <c r="B149" s="48">
        <v>142</v>
      </c>
      <c r="C149" s="274"/>
      <c r="D149" s="284"/>
      <c r="E149" s="44"/>
      <c r="F149" s="44"/>
      <c r="G149" s="49">
        <v>1</v>
      </c>
      <c r="H149" s="73"/>
      <c r="I149" s="44"/>
      <c r="J149" s="48">
        <f t="shared" si="5"/>
        <v>1</v>
      </c>
      <c r="K149" s="48">
        <f>IFERROR(INDEX(TarrifTable,MATCH(Elements!E149,Constants!$V$4:$V$7,0),MATCH(Elements!F149,Constants!$W$3:$AA$3,0)),0)</f>
        <v>0</v>
      </c>
      <c r="L149" s="68">
        <f t="shared" si="6"/>
        <v>0</v>
      </c>
      <c r="N149" s="29"/>
      <c r="O149" s="29"/>
      <c r="P149" s="29"/>
      <c r="Q149" s="29"/>
    </row>
    <row r="150" spans="2:17" x14ac:dyDescent="0.85">
      <c r="B150" s="46">
        <v>143</v>
      </c>
      <c r="C150" s="275"/>
      <c r="D150" s="283"/>
      <c r="E150" s="10"/>
      <c r="F150" s="10"/>
      <c r="G150" s="47">
        <v>1</v>
      </c>
      <c r="H150" s="72"/>
      <c r="I150" s="10"/>
      <c r="J150" s="46">
        <f t="shared" si="5"/>
        <v>1</v>
      </c>
      <c r="K150" s="46">
        <f>IFERROR(INDEX(TarrifTable,MATCH(Elements!E150,Constants!$V$4:$V$7,0),MATCH(Elements!F150,Constants!$W$3:$AA$3,0)),0)</f>
        <v>0</v>
      </c>
      <c r="L150" s="69">
        <f t="shared" si="6"/>
        <v>0</v>
      </c>
      <c r="N150" s="29"/>
      <c r="O150" s="29"/>
      <c r="P150" s="29"/>
      <c r="Q150" s="29"/>
    </row>
    <row r="151" spans="2:17" x14ac:dyDescent="0.85">
      <c r="B151" s="48">
        <v>144</v>
      </c>
      <c r="C151" s="274"/>
      <c r="D151" s="284"/>
      <c r="E151" s="44"/>
      <c r="F151" s="44"/>
      <c r="G151" s="49">
        <v>1</v>
      </c>
      <c r="H151" s="73"/>
      <c r="I151" s="44"/>
      <c r="J151" s="48">
        <f t="shared" si="5"/>
        <v>1</v>
      </c>
      <c r="K151" s="48">
        <f>IFERROR(INDEX(TarrifTable,MATCH(Elements!E151,Constants!$V$4:$V$7,0),MATCH(Elements!F151,Constants!$W$3:$AA$3,0)),0)</f>
        <v>0</v>
      </c>
      <c r="L151" s="68">
        <f t="shared" si="6"/>
        <v>0</v>
      </c>
      <c r="N151" s="29"/>
      <c r="O151" s="29"/>
      <c r="P151" s="29"/>
      <c r="Q151" s="29"/>
    </row>
    <row r="152" spans="2:17" x14ac:dyDescent="0.85">
      <c r="B152" s="46">
        <v>145</v>
      </c>
      <c r="C152" s="275"/>
      <c r="D152" s="283"/>
      <c r="E152" s="10"/>
      <c r="F152" s="10"/>
      <c r="G152" s="47">
        <v>1</v>
      </c>
      <c r="H152" s="72"/>
      <c r="I152" s="10"/>
      <c r="J152" s="46">
        <f t="shared" si="5"/>
        <v>1</v>
      </c>
      <c r="K152" s="46">
        <f>IFERROR(INDEX(TarrifTable,MATCH(Elements!E152,Constants!$V$4:$V$7,0),MATCH(Elements!F152,Constants!$W$3:$AA$3,0)),0)</f>
        <v>0</v>
      </c>
      <c r="L152" s="69">
        <f t="shared" si="6"/>
        <v>0</v>
      </c>
      <c r="N152" s="29"/>
      <c r="O152" s="29"/>
      <c r="P152" s="29"/>
      <c r="Q152" s="29"/>
    </row>
    <row r="153" spans="2:17" x14ac:dyDescent="0.85">
      <c r="B153" s="48">
        <v>146</v>
      </c>
      <c r="C153" s="274"/>
      <c r="D153" s="284"/>
      <c r="E153" s="44"/>
      <c r="F153" s="44"/>
      <c r="G153" s="49">
        <v>1</v>
      </c>
      <c r="H153" s="73"/>
      <c r="I153" s="44"/>
      <c r="J153" s="48">
        <f t="shared" si="5"/>
        <v>1</v>
      </c>
      <c r="K153" s="48">
        <f>IFERROR(INDEX(TarrifTable,MATCH(Elements!E153,Constants!$V$4:$V$7,0),MATCH(Elements!F153,Constants!$W$3:$AA$3,0)),0)</f>
        <v>0</v>
      </c>
      <c r="L153" s="68">
        <f t="shared" si="6"/>
        <v>0</v>
      </c>
      <c r="N153" s="29"/>
      <c r="O153" s="29"/>
      <c r="P153" s="29"/>
      <c r="Q153" s="29"/>
    </row>
    <row r="154" spans="2:17" x14ac:dyDescent="0.85">
      <c r="B154" s="46">
        <v>147</v>
      </c>
      <c r="C154" s="275"/>
      <c r="D154" s="283"/>
      <c r="E154" s="10"/>
      <c r="F154" s="10"/>
      <c r="G154" s="47">
        <v>1</v>
      </c>
      <c r="H154" s="72"/>
      <c r="I154" s="10"/>
      <c r="J154" s="46">
        <f t="shared" si="5"/>
        <v>1</v>
      </c>
      <c r="K154" s="46">
        <f>IFERROR(INDEX(TarrifTable,MATCH(Elements!E154,Constants!$V$4:$V$7,0),MATCH(Elements!F154,Constants!$W$3:$AA$3,0)),0)</f>
        <v>0</v>
      </c>
      <c r="L154" s="69">
        <f t="shared" si="6"/>
        <v>0</v>
      </c>
      <c r="N154" s="29"/>
      <c r="O154" s="29"/>
      <c r="P154" s="29"/>
      <c r="Q154" s="29"/>
    </row>
    <row r="155" spans="2:17" x14ac:dyDescent="0.85">
      <c r="B155" s="48">
        <v>148</v>
      </c>
      <c r="C155" s="274"/>
      <c r="D155" s="284"/>
      <c r="E155" s="44"/>
      <c r="F155" s="44"/>
      <c r="G155" s="49">
        <v>1</v>
      </c>
      <c r="H155" s="73"/>
      <c r="I155" s="44"/>
      <c r="J155" s="48">
        <f t="shared" si="5"/>
        <v>1</v>
      </c>
      <c r="K155" s="48">
        <f>IFERROR(INDEX(TarrifTable,MATCH(Elements!E155,Constants!$V$4:$V$7,0),MATCH(Elements!F155,Constants!$W$3:$AA$3,0)),0)</f>
        <v>0</v>
      </c>
      <c r="L155" s="68">
        <f t="shared" si="6"/>
        <v>0</v>
      </c>
      <c r="N155" s="29"/>
      <c r="O155" s="29"/>
      <c r="P155" s="29"/>
      <c r="Q155" s="29"/>
    </row>
    <row r="156" spans="2:17" x14ac:dyDescent="0.85">
      <c r="B156" s="46">
        <v>149</v>
      </c>
      <c r="C156" s="275"/>
      <c r="D156" s="283"/>
      <c r="E156" s="10"/>
      <c r="F156" s="10"/>
      <c r="G156" s="47">
        <v>1</v>
      </c>
      <c r="H156" s="72"/>
      <c r="I156" s="10"/>
      <c r="J156" s="46">
        <f t="shared" si="5"/>
        <v>1</v>
      </c>
      <c r="K156" s="46">
        <f>IFERROR(INDEX(TarrifTable,MATCH(Elements!E156,Constants!$V$4:$V$7,0),MATCH(Elements!F156,Constants!$W$3:$AA$3,0)),0)</f>
        <v>0</v>
      </c>
      <c r="L156" s="69">
        <f t="shared" si="6"/>
        <v>0</v>
      </c>
      <c r="N156" s="29"/>
      <c r="O156" s="29"/>
      <c r="P156" s="29"/>
      <c r="Q156" s="29"/>
    </row>
    <row r="157" spans="2:17" x14ac:dyDescent="0.85">
      <c r="B157" s="48">
        <v>150</v>
      </c>
      <c r="C157" s="274"/>
      <c r="D157" s="284"/>
      <c r="E157" s="44"/>
      <c r="F157" s="44"/>
      <c r="G157" s="49">
        <v>1</v>
      </c>
      <c r="H157" s="73"/>
      <c r="I157" s="44"/>
      <c r="J157" s="48">
        <f t="shared" si="5"/>
        <v>1</v>
      </c>
      <c r="K157" s="48">
        <f>IFERROR(INDEX(TarrifTable,MATCH(Elements!E157,Constants!$V$4:$V$7,0),MATCH(Elements!F157,Constants!$W$3:$AA$3,0)),0)</f>
        <v>0</v>
      </c>
      <c r="L157" s="68">
        <f t="shared" si="6"/>
        <v>0</v>
      </c>
      <c r="N157" s="29"/>
      <c r="O157" s="29"/>
      <c r="P157" s="29"/>
      <c r="Q157" s="29"/>
    </row>
    <row r="158" spans="2:17" x14ac:dyDescent="0.85">
      <c r="B158" s="46">
        <v>151</v>
      </c>
      <c r="C158" s="275"/>
      <c r="D158" s="283"/>
      <c r="E158" s="10"/>
      <c r="F158" s="10"/>
      <c r="G158" s="47">
        <v>1</v>
      </c>
      <c r="H158" s="72"/>
      <c r="I158" s="10"/>
      <c r="J158" s="46">
        <f t="shared" si="5"/>
        <v>1</v>
      </c>
      <c r="K158" s="46">
        <f>IFERROR(INDEX(TarrifTable,MATCH(Elements!E158,Constants!$V$4:$V$7,0),MATCH(Elements!F158,Constants!$W$3:$AA$3,0)),0)</f>
        <v>0</v>
      </c>
      <c r="L158" s="69">
        <f t="shared" si="6"/>
        <v>0</v>
      </c>
      <c r="N158" s="29"/>
      <c r="O158" s="29"/>
      <c r="P158" s="29"/>
      <c r="Q158" s="29"/>
    </row>
    <row r="159" spans="2:17" x14ac:dyDescent="0.85">
      <c r="B159" s="48">
        <v>152</v>
      </c>
      <c r="C159" s="274"/>
      <c r="D159" s="284"/>
      <c r="E159" s="44"/>
      <c r="F159" s="44"/>
      <c r="G159" s="49">
        <v>1</v>
      </c>
      <c r="H159" s="73"/>
      <c r="I159" s="44"/>
      <c r="J159" s="48">
        <f t="shared" si="5"/>
        <v>1</v>
      </c>
      <c r="K159" s="48">
        <f>IFERROR(INDEX(TarrifTable,MATCH(Elements!E159,Constants!$V$4:$V$7,0),MATCH(Elements!F159,Constants!$W$3:$AA$3,0)),0)</f>
        <v>0</v>
      </c>
      <c r="L159" s="68">
        <f t="shared" si="6"/>
        <v>0</v>
      </c>
      <c r="N159" s="29"/>
      <c r="O159" s="29"/>
      <c r="P159" s="29"/>
      <c r="Q159" s="29"/>
    </row>
    <row r="160" spans="2:17" x14ac:dyDescent="0.85">
      <c r="B160" s="46">
        <v>153</v>
      </c>
      <c r="C160" s="275"/>
      <c r="D160" s="283"/>
      <c r="E160" s="10"/>
      <c r="F160" s="10"/>
      <c r="G160" s="47">
        <v>1</v>
      </c>
      <c r="H160" s="72"/>
      <c r="I160" s="10"/>
      <c r="J160" s="46">
        <f t="shared" si="5"/>
        <v>1</v>
      </c>
      <c r="K160" s="46">
        <f>IFERROR(INDEX(TarrifTable,MATCH(Elements!E160,Constants!$V$4:$V$7,0),MATCH(Elements!F160,Constants!$W$3:$AA$3,0)),0)</f>
        <v>0</v>
      </c>
      <c r="L160" s="69">
        <f t="shared" si="6"/>
        <v>0</v>
      </c>
      <c r="N160" s="29"/>
      <c r="O160" s="29"/>
      <c r="P160" s="29"/>
      <c r="Q160" s="29"/>
    </row>
    <row r="161" spans="2:17" x14ac:dyDescent="0.85">
      <c r="B161" s="48">
        <v>154</v>
      </c>
      <c r="C161" s="274"/>
      <c r="D161" s="284"/>
      <c r="E161" s="44"/>
      <c r="F161" s="44"/>
      <c r="G161" s="49">
        <v>1</v>
      </c>
      <c r="H161" s="73"/>
      <c r="I161" s="44"/>
      <c r="J161" s="48">
        <f t="shared" si="5"/>
        <v>1</v>
      </c>
      <c r="K161" s="48">
        <f>IFERROR(INDEX(TarrifTable,MATCH(Elements!E161,Constants!$V$4:$V$7,0),MATCH(Elements!F161,Constants!$W$3:$AA$3,0)),0)</f>
        <v>0</v>
      </c>
      <c r="L161" s="68">
        <f t="shared" si="6"/>
        <v>0</v>
      </c>
      <c r="N161" s="29"/>
      <c r="O161" s="29"/>
      <c r="P161" s="29"/>
      <c r="Q161" s="29"/>
    </row>
    <row r="162" spans="2:17" x14ac:dyDescent="0.85">
      <c r="B162" s="46">
        <v>155</v>
      </c>
      <c r="C162" s="275"/>
      <c r="D162" s="283"/>
      <c r="E162" s="10"/>
      <c r="F162" s="10"/>
      <c r="G162" s="47">
        <v>1</v>
      </c>
      <c r="H162" s="72"/>
      <c r="I162" s="10"/>
      <c r="J162" s="46">
        <f t="shared" si="5"/>
        <v>1</v>
      </c>
      <c r="K162" s="46">
        <f>IFERROR(INDEX(TarrifTable,MATCH(Elements!E162,Constants!$V$4:$V$7,0),MATCH(Elements!F162,Constants!$W$3:$AA$3,0)),0)</f>
        <v>0</v>
      </c>
      <c r="L162" s="69">
        <f t="shared" si="6"/>
        <v>0</v>
      </c>
      <c r="N162" s="29"/>
      <c r="O162" s="29"/>
      <c r="P162" s="29"/>
      <c r="Q162" s="29"/>
    </row>
    <row r="163" spans="2:17" x14ac:dyDescent="0.85">
      <c r="B163" s="48">
        <v>156</v>
      </c>
      <c r="C163" s="274"/>
      <c r="D163" s="284"/>
      <c r="E163" s="44"/>
      <c r="F163" s="44"/>
      <c r="G163" s="49">
        <v>1</v>
      </c>
      <c r="H163" s="73"/>
      <c r="I163" s="44"/>
      <c r="J163" s="48">
        <f t="shared" si="5"/>
        <v>1</v>
      </c>
      <c r="K163" s="48">
        <f>IFERROR(INDEX(TarrifTable,MATCH(Elements!E163,Constants!$V$4:$V$7,0),MATCH(Elements!F163,Constants!$W$3:$AA$3,0)),0)</f>
        <v>0</v>
      </c>
      <c r="L163" s="68">
        <f t="shared" si="6"/>
        <v>0</v>
      </c>
      <c r="N163" s="29"/>
      <c r="O163" s="29"/>
      <c r="P163" s="29"/>
      <c r="Q163" s="29"/>
    </row>
    <row r="164" spans="2:17" x14ac:dyDescent="0.85">
      <c r="B164" s="46">
        <v>157</v>
      </c>
      <c r="C164" s="275"/>
      <c r="D164" s="283"/>
      <c r="E164" s="10"/>
      <c r="F164" s="10"/>
      <c r="G164" s="47">
        <v>1</v>
      </c>
      <c r="H164" s="72"/>
      <c r="I164" s="10"/>
      <c r="J164" s="46">
        <f t="shared" si="5"/>
        <v>1</v>
      </c>
      <c r="K164" s="46">
        <f>IFERROR(INDEX(TarrifTable,MATCH(Elements!E164,Constants!$V$4:$V$7,0),MATCH(Elements!F164,Constants!$W$3:$AA$3,0)),0)</f>
        <v>0</v>
      </c>
      <c r="L164" s="69">
        <f t="shared" si="6"/>
        <v>0</v>
      </c>
      <c r="N164" s="29"/>
      <c r="O164" s="29"/>
      <c r="P164" s="29"/>
      <c r="Q164" s="29"/>
    </row>
    <row r="165" spans="2:17" x14ac:dyDescent="0.85">
      <c r="B165" s="48">
        <v>158</v>
      </c>
      <c r="C165" s="274"/>
      <c r="D165" s="284"/>
      <c r="E165" s="44"/>
      <c r="F165" s="44"/>
      <c r="G165" s="49">
        <v>1</v>
      </c>
      <c r="H165" s="73"/>
      <c r="I165" s="44"/>
      <c r="J165" s="48">
        <f t="shared" si="5"/>
        <v>1</v>
      </c>
      <c r="K165" s="48">
        <f>IFERROR(INDEX(TarrifTable,MATCH(Elements!E165,Constants!$V$4:$V$7,0),MATCH(Elements!F165,Constants!$W$3:$AA$3,0)),0)</f>
        <v>0</v>
      </c>
      <c r="L165" s="68">
        <f t="shared" si="6"/>
        <v>0</v>
      </c>
      <c r="N165" s="29"/>
      <c r="O165" s="29"/>
      <c r="P165" s="29"/>
      <c r="Q165" s="29"/>
    </row>
    <row r="166" spans="2:17" x14ac:dyDescent="0.85">
      <c r="B166" s="46">
        <v>159</v>
      </c>
      <c r="C166" s="275"/>
      <c r="D166" s="283"/>
      <c r="E166" s="10"/>
      <c r="F166" s="10"/>
      <c r="G166" s="47">
        <v>1</v>
      </c>
      <c r="H166" s="72"/>
      <c r="I166" s="10"/>
      <c r="J166" s="46">
        <f t="shared" si="5"/>
        <v>1</v>
      </c>
      <c r="K166" s="46">
        <f>IFERROR(INDEX(TarrifTable,MATCH(Elements!E166,Constants!$V$4:$V$7,0),MATCH(Elements!F166,Constants!$W$3:$AA$3,0)),0)</f>
        <v>0</v>
      </c>
      <c r="L166" s="69">
        <f t="shared" si="6"/>
        <v>0</v>
      </c>
      <c r="N166" s="29"/>
      <c r="O166" s="29"/>
      <c r="P166" s="29"/>
      <c r="Q166" s="29"/>
    </row>
    <row r="167" spans="2:17" x14ac:dyDescent="0.85">
      <c r="B167" s="48">
        <v>160</v>
      </c>
      <c r="C167" s="274"/>
      <c r="D167" s="284"/>
      <c r="E167" s="44"/>
      <c r="F167" s="44"/>
      <c r="G167" s="49">
        <v>1</v>
      </c>
      <c r="H167" s="73"/>
      <c r="I167" s="44"/>
      <c r="J167" s="48">
        <f t="shared" si="5"/>
        <v>1</v>
      </c>
      <c r="K167" s="48">
        <f>IFERROR(INDEX(TarrifTable,MATCH(Elements!E167,Constants!$V$4:$V$7,0),MATCH(Elements!F167,Constants!$W$3:$AA$3,0)),0)</f>
        <v>0</v>
      </c>
      <c r="L167" s="68">
        <f t="shared" si="6"/>
        <v>0</v>
      </c>
      <c r="N167" s="29"/>
      <c r="O167" s="29"/>
      <c r="P167" s="29"/>
      <c r="Q167" s="29"/>
    </row>
    <row r="168" spans="2:17" x14ac:dyDescent="0.85">
      <c r="B168" s="46">
        <v>161</v>
      </c>
      <c r="C168" s="275"/>
      <c r="D168" s="283"/>
      <c r="E168" s="10"/>
      <c r="F168" s="10"/>
      <c r="G168" s="47">
        <v>1</v>
      </c>
      <c r="H168" s="72"/>
      <c r="I168" s="10"/>
      <c r="J168" s="46">
        <f t="shared" si="5"/>
        <v>1</v>
      </c>
      <c r="K168" s="46">
        <f>IFERROR(INDEX(TarrifTable,MATCH(Elements!E168,Constants!$V$4:$V$7,0),MATCH(Elements!F168,Constants!$W$3:$AA$3,0)),0)</f>
        <v>0</v>
      </c>
      <c r="L168" s="69">
        <f t="shared" si="6"/>
        <v>0</v>
      </c>
      <c r="N168" s="29"/>
      <c r="O168" s="29"/>
      <c r="P168" s="29"/>
      <c r="Q168" s="29"/>
    </row>
    <row r="169" spans="2:17" x14ac:dyDescent="0.85">
      <c r="B169" s="48">
        <v>162</v>
      </c>
      <c r="C169" s="274"/>
      <c r="D169" s="284"/>
      <c r="E169" s="44"/>
      <c r="F169" s="44"/>
      <c r="G169" s="49">
        <v>1</v>
      </c>
      <c r="H169" s="73"/>
      <c r="I169" s="44"/>
      <c r="J169" s="48">
        <f t="shared" si="5"/>
        <v>1</v>
      </c>
      <c r="K169" s="48">
        <f>IFERROR(INDEX(TarrifTable,MATCH(Elements!E169,Constants!$V$4:$V$7,0),MATCH(Elements!F169,Constants!$W$3:$AA$3,0)),0)</f>
        <v>0</v>
      </c>
      <c r="L169" s="68">
        <f t="shared" si="6"/>
        <v>0</v>
      </c>
      <c r="N169" s="29"/>
      <c r="O169" s="29"/>
      <c r="P169" s="29"/>
      <c r="Q169" s="29"/>
    </row>
    <row r="170" spans="2:17" x14ac:dyDescent="0.85">
      <c r="B170" s="46">
        <v>163</v>
      </c>
      <c r="C170" s="275"/>
      <c r="D170" s="283"/>
      <c r="E170" s="10"/>
      <c r="F170" s="10"/>
      <c r="G170" s="47">
        <v>1</v>
      </c>
      <c r="H170" s="72"/>
      <c r="I170" s="10"/>
      <c r="J170" s="46">
        <f t="shared" si="5"/>
        <v>1</v>
      </c>
      <c r="K170" s="46">
        <f>IFERROR(INDEX(TarrifTable,MATCH(Elements!E170,Constants!$V$4:$V$7,0),MATCH(Elements!F170,Constants!$W$3:$AA$3,0)),0)</f>
        <v>0</v>
      </c>
      <c r="L170" s="69">
        <f t="shared" si="6"/>
        <v>0</v>
      </c>
      <c r="N170" s="29"/>
      <c r="O170" s="29"/>
      <c r="P170" s="29"/>
      <c r="Q170" s="29"/>
    </row>
    <row r="171" spans="2:17" x14ac:dyDescent="0.85">
      <c r="B171" s="48">
        <v>164</v>
      </c>
      <c r="C171" s="274"/>
      <c r="D171" s="284"/>
      <c r="E171" s="44"/>
      <c r="F171" s="44"/>
      <c r="G171" s="49">
        <v>1</v>
      </c>
      <c r="H171" s="73"/>
      <c r="I171" s="44"/>
      <c r="J171" s="48">
        <f t="shared" si="5"/>
        <v>1</v>
      </c>
      <c r="K171" s="48">
        <f>IFERROR(INDEX(TarrifTable,MATCH(Elements!E171,Constants!$V$4:$V$7,0),MATCH(Elements!F171,Constants!$W$3:$AA$3,0)),0)</f>
        <v>0</v>
      </c>
      <c r="L171" s="68">
        <f t="shared" si="6"/>
        <v>0</v>
      </c>
      <c r="N171" s="29"/>
      <c r="O171" s="29"/>
      <c r="P171" s="29"/>
      <c r="Q171" s="29"/>
    </row>
    <row r="172" spans="2:17" x14ac:dyDescent="0.85">
      <c r="B172" s="46">
        <v>165</v>
      </c>
      <c r="C172" s="275"/>
      <c r="D172" s="283"/>
      <c r="E172" s="10"/>
      <c r="F172" s="10"/>
      <c r="G172" s="47">
        <v>1</v>
      </c>
      <c r="H172" s="72"/>
      <c r="I172" s="10"/>
      <c r="J172" s="46">
        <f t="shared" si="5"/>
        <v>1</v>
      </c>
      <c r="K172" s="46">
        <f>IFERROR(INDEX(TarrifTable,MATCH(Elements!E172,Constants!$V$4:$V$7,0),MATCH(Elements!F172,Constants!$W$3:$AA$3,0)),0)</f>
        <v>0</v>
      </c>
      <c r="L172" s="69">
        <f t="shared" si="6"/>
        <v>0</v>
      </c>
      <c r="N172" s="29"/>
      <c r="O172" s="29"/>
      <c r="P172" s="29"/>
      <c r="Q172" s="29"/>
    </row>
    <row r="173" spans="2:17" x14ac:dyDescent="0.85">
      <c r="B173" s="48">
        <v>166</v>
      </c>
      <c r="C173" s="274"/>
      <c r="D173" s="284"/>
      <c r="E173" s="44"/>
      <c r="F173" s="44"/>
      <c r="G173" s="49">
        <v>1</v>
      </c>
      <c r="H173" s="73"/>
      <c r="I173" s="44"/>
      <c r="J173" s="48">
        <f t="shared" si="5"/>
        <v>1</v>
      </c>
      <c r="K173" s="48">
        <f>IFERROR(INDEX(TarrifTable,MATCH(Elements!E173,Constants!$V$4:$V$7,0),MATCH(Elements!F173,Constants!$W$3:$AA$3,0)),0)</f>
        <v>0</v>
      </c>
      <c r="L173" s="68">
        <f t="shared" si="6"/>
        <v>0</v>
      </c>
      <c r="N173" s="29"/>
      <c r="O173" s="29"/>
      <c r="P173" s="29"/>
      <c r="Q173" s="29"/>
    </row>
    <row r="174" spans="2:17" x14ac:dyDescent="0.85">
      <c r="B174" s="46">
        <v>167</v>
      </c>
      <c r="C174" s="275"/>
      <c r="D174" s="283"/>
      <c r="E174" s="10"/>
      <c r="F174" s="10"/>
      <c r="G174" s="47">
        <v>1</v>
      </c>
      <c r="H174" s="72"/>
      <c r="I174" s="10"/>
      <c r="J174" s="46">
        <f t="shared" si="5"/>
        <v>1</v>
      </c>
      <c r="K174" s="46">
        <f>IFERROR(INDEX(TarrifTable,MATCH(Elements!E174,Constants!$V$4:$V$7,0),MATCH(Elements!F174,Constants!$W$3:$AA$3,0)),0)</f>
        <v>0</v>
      </c>
      <c r="L174" s="69">
        <f t="shared" si="6"/>
        <v>0</v>
      </c>
      <c r="N174" s="29"/>
      <c r="O174" s="29"/>
      <c r="P174" s="29"/>
      <c r="Q174" s="29"/>
    </row>
    <row r="175" spans="2:17" x14ac:dyDescent="0.85">
      <c r="B175" s="48">
        <v>168</v>
      </c>
      <c r="C175" s="274"/>
      <c r="D175" s="284"/>
      <c r="E175" s="44"/>
      <c r="F175" s="44"/>
      <c r="G175" s="49">
        <v>1</v>
      </c>
      <c r="H175" s="73"/>
      <c r="I175" s="44"/>
      <c r="J175" s="48">
        <f t="shared" si="5"/>
        <v>1</v>
      </c>
      <c r="K175" s="48">
        <f>IFERROR(INDEX(TarrifTable,MATCH(Elements!E175,Constants!$V$4:$V$7,0),MATCH(Elements!F175,Constants!$W$3:$AA$3,0)),0)</f>
        <v>0</v>
      </c>
      <c r="L175" s="68">
        <f t="shared" si="6"/>
        <v>0</v>
      </c>
      <c r="N175" s="29"/>
      <c r="O175" s="29"/>
      <c r="P175" s="29"/>
      <c r="Q175" s="29"/>
    </row>
    <row r="176" spans="2:17" x14ac:dyDescent="0.85">
      <c r="B176" s="46">
        <v>169</v>
      </c>
      <c r="C176" s="275"/>
      <c r="D176" s="283"/>
      <c r="E176" s="10"/>
      <c r="F176" s="10"/>
      <c r="G176" s="47">
        <v>1</v>
      </c>
      <c r="H176" s="72"/>
      <c r="I176" s="10"/>
      <c r="J176" s="46">
        <f t="shared" si="5"/>
        <v>1</v>
      </c>
      <c r="K176" s="46">
        <f>IFERROR(INDEX(TarrifTable,MATCH(Elements!E176,Constants!$V$4:$V$7,0),MATCH(Elements!F176,Constants!$W$3:$AA$3,0)),0)</f>
        <v>0</v>
      </c>
      <c r="L176" s="69">
        <f t="shared" si="6"/>
        <v>0</v>
      </c>
      <c r="N176" s="29"/>
      <c r="O176" s="29"/>
      <c r="P176" s="29"/>
      <c r="Q176" s="29"/>
    </row>
    <row r="177" spans="2:17" x14ac:dyDescent="0.85">
      <c r="B177" s="48">
        <v>170</v>
      </c>
      <c r="C177" s="274"/>
      <c r="D177" s="284"/>
      <c r="E177" s="44"/>
      <c r="F177" s="44"/>
      <c r="G177" s="49">
        <v>1</v>
      </c>
      <c r="H177" s="73"/>
      <c r="I177" s="44"/>
      <c r="J177" s="48">
        <f t="shared" si="5"/>
        <v>1</v>
      </c>
      <c r="K177" s="48">
        <f>IFERROR(INDEX(TarrifTable,MATCH(Elements!E177,Constants!$V$4:$V$7,0),MATCH(Elements!F177,Constants!$W$3:$AA$3,0)),0)</f>
        <v>0</v>
      </c>
      <c r="L177" s="68">
        <f t="shared" si="6"/>
        <v>0</v>
      </c>
      <c r="N177" s="29"/>
      <c r="O177" s="29"/>
      <c r="P177" s="29"/>
      <c r="Q177" s="29"/>
    </row>
    <row r="178" spans="2:17" x14ac:dyDescent="0.85">
      <c r="B178" s="46">
        <v>171</v>
      </c>
      <c r="C178" s="275"/>
      <c r="D178" s="283"/>
      <c r="E178" s="10"/>
      <c r="F178" s="10"/>
      <c r="G178" s="47">
        <v>1</v>
      </c>
      <c r="H178" s="72"/>
      <c r="I178" s="10"/>
      <c r="J178" s="46">
        <f t="shared" si="5"/>
        <v>1</v>
      </c>
      <c r="K178" s="46">
        <f>IFERROR(INDEX(TarrifTable,MATCH(Elements!E178,Constants!$V$4:$V$7,0),MATCH(Elements!F178,Constants!$W$3:$AA$3,0)),0)</f>
        <v>0</v>
      </c>
      <c r="L178" s="69">
        <f t="shared" si="6"/>
        <v>0</v>
      </c>
      <c r="N178" s="29"/>
      <c r="O178" s="29"/>
      <c r="P178" s="29"/>
      <c r="Q178" s="29"/>
    </row>
    <row r="179" spans="2:17" x14ac:dyDescent="0.85">
      <c r="B179" s="48">
        <v>172</v>
      </c>
      <c r="C179" s="274"/>
      <c r="D179" s="284"/>
      <c r="E179" s="44"/>
      <c r="F179" s="44"/>
      <c r="G179" s="49">
        <v>1</v>
      </c>
      <c r="H179" s="73"/>
      <c r="I179" s="44"/>
      <c r="J179" s="48">
        <f t="shared" si="5"/>
        <v>1</v>
      </c>
      <c r="K179" s="48">
        <f>IFERROR(INDEX(TarrifTable,MATCH(Elements!E179,Constants!$V$4:$V$7,0),MATCH(Elements!F179,Constants!$W$3:$AA$3,0)),0)</f>
        <v>0</v>
      </c>
      <c r="L179" s="68">
        <f t="shared" si="6"/>
        <v>0</v>
      </c>
      <c r="N179" s="29"/>
      <c r="O179" s="29"/>
      <c r="P179" s="29"/>
      <c r="Q179" s="29"/>
    </row>
    <row r="180" spans="2:17" x14ac:dyDescent="0.85">
      <c r="B180" s="46">
        <v>173</v>
      </c>
      <c r="C180" s="275"/>
      <c r="D180" s="283"/>
      <c r="E180" s="10"/>
      <c r="F180" s="10"/>
      <c r="G180" s="47">
        <v>1</v>
      </c>
      <c r="H180" s="72"/>
      <c r="I180" s="10"/>
      <c r="J180" s="46">
        <f t="shared" si="5"/>
        <v>1</v>
      </c>
      <c r="K180" s="46">
        <f>IFERROR(INDEX(TarrifTable,MATCH(Elements!E180,Constants!$V$4:$V$7,0),MATCH(Elements!F180,Constants!$W$3:$AA$3,0)),0)</f>
        <v>0</v>
      </c>
      <c r="L180" s="69">
        <f t="shared" si="6"/>
        <v>0</v>
      </c>
      <c r="N180" s="29"/>
      <c r="O180" s="29"/>
      <c r="P180" s="29"/>
      <c r="Q180" s="29"/>
    </row>
    <row r="181" spans="2:17" x14ac:dyDescent="0.85">
      <c r="B181" s="48">
        <v>174</v>
      </c>
      <c r="C181" s="274"/>
      <c r="D181" s="284"/>
      <c r="E181" s="44"/>
      <c r="F181" s="44"/>
      <c r="G181" s="49">
        <v>1</v>
      </c>
      <c r="H181" s="73"/>
      <c r="I181" s="44"/>
      <c r="J181" s="48">
        <f t="shared" si="5"/>
        <v>1</v>
      </c>
      <c r="K181" s="48">
        <f>IFERROR(INDEX(TarrifTable,MATCH(Elements!E181,Constants!$V$4:$V$7,0),MATCH(Elements!F181,Constants!$W$3:$AA$3,0)),0)</f>
        <v>0</v>
      </c>
      <c r="L181" s="68">
        <f t="shared" si="6"/>
        <v>0</v>
      </c>
      <c r="N181" s="29"/>
      <c r="O181" s="29"/>
      <c r="P181" s="29"/>
      <c r="Q181" s="29"/>
    </row>
    <row r="182" spans="2:17" x14ac:dyDescent="0.85">
      <c r="B182" s="46">
        <v>175</v>
      </c>
      <c r="C182" s="275"/>
      <c r="D182" s="283"/>
      <c r="E182" s="10"/>
      <c r="F182" s="10"/>
      <c r="G182" s="47">
        <v>1</v>
      </c>
      <c r="H182" s="72"/>
      <c r="I182" s="10"/>
      <c r="J182" s="46">
        <f t="shared" si="5"/>
        <v>1</v>
      </c>
      <c r="K182" s="46">
        <f>IFERROR(INDEX(TarrifTable,MATCH(Elements!E182,Constants!$V$4:$V$7,0),MATCH(Elements!F182,Constants!$W$3:$AA$3,0)),0)</f>
        <v>0</v>
      </c>
      <c r="L182" s="69">
        <f t="shared" si="6"/>
        <v>0</v>
      </c>
      <c r="N182" s="29"/>
      <c r="O182" s="29"/>
      <c r="P182" s="29"/>
      <c r="Q182" s="29"/>
    </row>
    <row r="183" spans="2:17" x14ac:dyDescent="0.85">
      <c r="B183" s="48">
        <v>176</v>
      </c>
      <c r="C183" s="274"/>
      <c r="D183" s="284"/>
      <c r="E183" s="44"/>
      <c r="F183" s="44"/>
      <c r="G183" s="49">
        <v>1</v>
      </c>
      <c r="H183" s="73"/>
      <c r="I183" s="44"/>
      <c r="J183" s="48">
        <f t="shared" si="5"/>
        <v>1</v>
      </c>
      <c r="K183" s="48">
        <f>IFERROR(INDEX(TarrifTable,MATCH(Elements!E183,Constants!$V$4:$V$7,0),MATCH(Elements!F183,Constants!$W$3:$AA$3,0)),0)</f>
        <v>0</v>
      </c>
      <c r="L183" s="68">
        <f t="shared" si="6"/>
        <v>0</v>
      </c>
      <c r="N183" s="29"/>
      <c r="O183" s="29"/>
      <c r="P183" s="29"/>
      <c r="Q183" s="29"/>
    </row>
    <row r="184" spans="2:17" x14ac:dyDescent="0.85">
      <c r="B184" s="46">
        <v>177</v>
      </c>
      <c r="C184" s="275"/>
      <c r="D184" s="283"/>
      <c r="E184" s="10"/>
      <c r="F184" s="10"/>
      <c r="G184" s="47">
        <v>1</v>
      </c>
      <c r="H184" s="72"/>
      <c r="I184" s="10"/>
      <c r="J184" s="46">
        <f t="shared" si="5"/>
        <v>1</v>
      </c>
      <c r="K184" s="46">
        <f>IFERROR(INDEX(TarrifTable,MATCH(Elements!E184,Constants!$V$4:$V$7,0),MATCH(Elements!F184,Constants!$W$3:$AA$3,0)),0)</f>
        <v>0</v>
      </c>
      <c r="L184" s="69">
        <f t="shared" si="6"/>
        <v>0</v>
      </c>
      <c r="N184" s="29"/>
      <c r="O184" s="29"/>
      <c r="P184" s="29"/>
      <c r="Q184" s="29"/>
    </row>
    <row r="185" spans="2:17" x14ac:dyDescent="0.85">
      <c r="B185" s="48">
        <v>178</v>
      </c>
      <c r="C185" s="274"/>
      <c r="D185" s="284"/>
      <c r="E185" s="44"/>
      <c r="F185" s="44"/>
      <c r="G185" s="49">
        <v>1</v>
      </c>
      <c r="H185" s="73"/>
      <c r="I185" s="44"/>
      <c r="J185" s="48">
        <f t="shared" si="5"/>
        <v>1</v>
      </c>
      <c r="K185" s="48">
        <f>IFERROR(INDEX(TarrifTable,MATCH(Elements!E185,Constants!$V$4:$V$7,0),MATCH(Elements!F185,Constants!$W$3:$AA$3,0)),0)</f>
        <v>0</v>
      </c>
      <c r="L185" s="68">
        <f t="shared" si="6"/>
        <v>0</v>
      </c>
      <c r="N185" s="29"/>
      <c r="O185" s="29"/>
      <c r="P185" s="29"/>
      <c r="Q185" s="29"/>
    </row>
    <row r="186" spans="2:17" x14ac:dyDescent="0.85">
      <c r="B186" s="46">
        <v>179</v>
      </c>
      <c r="C186" s="276"/>
      <c r="D186" s="283"/>
      <c r="E186" s="10"/>
      <c r="F186" s="10"/>
      <c r="G186" s="47">
        <v>1</v>
      </c>
      <c r="H186" s="72"/>
      <c r="I186" s="10"/>
      <c r="J186" s="46">
        <f t="shared" si="5"/>
        <v>1</v>
      </c>
      <c r="K186" s="46">
        <f>IFERROR(INDEX(TarrifTable,MATCH(Elements!E186,Constants!$V$4:$V$7,0),MATCH(Elements!F186,Constants!$W$3:$AA$3,0)),0)</f>
        <v>0</v>
      </c>
      <c r="L186" s="69">
        <f t="shared" si="6"/>
        <v>0</v>
      </c>
      <c r="N186" s="29"/>
      <c r="O186" s="29"/>
      <c r="P186" s="29"/>
      <c r="Q186" s="29"/>
    </row>
    <row r="187" spans="2:17" x14ac:dyDescent="0.85">
      <c r="B187" s="48">
        <v>180</v>
      </c>
      <c r="C187" s="277"/>
      <c r="D187" s="284"/>
      <c r="E187" s="44"/>
      <c r="F187" s="44"/>
      <c r="G187" s="49">
        <v>1</v>
      </c>
      <c r="H187" s="73"/>
      <c r="I187" s="44"/>
      <c r="J187" s="48">
        <f t="shared" si="5"/>
        <v>1</v>
      </c>
      <c r="K187" s="48">
        <f>IFERROR(INDEX(TarrifTable,MATCH(Elements!E187,Constants!$V$4:$V$7,0),MATCH(Elements!F187,Constants!$W$3:$AA$3,0)),0)</f>
        <v>0</v>
      </c>
      <c r="L187" s="68">
        <f t="shared" si="6"/>
        <v>0</v>
      </c>
      <c r="N187" s="29"/>
      <c r="O187" s="29"/>
      <c r="P187" s="29"/>
      <c r="Q187" s="29"/>
    </row>
    <row r="188" spans="2:17" x14ac:dyDescent="0.85">
      <c r="B188" s="46">
        <v>181</v>
      </c>
      <c r="C188" s="276"/>
      <c r="D188" s="283"/>
      <c r="E188" s="10"/>
      <c r="F188" s="10"/>
      <c r="G188" s="47">
        <v>1</v>
      </c>
      <c r="H188" s="72"/>
      <c r="I188" s="10"/>
      <c r="J188" s="46">
        <f t="shared" si="5"/>
        <v>1</v>
      </c>
      <c r="K188" s="46">
        <f>IFERROR(INDEX(TarrifTable,MATCH(Elements!E188,Constants!$V$4:$V$7,0),MATCH(Elements!F188,Constants!$W$3:$AA$3,0)),0)</f>
        <v>0</v>
      </c>
      <c r="L188" s="69">
        <f t="shared" si="6"/>
        <v>0</v>
      </c>
      <c r="N188" s="29"/>
      <c r="O188" s="29"/>
      <c r="P188" s="29"/>
      <c r="Q188" s="29"/>
    </row>
    <row r="189" spans="2:17" x14ac:dyDescent="0.85">
      <c r="B189" s="48">
        <v>182</v>
      </c>
      <c r="C189" s="277"/>
      <c r="D189" s="284"/>
      <c r="E189" s="44"/>
      <c r="F189" s="44"/>
      <c r="G189" s="49">
        <v>1</v>
      </c>
      <c r="H189" s="73"/>
      <c r="I189" s="44"/>
      <c r="J189" s="48">
        <f t="shared" si="5"/>
        <v>1</v>
      </c>
      <c r="K189" s="48">
        <f>IFERROR(INDEX(TarrifTable,MATCH(Elements!E189,Constants!$V$4:$V$7,0),MATCH(Elements!F189,Constants!$W$3:$AA$3,0)),0)</f>
        <v>0</v>
      </c>
      <c r="L189" s="68">
        <f t="shared" si="6"/>
        <v>0</v>
      </c>
      <c r="N189" s="29"/>
      <c r="O189" s="29"/>
      <c r="P189" s="29"/>
      <c r="Q189" s="29"/>
    </row>
    <row r="190" spans="2:17" x14ac:dyDescent="0.85">
      <c r="B190" s="46">
        <v>183</v>
      </c>
      <c r="C190" s="276"/>
      <c r="D190" s="283"/>
      <c r="E190" s="10"/>
      <c r="F190" s="10"/>
      <c r="G190" s="47">
        <v>1</v>
      </c>
      <c r="H190" s="72"/>
      <c r="I190" s="10"/>
      <c r="J190" s="46">
        <f t="shared" si="5"/>
        <v>1</v>
      </c>
      <c r="K190" s="46">
        <f>IFERROR(INDEX(TarrifTable,MATCH(Elements!E190,Constants!$V$4:$V$7,0),MATCH(Elements!F190,Constants!$W$3:$AA$3,0)),0)</f>
        <v>0</v>
      </c>
      <c r="L190" s="69">
        <f t="shared" si="6"/>
        <v>0</v>
      </c>
      <c r="N190" s="29"/>
      <c r="O190" s="29"/>
      <c r="P190" s="29"/>
      <c r="Q190" s="29"/>
    </row>
    <row r="191" spans="2:17" x14ac:dyDescent="0.85">
      <c r="B191" s="48">
        <v>184</v>
      </c>
      <c r="C191" s="277"/>
      <c r="D191" s="284"/>
      <c r="E191" s="44"/>
      <c r="F191" s="44"/>
      <c r="G191" s="49">
        <v>1</v>
      </c>
      <c r="H191" s="73"/>
      <c r="I191" s="44"/>
      <c r="J191" s="48">
        <f t="shared" si="5"/>
        <v>1</v>
      </c>
      <c r="K191" s="48">
        <f>IFERROR(INDEX(TarrifTable,MATCH(Elements!E191,Constants!$V$4:$V$7,0),MATCH(Elements!F191,Constants!$W$3:$AA$3,0)),0)</f>
        <v>0</v>
      </c>
      <c r="L191" s="68">
        <f t="shared" si="6"/>
        <v>0</v>
      </c>
      <c r="N191" s="29"/>
      <c r="O191" s="29"/>
      <c r="P191" s="29"/>
      <c r="Q191" s="29"/>
    </row>
    <row r="192" spans="2:17" x14ac:dyDescent="0.85">
      <c r="B192" s="46">
        <v>185</v>
      </c>
      <c r="C192" s="276"/>
      <c r="D192" s="283"/>
      <c r="E192" s="10"/>
      <c r="F192" s="10"/>
      <c r="G192" s="47">
        <v>1</v>
      </c>
      <c r="H192" s="72"/>
      <c r="I192" s="10"/>
      <c r="J192" s="46">
        <f t="shared" si="5"/>
        <v>1</v>
      </c>
      <c r="K192" s="46">
        <f>IFERROR(INDEX(TarrifTable,MATCH(Elements!E192,Constants!$V$4:$V$7,0),MATCH(Elements!F192,Constants!$W$3:$AA$3,0)),0)</f>
        <v>0</v>
      </c>
      <c r="L192" s="69">
        <f t="shared" si="6"/>
        <v>0</v>
      </c>
      <c r="N192" s="29"/>
      <c r="O192" s="29"/>
      <c r="P192" s="29"/>
      <c r="Q192" s="29"/>
    </row>
    <row r="193" spans="2:17" x14ac:dyDescent="0.85">
      <c r="B193" s="48">
        <v>186</v>
      </c>
      <c r="C193" s="277"/>
      <c r="D193" s="284"/>
      <c r="E193" s="44"/>
      <c r="F193" s="44"/>
      <c r="G193" s="49">
        <v>1</v>
      </c>
      <c r="H193" s="73"/>
      <c r="I193" s="44"/>
      <c r="J193" s="48">
        <f t="shared" si="5"/>
        <v>1</v>
      </c>
      <c r="K193" s="48">
        <f>IFERROR(INDEX(TarrifTable,MATCH(Elements!E193,Constants!$V$4:$V$7,0),MATCH(Elements!F193,Constants!$W$3:$AA$3,0)),0)</f>
        <v>0</v>
      </c>
      <c r="L193" s="68">
        <f t="shared" si="6"/>
        <v>0</v>
      </c>
      <c r="N193" s="29"/>
      <c r="O193" s="29"/>
      <c r="P193" s="29"/>
      <c r="Q193" s="29"/>
    </row>
    <row r="194" spans="2:17" x14ac:dyDescent="0.85">
      <c r="B194" s="46">
        <v>187</v>
      </c>
      <c r="C194" s="276"/>
      <c r="D194" s="283"/>
      <c r="E194" s="10"/>
      <c r="F194" s="10"/>
      <c r="G194" s="47">
        <v>1</v>
      </c>
      <c r="H194" s="72"/>
      <c r="I194" s="10"/>
      <c r="J194" s="46">
        <f t="shared" si="5"/>
        <v>1</v>
      </c>
      <c r="K194" s="46">
        <f>IFERROR(INDEX(TarrifTable,MATCH(Elements!E194,Constants!$V$4:$V$7,0),MATCH(Elements!F194,Constants!$W$3:$AA$3,0)),0)</f>
        <v>0</v>
      </c>
      <c r="L194" s="69">
        <f t="shared" si="6"/>
        <v>0</v>
      </c>
      <c r="N194" s="29"/>
      <c r="O194" s="29"/>
      <c r="P194" s="29"/>
      <c r="Q194" s="29"/>
    </row>
    <row r="195" spans="2:17" x14ac:dyDescent="0.85">
      <c r="B195" s="48">
        <v>188</v>
      </c>
      <c r="C195" s="277"/>
      <c r="D195" s="284"/>
      <c r="E195" s="44"/>
      <c r="F195" s="44"/>
      <c r="G195" s="49">
        <v>1</v>
      </c>
      <c r="H195" s="73"/>
      <c r="I195" s="44"/>
      <c r="J195" s="48">
        <f t="shared" si="5"/>
        <v>1</v>
      </c>
      <c r="K195" s="48">
        <f>IFERROR(INDEX(TarrifTable,MATCH(Elements!E195,Constants!$V$4:$V$7,0),MATCH(Elements!F195,Constants!$W$3:$AA$3,0)),0)</f>
        <v>0</v>
      </c>
      <c r="L195" s="68">
        <f t="shared" si="6"/>
        <v>0</v>
      </c>
      <c r="N195" s="29"/>
      <c r="O195" s="29"/>
      <c r="P195" s="29"/>
      <c r="Q195" s="29"/>
    </row>
    <row r="196" spans="2:17" x14ac:dyDescent="0.85">
      <c r="B196" s="46">
        <v>189</v>
      </c>
      <c r="C196" s="276"/>
      <c r="D196" s="283"/>
      <c r="E196" s="10"/>
      <c r="F196" s="10"/>
      <c r="G196" s="47">
        <v>1</v>
      </c>
      <c r="H196" s="72"/>
      <c r="I196" s="10"/>
      <c r="J196" s="46">
        <f t="shared" si="5"/>
        <v>1</v>
      </c>
      <c r="K196" s="46">
        <f>IFERROR(INDEX(TarrifTable,MATCH(Elements!E196,Constants!$V$4:$V$7,0),MATCH(Elements!F196,Constants!$W$3:$AA$3,0)),0)</f>
        <v>0</v>
      </c>
      <c r="L196" s="69">
        <f t="shared" si="6"/>
        <v>0</v>
      </c>
      <c r="N196" s="29"/>
      <c r="O196" s="29"/>
      <c r="P196" s="29"/>
      <c r="Q196" s="29"/>
    </row>
    <row r="197" spans="2:17" x14ac:dyDescent="0.85">
      <c r="B197" s="48">
        <v>190</v>
      </c>
      <c r="C197" s="277"/>
      <c r="D197" s="284"/>
      <c r="E197" s="44"/>
      <c r="F197" s="44"/>
      <c r="G197" s="49">
        <v>1</v>
      </c>
      <c r="H197" s="73"/>
      <c r="I197" s="44"/>
      <c r="J197" s="48">
        <f t="shared" si="5"/>
        <v>1</v>
      </c>
      <c r="K197" s="48">
        <f>IFERROR(INDEX(TarrifTable,MATCH(Elements!E197,Constants!$V$4:$V$7,0),MATCH(Elements!F197,Constants!$W$3:$AA$3,0)),0)</f>
        <v>0</v>
      </c>
      <c r="L197" s="68">
        <f t="shared" si="6"/>
        <v>0</v>
      </c>
      <c r="N197" s="29"/>
      <c r="O197" s="29"/>
      <c r="P197" s="29"/>
      <c r="Q197" s="29"/>
    </row>
    <row r="198" spans="2:17" x14ac:dyDescent="0.85">
      <c r="B198" s="46">
        <v>191</v>
      </c>
      <c r="C198" s="276"/>
      <c r="D198" s="283"/>
      <c r="E198" s="10"/>
      <c r="F198" s="10"/>
      <c r="G198" s="47">
        <v>1</v>
      </c>
      <c r="H198" s="72"/>
      <c r="I198" s="10"/>
      <c r="J198" s="46">
        <f t="shared" si="5"/>
        <v>1</v>
      </c>
      <c r="K198" s="46">
        <f>IFERROR(INDEX(TarrifTable,MATCH(Elements!E198,Constants!$V$4:$V$7,0),MATCH(Elements!F198,Constants!$W$3:$AA$3,0)),0)</f>
        <v>0</v>
      </c>
      <c r="L198" s="69">
        <f t="shared" si="6"/>
        <v>0</v>
      </c>
      <c r="N198" s="29"/>
      <c r="O198" s="29"/>
      <c r="P198" s="29"/>
      <c r="Q198" s="29"/>
    </row>
    <row r="199" spans="2:17" x14ac:dyDescent="0.85">
      <c r="B199" s="48">
        <v>192</v>
      </c>
      <c r="C199" s="277"/>
      <c r="D199" s="284"/>
      <c r="E199" s="44"/>
      <c r="F199" s="44"/>
      <c r="G199" s="49">
        <v>1</v>
      </c>
      <c r="H199" s="73"/>
      <c r="I199" s="44"/>
      <c r="J199" s="48">
        <f t="shared" si="5"/>
        <v>1</v>
      </c>
      <c r="K199" s="48">
        <f>IFERROR(INDEX(TarrifTable,MATCH(Elements!E199,Constants!$V$4:$V$7,0),MATCH(Elements!F199,Constants!$W$3:$AA$3,0)),0)</f>
        <v>0</v>
      </c>
      <c r="L199" s="68">
        <f t="shared" si="6"/>
        <v>0</v>
      </c>
      <c r="N199" s="29"/>
      <c r="O199" s="29"/>
      <c r="P199" s="29"/>
      <c r="Q199" s="29"/>
    </row>
    <row r="200" spans="2:17" x14ac:dyDescent="0.85">
      <c r="B200" s="46">
        <v>193</v>
      </c>
      <c r="C200" s="276"/>
      <c r="D200" s="283"/>
      <c r="E200" s="10"/>
      <c r="F200" s="10"/>
      <c r="G200" s="47">
        <v>1</v>
      </c>
      <c r="H200" s="72"/>
      <c r="I200" s="10"/>
      <c r="J200" s="46">
        <f t="shared" ref="J200:J263" si="7">IF(ISBLANK(H200),1,H200)</f>
        <v>1</v>
      </c>
      <c r="K200" s="46">
        <f>IFERROR(INDEX(TarrifTable,MATCH(Elements!E200,Constants!$V$4:$V$7,0),MATCH(Elements!F200,Constants!$W$3:$AA$3,0)),0)</f>
        <v>0</v>
      </c>
      <c r="L200" s="69">
        <f t="shared" ref="L200:L263" si="8">J200*G200*K200</f>
        <v>0</v>
      </c>
      <c r="N200" s="29"/>
      <c r="O200" s="29"/>
      <c r="P200" s="29"/>
      <c r="Q200" s="29"/>
    </row>
    <row r="201" spans="2:17" x14ac:dyDescent="0.85">
      <c r="B201" s="48">
        <v>194</v>
      </c>
      <c r="C201" s="277"/>
      <c r="D201" s="284"/>
      <c r="E201" s="44"/>
      <c r="F201" s="44"/>
      <c r="G201" s="49">
        <v>1</v>
      </c>
      <c r="H201" s="73"/>
      <c r="I201" s="44"/>
      <c r="J201" s="48">
        <f t="shared" si="7"/>
        <v>1</v>
      </c>
      <c r="K201" s="48">
        <f>IFERROR(INDEX(TarrifTable,MATCH(Elements!E201,Constants!$V$4:$V$7,0),MATCH(Elements!F201,Constants!$W$3:$AA$3,0)),0)</f>
        <v>0</v>
      </c>
      <c r="L201" s="68">
        <f t="shared" si="8"/>
        <v>0</v>
      </c>
      <c r="N201" s="29"/>
      <c r="O201" s="29"/>
      <c r="P201" s="29"/>
      <c r="Q201" s="29"/>
    </row>
    <row r="202" spans="2:17" x14ac:dyDescent="0.85">
      <c r="B202" s="46">
        <v>195</v>
      </c>
      <c r="C202" s="276"/>
      <c r="D202" s="283"/>
      <c r="E202" s="10"/>
      <c r="F202" s="10"/>
      <c r="G202" s="47">
        <v>1</v>
      </c>
      <c r="H202" s="72"/>
      <c r="I202" s="10"/>
      <c r="J202" s="46">
        <f t="shared" si="7"/>
        <v>1</v>
      </c>
      <c r="K202" s="46">
        <f>IFERROR(INDEX(TarrifTable,MATCH(Elements!E202,Constants!$V$4:$V$7,0),MATCH(Elements!F202,Constants!$W$3:$AA$3,0)),0)</f>
        <v>0</v>
      </c>
      <c r="L202" s="69">
        <f t="shared" si="8"/>
        <v>0</v>
      </c>
      <c r="N202" s="29"/>
      <c r="O202" s="29"/>
      <c r="P202" s="29"/>
      <c r="Q202" s="29"/>
    </row>
    <row r="203" spans="2:17" x14ac:dyDescent="0.85">
      <c r="B203" s="48">
        <v>196</v>
      </c>
      <c r="C203" s="277"/>
      <c r="D203" s="284"/>
      <c r="E203" s="44"/>
      <c r="F203" s="44"/>
      <c r="G203" s="49">
        <v>1</v>
      </c>
      <c r="H203" s="73"/>
      <c r="I203" s="44"/>
      <c r="J203" s="48">
        <f t="shared" si="7"/>
        <v>1</v>
      </c>
      <c r="K203" s="48">
        <f>IFERROR(INDEX(TarrifTable,MATCH(Elements!E203,Constants!$V$4:$V$7,0),MATCH(Elements!F203,Constants!$W$3:$AA$3,0)),0)</f>
        <v>0</v>
      </c>
      <c r="L203" s="68">
        <f t="shared" si="8"/>
        <v>0</v>
      </c>
      <c r="N203" s="29"/>
      <c r="O203" s="29"/>
      <c r="P203" s="29"/>
      <c r="Q203" s="29"/>
    </row>
    <row r="204" spans="2:17" x14ac:dyDescent="0.85">
      <c r="B204" s="46">
        <v>197</v>
      </c>
      <c r="C204" s="276"/>
      <c r="D204" s="283"/>
      <c r="E204" s="10"/>
      <c r="F204" s="10"/>
      <c r="G204" s="47">
        <v>1</v>
      </c>
      <c r="H204" s="72"/>
      <c r="I204" s="10"/>
      <c r="J204" s="46">
        <f t="shared" si="7"/>
        <v>1</v>
      </c>
      <c r="K204" s="46">
        <f>IFERROR(INDEX(TarrifTable,MATCH(Elements!E204,Constants!$V$4:$V$7,0),MATCH(Elements!F204,Constants!$W$3:$AA$3,0)),0)</f>
        <v>0</v>
      </c>
      <c r="L204" s="69">
        <f t="shared" si="8"/>
        <v>0</v>
      </c>
      <c r="N204" s="29"/>
      <c r="O204" s="29"/>
      <c r="P204" s="29"/>
      <c r="Q204" s="29"/>
    </row>
    <row r="205" spans="2:17" x14ac:dyDescent="0.85">
      <c r="B205" s="48">
        <v>198</v>
      </c>
      <c r="C205" s="277"/>
      <c r="D205" s="284"/>
      <c r="E205" s="44"/>
      <c r="F205" s="44"/>
      <c r="G205" s="49">
        <v>1</v>
      </c>
      <c r="H205" s="73"/>
      <c r="I205" s="44"/>
      <c r="J205" s="48">
        <f t="shared" si="7"/>
        <v>1</v>
      </c>
      <c r="K205" s="48">
        <f>IFERROR(INDEX(TarrifTable,MATCH(Elements!E205,Constants!$V$4:$V$7,0),MATCH(Elements!F205,Constants!$W$3:$AA$3,0)),0)</f>
        <v>0</v>
      </c>
      <c r="L205" s="68">
        <f t="shared" si="8"/>
        <v>0</v>
      </c>
      <c r="N205" s="29"/>
      <c r="O205" s="29"/>
      <c r="P205" s="29"/>
      <c r="Q205" s="29"/>
    </row>
    <row r="206" spans="2:17" x14ac:dyDescent="0.85">
      <c r="B206" s="46">
        <v>199</v>
      </c>
      <c r="C206" s="276"/>
      <c r="D206" s="283"/>
      <c r="E206" s="10"/>
      <c r="F206" s="10"/>
      <c r="G206" s="47">
        <v>1</v>
      </c>
      <c r="H206" s="72"/>
      <c r="I206" s="10"/>
      <c r="J206" s="46">
        <f t="shared" si="7"/>
        <v>1</v>
      </c>
      <c r="K206" s="46">
        <f>IFERROR(INDEX(TarrifTable,MATCH(Elements!E206,Constants!$V$4:$V$7,0),MATCH(Elements!F206,Constants!$W$3:$AA$3,0)),0)</f>
        <v>0</v>
      </c>
      <c r="L206" s="69">
        <f t="shared" si="8"/>
        <v>0</v>
      </c>
      <c r="N206" s="29"/>
      <c r="O206" s="29"/>
      <c r="P206" s="29"/>
      <c r="Q206" s="29"/>
    </row>
    <row r="207" spans="2:17" x14ac:dyDescent="0.85">
      <c r="B207" s="48">
        <v>200</v>
      </c>
      <c r="C207" s="277"/>
      <c r="D207" s="284"/>
      <c r="E207" s="44"/>
      <c r="F207" s="44"/>
      <c r="G207" s="49">
        <v>1</v>
      </c>
      <c r="H207" s="73"/>
      <c r="I207" s="44"/>
      <c r="J207" s="48">
        <f t="shared" si="7"/>
        <v>1</v>
      </c>
      <c r="K207" s="48">
        <f>IFERROR(INDEX(TarrifTable,MATCH(Elements!E207,Constants!$V$4:$V$7,0),MATCH(Elements!F207,Constants!$W$3:$AA$3,0)),0)</f>
        <v>0</v>
      </c>
      <c r="L207" s="68">
        <f t="shared" si="8"/>
        <v>0</v>
      </c>
      <c r="N207" s="29"/>
      <c r="O207" s="29"/>
      <c r="P207" s="29"/>
      <c r="Q207" s="29"/>
    </row>
    <row r="208" spans="2:17" ht="21" customHeight="1" x14ac:dyDescent="1">
      <c r="B208" s="46">
        <v>201</v>
      </c>
      <c r="C208" s="276"/>
      <c r="D208" s="283"/>
      <c r="E208" s="10"/>
      <c r="F208" s="10"/>
      <c r="G208" s="47">
        <v>1</v>
      </c>
      <c r="H208" s="72"/>
      <c r="I208" s="10"/>
      <c r="J208" s="46">
        <f t="shared" si="7"/>
        <v>1</v>
      </c>
      <c r="K208" s="46">
        <f>IFERROR(INDEX(TarrifTable,MATCH(Elements!E208,Constants!$V$4:$V$7,0),MATCH(Elements!F208,Constants!$W$3:$AA$3,0)),0)</f>
        <v>0</v>
      </c>
      <c r="L208" s="69">
        <f t="shared" si="8"/>
        <v>0</v>
      </c>
      <c r="N208" s="30"/>
      <c r="O208" s="30"/>
      <c r="P208" s="30"/>
      <c r="Q208" s="30"/>
    </row>
    <row r="209" spans="2:17" x14ac:dyDescent="0.85">
      <c r="B209" s="48">
        <v>202</v>
      </c>
      <c r="C209" s="277"/>
      <c r="D209" s="284"/>
      <c r="E209" s="44"/>
      <c r="F209" s="44"/>
      <c r="G209" s="49">
        <v>1</v>
      </c>
      <c r="H209" s="73"/>
      <c r="I209" s="44"/>
      <c r="J209" s="48">
        <f t="shared" si="7"/>
        <v>1</v>
      </c>
      <c r="K209" s="48">
        <f>IFERROR(INDEX(TarrifTable,MATCH(Elements!E209,Constants!$V$4:$V$7,0),MATCH(Elements!F209,Constants!$W$3:$AA$3,0)),0)</f>
        <v>0</v>
      </c>
      <c r="L209" s="68">
        <f t="shared" si="8"/>
        <v>0</v>
      </c>
      <c r="N209" s="31"/>
      <c r="O209" s="31"/>
      <c r="P209" s="31"/>
      <c r="Q209" s="32"/>
    </row>
    <row r="210" spans="2:17" x14ac:dyDescent="0.85">
      <c r="B210" s="46">
        <v>203</v>
      </c>
      <c r="C210" s="276"/>
      <c r="D210" s="283"/>
      <c r="E210" s="10"/>
      <c r="F210" s="10"/>
      <c r="G210" s="47">
        <v>1</v>
      </c>
      <c r="H210" s="72"/>
      <c r="I210" s="10"/>
      <c r="J210" s="46">
        <f t="shared" si="7"/>
        <v>1</v>
      </c>
      <c r="K210" s="46">
        <f>IFERROR(INDEX(TarrifTable,MATCH(Elements!E210,Constants!$V$4:$V$7,0),MATCH(Elements!F210,Constants!$W$3:$AA$3,0)),0)</f>
        <v>0</v>
      </c>
      <c r="L210" s="69">
        <f t="shared" si="8"/>
        <v>0</v>
      </c>
      <c r="N210" s="1"/>
      <c r="O210" s="1"/>
      <c r="P210" s="1"/>
    </row>
    <row r="211" spans="2:17" x14ac:dyDescent="0.85">
      <c r="B211" s="48">
        <v>204</v>
      </c>
      <c r="C211" s="277"/>
      <c r="D211" s="284"/>
      <c r="E211" s="44"/>
      <c r="F211" s="44"/>
      <c r="G211" s="49">
        <v>1</v>
      </c>
      <c r="H211" s="73"/>
      <c r="I211" s="44"/>
      <c r="J211" s="48">
        <f t="shared" si="7"/>
        <v>1</v>
      </c>
      <c r="K211" s="48">
        <f>IFERROR(INDEX(TarrifTable,MATCH(Elements!E211,Constants!$V$4:$V$7,0),MATCH(Elements!F211,Constants!$W$3:$AA$3,0)),0)</f>
        <v>0</v>
      </c>
      <c r="L211" s="68">
        <f t="shared" si="8"/>
        <v>0</v>
      </c>
    </row>
    <row r="212" spans="2:17" x14ac:dyDescent="0.85">
      <c r="B212" s="46">
        <v>205</v>
      </c>
      <c r="C212" s="276"/>
      <c r="D212" s="283"/>
      <c r="E212" s="10"/>
      <c r="F212" s="10"/>
      <c r="G212" s="47">
        <v>1</v>
      </c>
      <c r="H212" s="72"/>
      <c r="I212" s="10"/>
      <c r="J212" s="46">
        <f t="shared" si="7"/>
        <v>1</v>
      </c>
      <c r="K212" s="46">
        <f>IFERROR(INDEX(TarrifTable,MATCH(Elements!E212,Constants!$V$4:$V$7,0),MATCH(Elements!F212,Constants!$W$3:$AA$3,0)),0)</f>
        <v>0</v>
      </c>
      <c r="L212" s="69">
        <f t="shared" si="8"/>
        <v>0</v>
      </c>
    </row>
    <row r="213" spans="2:17" x14ac:dyDescent="0.85">
      <c r="B213" s="48">
        <v>206</v>
      </c>
      <c r="C213" s="277"/>
      <c r="D213" s="284"/>
      <c r="E213" s="44"/>
      <c r="F213" s="44"/>
      <c r="G213" s="49">
        <v>1</v>
      </c>
      <c r="H213" s="73"/>
      <c r="I213" s="44"/>
      <c r="J213" s="48">
        <f t="shared" si="7"/>
        <v>1</v>
      </c>
      <c r="K213" s="48">
        <f>IFERROR(INDEX(TarrifTable,MATCH(Elements!E213,Constants!$V$4:$V$7,0),MATCH(Elements!F213,Constants!$W$3:$AA$3,0)),0)</f>
        <v>0</v>
      </c>
      <c r="L213" s="68">
        <f t="shared" si="8"/>
        <v>0</v>
      </c>
    </row>
    <row r="214" spans="2:17" x14ac:dyDescent="0.85">
      <c r="B214" s="46">
        <v>207</v>
      </c>
      <c r="C214" s="276"/>
      <c r="D214" s="283"/>
      <c r="E214" s="10"/>
      <c r="F214" s="10"/>
      <c r="G214" s="47">
        <v>1</v>
      </c>
      <c r="H214" s="72"/>
      <c r="I214" s="10"/>
      <c r="J214" s="46">
        <f t="shared" si="7"/>
        <v>1</v>
      </c>
      <c r="K214" s="46">
        <f>IFERROR(INDEX(TarrifTable,MATCH(Elements!E214,Constants!$V$4:$V$7,0),MATCH(Elements!F214,Constants!$W$3:$AA$3,0)),0)</f>
        <v>0</v>
      </c>
      <c r="L214" s="69">
        <f t="shared" si="8"/>
        <v>0</v>
      </c>
    </row>
    <row r="215" spans="2:17" x14ac:dyDescent="0.85">
      <c r="B215" s="48">
        <v>208</v>
      </c>
      <c r="C215" s="277"/>
      <c r="D215" s="284"/>
      <c r="E215" s="44"/>
      <c r="F215" s="44"/>
      <c r="G215" s="49">
        <v>1</v>
      </c>
      <c r="H215" s="73"/>
      <c r="I215" s="44"/>
      <c r="J215" s="48">
        <f t="shared" si="7"/>
        <v>1</v>
      </c>
      <c r="K215" s="48">
        <f>IFERROR(INDEX(TarrifTable,MATCH(Elements!E215,Constants!$V$4:$V$7,0),MATCH(Elements!F215,Constants!$W$3:$AA$3,0)),0)</f>
        <v>0</v>
      </c>
      <c r="L215" s="68">
        <f t="shared" si="8"/>
        <v>0</v>
      </c>
    </row>
    <row r="216" spans="2:17" x14ac:dyDescent="0.85">
      <c r="B216" s="46">
        <v>209</v>
      </c>
      <c r="C216" s="276"/>
      <c r="D216" s="283"/>
      <c r="E216" s="10"/>
      <c r="F216" s="10"/>
      <c r="G216" s="47">
        <v>1</v>
      </c>
      <c r="H216" s="72"/>
      <c r="I216" s="10"/>
      <c r="J216" s="46">
        <f t="shared" si="7"/>
        <v>1</v>
      </c>
      <c r="K216" s="46">
        <f>IFERROR(INDEX(TarrifTable,MATCH(Elements!E216,Constants!$V$4:$V$7,0),MATCH(Elements!F216,Constants!$W$3:$AA$3,0)),0)</f>
        <v>0</v>
      </c>
      <c r="L216" s="69">
        <f t="shared" si="8"/>
        <v>0</v>
      </c>
    </row>
    <row r="217" spans="2:17" x14ac:dyDescent="0.85">
      <c r="B217" s="48">
        <v>210</v>
      </c>
      <c r="C217" s="277"/>
      <c r="D217" s="284"/>
      <c r="E217" s="44"/>
      <c r="F217" s="44"/>
      <c r="G217" s="49">
        <v>1</v>
      </c>
      <c r="H217" s="73"/>
      <c r="I217" s="44"/>
      <c r="J217" s="48">
        <f t="shared" si="7"/>
        <v>1</v>
      </c>
      <c r="K217" s="48">
        <f>IFERROR(INDEX(TarrifTable,MATCH(Elements!E217,Constants!$V$4:$V$7,0),MATCH(Elements!F217,Constants!$W$3:$AA$3,0)),0)</f>
        <v>0</v>
      </c>
      <c r="L217" s="68">
        <f t="shared" si="8"/>
        <v>0</v>
      </c>
    </row>
    <row r="218" spans="2:17" x14ac:dyDescent="0.85">
      <c r="B218" s="46">
        <v>211</v>
      </c>
      <c r="C218" s="276"/>
      <c r="D218" s="283"/>
      <c r="E218" s="10"/>
      <c r="F218" s="10"/>
      <c r="G218" s="47">
        <v>1</v>
      </c>
      <c r="H218" s="72"/>
      <c r="I218" s="10"/>
      <c r="J218" s="46">
        <f t="shared" si="7"/>
        <v>1</v>
      </c>
      <c r="K218" s="46">
        <f>IFERROR(INDEX(TarrifTable,MATCH(Elements!E218,Constants!$V$4:$V$7,0),MATCH(Elements!F218,Constants!$W$3:$AA$3,0)),0)</f>
        <v>0</v>
      </c>
      <c r="L218" s="69">
        <f t="shared" si="8"/>
        <v>0</v>
      </c>
    </row>
    <row r="219" spans="2:17" x14ac:dyDescent="0.85">
      <c r="B219" s="48">
        <v>212</v>
      </c>
      <c r="C219" s="277"/>
      <c r="D219" s="284"/>
      <c r="E219" s="44"/>
      <c r="F219" s="44"/>
      <c r="G219" s="49">
        <v>1</v>
      </c>
      <c r="H219" s="73"/>
      <c r="I219" s="44"/>
      <c r="J219" s="48">
        <f t="shared" si="7"/>
        <v>1</v>
      </c>
      <c r="K219" s="48">
        <f>IFERROR(INDEX(TarrifTable,MATCH(Elements!E219,Constants!$V$4:$V$7,0),MATCH(Elements!F219,Constants!$W$3:$AA$3,0)),0)</f>
        <v>0</v>
      </c>
      <c r="L219" s="68">
        <f t="shared" si="8"/>
        <v>0</v>
      </c>
    </row>
    <row r="220" spans="2:17" x14ac:dyDescent="0.85">
      <c r="B220" s="46">
        <v>213</v>
      </c>
      <c r="C220" s="276"/>
      <c r="D220" s="283"/>
      <c r="E220" s="10"/>
      <c r="F220" s="10"/>
      <c r="G220" s="47">
        <v>1</v>
      </c>
      <c r="H220" s="72"/>
      <c r="I220" s="10"/>
      <c r="J220" s="46">
        <f t="shared" si="7"/>
        <v>1</v>
      </c>
      <c r="K220" s="46">
        <f>IFERROR(INDEX(TarrifTable,MATCH(Elements!E220,Constants!$V$4:$V$7,0),MATCH(Elements!F220,Constants!$W$3:$AA$3,0)),0)</f>
        <v>0</v>
      </c>
      <c r="L220" s="69">
        <f t="shared" si="8"/>
        <v>0</v>
      </c>
    </row>
    <row r="221" spans="2:17" x14ac:dyDescent="0.85">
      <c r="B221" s="48">
        <v>214</v>
      </c>
      <c r="C221" s="277"/>
      <c r="D221" s="284"/>
      <c r="E221" s="44"/>
      <c r="F221" s="44"/>
      <c r="G221" s="49">
        <v>1</v>
      </c>
      <c r="H221" s="73"/>
      <c r="I221" s="44"/>
      <c r="J221" s="48">
        <f t="shared" si="7"/>
        <v>1</v>
      </c>
      <c r="K221" s="48">
        <f>IFERROR(INDEX(TarrifTable,MATCH(Elements!E221,Constants!$V$4:$V$7,0),MATCH(Elements!F221,Constants!$W$3:$AA$3,0)),0)</f>
        <v>0</v>
      </c>
      <c r="L221" s="68">
        <f t="shared" si="8"/>
        <v>0</v>
      </c>
    </row>
    <row r="222" spans="2:17" x14ac:dyDescent="0.85">
      <c r="B222" s="46">
        <v>215</v>
      </c>
      <c r="C222" s="276"/>
      <c r="D222" s="283"/>
      <c r="E222" s="10"/>
      <c r="F222" s="10"/>
      <c r="G222" s="47">
        <v>1</v>
      </c>
      <c r="H222" s="72"/>
      <c r="I222" s="10"/>
      <c r="J222" s="46">
        <f t="shared" si="7"/>
        <v>1</v>
      </c>
      <c r="K222" s="46">
        <f>IFERROR(INDEX(TarrifTable,MATCH(Elements!E222,Constants!$V$4:$V$7,0),MATCH(Elements!F222,Constants!$W$3:$AA$3,0)),0)</f>
        <v>0</v>
      </c>
      <c r="L222" s="69">
        <f t="shared" si="8"/>
        <v>0</v>
      </c>
    </row>
    <row r="223" spans="2:17" x14ac:dyDescent="0.85">
      <c r="B223" s="48">
        <v>216</v>
      </c>
      <c r="C223" s="277"/>
      <c r="D223" s="284"/>
      <c r="E223" s="44"/>
      <c r="F223" s="44"/>
      <c r="G223" s="49">
        <v>1</v>
      </c>
      <c r="H223" s="73"/>
      <c r="I223" s="44"/>
      <c r="J223" s="48">
        <f t="shared" si="7"/>
        <v>1</v>
      </c>
      <c r="K223" s="48">
        <f>IFERROR(INDEX(TarrifTable,MATCH(Elements!E223,Constants!$V$4:$V$7,0),MATCH(Elements!F223,Constants!$W$3:$AA$3,0)),0)</f>
        <v>0</v>
      </c>
      <c r="L223" s="68">
        <f t="shared" si="8"/>
        <v>0</v>
      </c>
    </row>
    <row r="224" spans="2:17" x14ac:dyDescent="0.85">
      <c r="B224" s="46">
        <v>217</v>
      </c>
      <c r="C224" s="276"/>
      <c r="D224" s="283"/>
      <c r="E224" s="10"/>
      <c r="F224" s="10"/>
      <c r="G224" s="47">
        <v>1</v>
      </c>
      <c r="H224" s="72"/>
      <c r="I224" s="10"/>
      <c r="J224" s="46">
        <f t="shared" si="7"/>
        <v>1</v>
      </c>
      <c r="K224" s="46">
        <f>IFERROR(INDEX(TarrifTable,MATCH(Elements!E224,Constants!$V$4:$V$7,0),MATCH(Elements!F224,Constants!$W$3:$AA$3,0)),0)</f>
        <v>0</v>
      </c>
      <c r="L224" s="69">
        <f t="shared" si="8"/>
        <v>0</v>
      </c>
    </row>
    <row r="225" spans="2:12" x14ac:dyDescent="0.85">
      <c r="B225" s="48">
        <v>218</v>
      </c>
      <c r="C225" s="277"/>
      <c r="D225" s="284"/>
      <c r="E225" s="44"/>
      <c r="F225" s="44"/>
      <c r="G225" s="49">
        <v>1</v>
      </c>
      <c r="H225" s="73"/>
      <c r="I225" s="44"/>
      <c r="J225" s="48">
        <f t="shared" si="7"/>
        <v>1</v>
      </c>
      <c r="K225" s="48">
        <f>IFERROR(INDEX(TarrifTable,MATCH(Elements!E225,Constants!$V$4:$V$7,0),MATCH(Elements!F225,Constants!$W$3:$AA$3,0)),0)</f>
        <v>0</v>
      </c>
      <c r="L225" s="68">
        <f t="shared" si="8"/>
        <v>0</v>
      </c>
    </row>
    <row r="226" spans="2:12" x14ac:dyDescent="0.85">
      <c r="B226" s="46">
        <v>219</v>
      </c>
      <c r="C226" s="276"/>
      <c r="D226" s="283"/>
      <c r="E226" s="10"/>
      <c r="F226" s="10"/>
      <c r="G226" s="47">
        <v>1</v>
      </c>
      <c r="H226" s="72"/>
      <c r="I226" s="10"/>
      <c r="J226" s="46">
        <f t="shared" si="7"/>
        <v>1</v>
      </c>
      <c r="K226" s="46">
        <f>IFERROR(INDEX(TarrifTable,MATCH(Elements!E226,Constants!$V$4:$V$7,0),MATCH(Elements!F226,Constants!$W$3:$AA$3,0)),0)</f>
        <v>0</v>
      </c>
      <c r="L226" s="69">
        <f t="shared" si="8"/>
        <v>0</v>
      </c>
    </row>
    <row r="227" spans="2:12" x14ac:dyDescent="0.85">
      <c r="B227" s="48">
        <v>220</v>
      </c>
      <c r="C227" s="277"/>
      <c r="D227" s="284"/>
      <c r="E227" s="44"/>
      <c r="F227" s="44"/>
      <c r="G227" s="49">
        <v>1</v>
      </c>
      <c r="H227" s="73"/>
      <c r="I227" s="44"/>
      <c r="J227" s="48">
        <f t="shared" si="7"/>
        <v>1</v>
      </c>
      <c r="K227" s="48">
        <f>IFERROR(INDEX(TarrifTable,MATCH(Elements!E227,Constants!$V$4:$V$7,0),MATCH(Elements!F227,Constants!$W$3:$AA$3,0)),0)</f>
        <v>0</v>
      </c>
      <c r="L227" s="68">
        <f t="shared" si="8"/>
        <v>0</v>
      </c>
    </row>
    <row r="228" spans="2:12" x14ac:dyDescent="0.85">
      <c r="B228" s="46">
        <v>221</v>
      </c>
      <c r="C228" s="276"/>
      <c r="D228" s="283"/>
      <c r="E228" s="10"/>
      <c r="F228" s="10"/>
      <c r="G228" s="47">
        <v>1</v>
      </c>
      <c r="H228" s="72"/>
      <c r="I228" s="10"/>
      <c r="J228" s="46">
        <f t="shared" si="7"/>
        <v>1</v>
      </c>
      <c r="K228" s="46">
        <f>IFERROR(INDEX(TarrifTable,MATCH(Elements!E228,Constants!$V$4:$V$7,0),MATCH(Elements!F228,Constants!$W$3:$AA$3,0)),0)</f>
        <v>0</v>
      </c>
      <c r="L228" s="69">
        <f t="shared" si="8"/>
        <v>0</v>
      </c>
    </row>
    <row r="229" spans="2:12" x14ac:dyDescent="0.85">
      <c r="B229" s="48">
        <v>222</v>
      </c>
      <c r="C229" s="277"/>
      <c r="D229" s="284"/>
      <c r="E229" s="44"/>
      <c r="F229" s="44"/>
      <c r="G229" s="49">
        <v>1</v>
      </c>
      <c r="H229" s="73"/>
      <c r="I229" s="44"/>
      <c r="J229" s="48">
        <f t="shared" si="7"/>
        <v>1</v>
      </c>
      <c r="K229" s="48">
        <f>IFERROR(INDEX(TarrifTable,MATCH(Elements!E229,Constants!$V$4:$V$7,0),MATCH(Elements!F229,Constants!$W$3:$AA$3,0)),0)</f>
        <v>0</v>
      </c>
      <c r="L229" s="68">
        <f t="shared" si="8"/>
        <v>0</v>
      </c>
    </row>
    <row r="230" spans="2:12" x14ac:dyDescent="0.85">
      <c r="B230" s="46">
        <v>223</v>
      </c>
      <c r="C230" s="276"/>
      <c r="D230" s="283"/>
      <c r="E230" s="10"/>
      <c r="F230" s="10"/>
      <c r="G230" s="47">
        <v>1</v>
      </c>
      <c r="H230" s="72"/>
      <c r="I230" s="10"/>
      <c r="J230" s="46">
        <f t="shared" si="7"/>
        <v>1</v>
      </c>
      <c r="K230" s="46">
        <f>IFERROR(INDEX(TarrifTable,MATCH(Elements!E230,Constants!$V$4:$V$7,0),MATCH(Elements!F230,Constants!$W$3:$AA$3,0)),0)</f>
        <v>0</v>
      </c>
      <c r="L230" s="69">
        <f t="shared" si="8"/>
        <v>0</v>
      </c>
    </row>
    <row r="231" spans="2:12" x14ac:dyDescent="0.85">
      <c r="B231" s="48">
        <v>224</v>
      </c>
      <c r="C231" s="277"/>
      <c r="D231" s="284"/>
      <c r="E231" s="44"/>
      <c r="F231" s="44"/>
      <c r="G231" s="49">
        <v>1</v>
      </c>
      <c r="H231" s="73"/>
      <c r="I231" s="44"/>
      <c r="J231" s="48">
        <f t="shared" si="7"/>
        <v>1</v>
      </c>
      <c r="K231" s="48">
        <f>IFERROR(INDEX(TarrifTable,MATCH(Elements!E231,Constants!$V$4:$V$7,0),MATCH(Elements!F231,Constants!$W$3:$AA$3,0)),0)</f>
        <v>0</v>
      </c>
      <c r="L231" s="68">
        <f t="shared" si="8"/>
        <v>0</v>
      </c>
    </row>
    <row r="232" spans="2:12" x14ac:dyDescent="0.85">
      <c r="B232" s="46">
        <v>225</v>
      </c>
      <c r="C232" s="276"/>
      <c r="D232" s="283"/>
      <c r="E232" s="10"/>
      <c r="F232" s="10"/>
      <c r="G232" s="47">
        <v>1</v>
      </c>
      <c r="H232" s="72"/>
      <c r="I232" s="10"/>
      <c r="J232" s="46">
        <f t="shared" si="7"/>
        <v>1</v>
      </c>
      <c r="K232" s="46">
        <f>IFERROR(INDEX(TarrifTable,MATCH(Elements!E232,Constants!$V$4:$V$7,0),MATCH(Elements!F232,Constants!$W$3:$AA$3,0)),0)</f>
        <v>0</v>
      </c>
      <c r="L232" s="69">
        <f t="shared" si="8"/>
        <v>0</v>
      </c>
    </row>
    <row r="233" spans="2:12" x14ac:dyDescent="0.85">
      <c r="B233" s="48">
        <v>226</v>
      </c>
      <c r="C233" s="277"/>
      <c r="D233" s="284"/>
      <c r="E233" s="44"/>
      <c r="F233" s="44"/>
      <c r="G233" s="49">
        <v>1</v>
      </c>
      <c r="H233" s="73"/>
      <c r="I233" s="44"/>
      <c r="J233" s="48">
        <f t="shared" si="7"/>
        <v>1</v>
      </c>
      <c r="K233" s="48">
        <f>IFERROR(INDEX(TarrifTable,MATCH(Elements!E233,Constants!$V$4:$V$7,0),MATCH(Elements!F233,Constants!$W$3:$AA$3,0)),0)</f>
        <v>0</v>
      </c>
      <c r="L233" s="68">
        <f t="shared" si="8"/>
        <v>0</v>
      </c>
    </row>
    <row r="234" spans="2:12" x14ac:dyDescent="0.85">
      <c r="B234" s="46">
        <v>227</v>
      </c>
      <c r="C234" s="276"/>
      <c r="D234" s="283"/>
      <c r="E234" s="10"/>
      <c r="F234" s="10"/>
      <c r="G234" s="47">
        <v>1</v>
      </c>
      <c r="H234" s="72"/>
      <c r="I234" s="10"/>
      <c r="J234" s="46">
        <f t="shared" si="7"/>
        <v>1</v>
      </c>
      <c r="K234" s="46">
        <f>IFERROR(INDEX(TarrifTable,MATCH(Elements!E234,Constants!$V$4:$V$7,0),MATCH(Elements!F234,Constants!$W$3:$AA$3,0)),0)</f>
        <v>0</v>
      </c>
      <c r="L234" s="69">
        <f t="shared" si="8"/>
        <v>0</v>
      </c>
    </row>
    <row r="235" spans="2:12" x14ac:dyDescent="0.85">
      <c r="B235" s="48">
        <v>228</v>
      </c>
      <c r="C235" s="277"/>
      <c r="D235" s="284"/>
      <c r="E235" s="44"/>
      <c r="F235" s="44"/>
      <c r="G235" s="49">
        <v>1</v>
      </c>
      <c r="H235" s="73"/>
      <c r="I235" s="44"/>
      <c r="J235" s="48">
        <f t="shared" si="7"/>
        <v>1</v>
      </c>
      <c r="K235" s="48">
        <f>IFERROR(INDEX(TarrifTable,MATCH(Elements!E235,Constants!$V$4:$V$7,0),MATCH(Elements!F235,Constants!$W$3:$AA$3,0)),0)</f>
        <v>0</v>
      </c>
      <c r="L235" s="68">
        <f t="shared" si="8"/>
        <v>0</v>
      </c>
    </row>
    <row r="236" spans="2:12" x14ac:dyDescent="0.85">
      <c r="B236" s="46">
        <v>229</v>
      </c>
      <c r="C236" s="276"/>
      <c r="D236" s="283"/>
      <c r="E236" s="10"/>
      <c r="F236" s="10"/>
      <c r="G236" s="47">
        <v>1</v>
      </c>
      <c r="H236" s="72"/>
      <c r="I236" s="10"/>
      <c r="J236" s="46">
        <f t="shared" si="7"/>
        <v>1</v>
      </c>
      <c r="K236" s="46">
        <f>IFERROR(INDEX(TarrifTable,MATCH(Elements!E236,Constants!$V$4:$V$7,0),MATCH(Elements!F236,Constants!$W$3:$AA$3,0)),0)</f>
        <v>0</v>
      </c>
      <c r="L236" s="69">
        <f t="shared" si="8"/>
        <v>0</v>
      </c>
    </row>
    <row r="237" spans="2:12" x14ac:dyDescent="0.85">
      <c r="B237" s="48">
        <v>230</v>
      </c>
      <c r="C237" s="277"/>
      <c r="D237" s="284"/>
      <c r="E237" s="44"/>
      <c r="F237" s="44"/>
      <c r="G237" s="49">
        <v>1</v>
      </c>
      <c r="H237" s="73"/>
      <c r="I237" s="44"/>
      <c r="J237" s="48">
        <f t="shared" si="7"/>
        <v>1</v>
      </c>
      <c r="K237" s="48">
        <f>IFERROR(INDEX(TarrifTable,MATCH(Elements!E237,Constants!$V$4:$V$7,0),MATCH(Elements!F237,Constants!$W$3:$AA$3,0)),0)</f>
        <v>0</v>
      </c>
      <c r="L237" s="68">
        <f t="shared" si="8"/>
        <v>0</v>
      </c>
    </row>
    <row r="238" spans="2:12" x14ac:dyDescent="0.85">
      <c r="B238" s="46">
        <v>231</v>
      </c>
      <c r="C238" s="276"/>
      <c r="D238" s="283"/>
      <c r="E238" s="10"/>
      <c r="F238" s="10"/>
      <c r="G238" s="47">
        <v>1</v>
      </c>
      <c r="H238" s="72"/>
      <c r="I238" s="10"/>
      <c r="J238" s="46">
        <f t="shared" si="7"/>
        <v>1</v>
      </c>
      <c r="K238" s="46">
        <f>IFERROR(INDEX(TarrifTable,MATCH(Elements!E238,Constants!$V$4:$V$7,0),MATCH(Elements!F238,Constants!$W$3:$AA$3,0)),0)</f>
        <v>0</v>
      </c>
      <c r="L238" s="69">
        <f t="shared" si="8"/>
        <v>0</v>
      </c>
    </row>
    <row r="239" spans="2:12" x14ac:dyDescent="0.85">
      <c r="B239" s="48">
        <v>232</v>
      </c>
      <c r="C239" s="277"/>
      <c r="D239" s="284"/>
      <c r="E239" s="44"/>
      <c r="F239" s="44"/>
      <c r="G239" s="49">
        <v>1</v>
      </c>
      <c r="H239" s="73"/>
      <c r="I239" s="44"/>
      <c r="J239" s="48">
        <f t="shared" si="7"/>
        <v>1</v>
      </c>
      <c r="K239" s="48">
        <f>IFERROR(INDEX(TarrifTable,MATCH(Elements!E239,Constants!$V$4:$V$7,0),MATCH(Elements!F239,Constants!$W$3:$AA$3,0)),0)</f>
        <v>0</v>
      </c>
      <c r="L239" s="68">
        <f t="shared" si="8"/>
        <v>0</v>
      </c>
    </row>
    <row r="240" spans="2:12" x14ac:dyDescent="0.85">
      <c r="B240" s="46">
        <v>233</v>
      </c>
      <c r="C240" s="276"/>
      <c r="D240" s="283"/>
      <c r="E240" s="10"/>
      <c r="F240" s="10"/>
      <c r="G240" s="47">
        <v>1</v>
      </c>
      <c r="H240" s="72"/>
      <c r="I240" s="10"/>
      <c r="J240" s="46">
        <f t="shared" si="7"/>
        <v>1</v>
      </c>
      <c r="K240" s="46">
        <f>IFERROR(INDEX(TarrifTable,MATCH(Elements!E240,Constants!$V$4:$V$7,0),MATCH(Elements!F240,Constants!$W$3:$AA$3,0)),0)</f>
        <v>0</v>
      </c>
      <c r="L240" s="69">
        <f t="shared" si="8"/>
        <v>0</v>
      </c>
    </row>
    <row r="241" spans="2:12" x14ac:dyDescent="0.85">
      <c r="B241" s="48">
        <v>234</v>
      </c>
      <c r="C241" s="277"/>
      <c r="D241" s="284"/>
      <c r="E241" s="44"/>
      <c r="F241" s="44"/>
      <c r="G241" s="49">
        <v>1</v>
      </c>
      <c r="H241" s="73"/>
      <c r="I241" s="44"/>
      <c r="J241" s="48">
        <f t="shared" si="7"/>
        <v>1</v>
      </c>
      <c r="K241" s="48">
        <f>IFERROR(INDEX(TarrifTable,MATCH(Elements!E241,Constants!$V$4:$V$7,0),MATCH(Elements!F241,Constants!$W$3:$AA$3,0)),0)</f>
        <v>0</v>
      </c>
      <c r="L241" s="68">
        <f t="shared" si="8"/>
        <v>0</v>
      </c>
    </row>
    <row r="242" spans="2:12" x14ac:dyDescent="0.85">
      <c r="B242" s="46">
        <v>235</v>
      </c>
      <c r="C242" s="276"/>
      <c r="D242" s="283"/>
      <c r="E242" s="10"/>
      <c r="F242" s="10"/>
      <c r="G242" s="47">
        <v>1</v>
      </c>
      <c r="H242" s="72"/>
      <c r="I242" s="10"/>
      <c r="J242" s="46">
        <f t="shared" si="7"/>
        <v>1</v>
      </c>
      <c r="K242" s="46">
        <f>IFERROR(INDEX(TarrifTable,MATCH(Elements!E242,Constants!$V$4:$V$7,0),MATCH(Elements!F242,Constants!$W$3:$AA$3,0)),0)</f>
        <v>0</v>
      </c>
      <c r="L242" s="69">
        <f t="shared" si="8"/>
        <v>0</v>
      </c>
    </row>
    <row r="243" spans="2:12" x14ac:dyDescent="0.85">
      <c r="B243" s="48">
        <v>236</v>
      </c>
      <c r="C243" s="277"/>
      <c r="D243" s="284"/>
      <c r="E243" s="44"/>
      <c r="F243" s="44"/>
      <c r="G243" s="49">
        <v>1</v>
      </c>
      <c r="H243" s="73"/>
      <c r="I243" s="44"/>
      <c r="J243" s="48">
        <f t="shared" si="7"/>
        <v>1</v>
      </c>
      <c r="K243" s="48">
        <f>IFERROR(INDEX(TarrifTable,MATCH(Elements!E243,Constants!$V$4:$V$7,0),MATCH(Elements!F243,Constants!$W$3:$AA$3,0)),0)</f>
        <v>0</v>
      </c>
      <c r="L243" s="68">
        <f t="shared" si="8"/>
        <v>0</v>
      </c>
    </row>
    <row r="244" spans="2:12" x14ac:dyDescent="0.85">
      <c r="B244" s="46">
        <v>237</v>
      </c>
      <c r="C244" s="276"/>
      <c r="D244" s="283"/>
      <c r="E244" s="10"/>
      <c r="F244" s="10"/>
      <c r="G244" s="47">
        <v>1</v>
      </c>
      <c r="H244" s="72"/>
      <c r="I244" s="10"/>
      <c r="J244" s="46">
        <f t="shared" si="7"/>
        <v>1</v>
      </c>
      <c r="K244" s="46">
        <f>IFERROR(INDEX(TarrifTable,MATCH(Elements!E244,Constants!$V$4:$V$7,0),MATCH(Elements!F244,Constants!$W$3:$AA$3,0)),0)</f>
        <v>0</v>
      </c>
      <c r="L244" s="69">
        <f t="shared" si="8"/>
        <v>0</v>
      </c>
    </row>
    <row r="245" spans="2:12" x14ac:dyDescent="0.85">
      <c r="B245" s="48">
        <v>238</v>
      </c>
      <c r="C245" s="277"/>
      <c r="D245" s="284"/>
      <c r="E245" s="44"/>
      <c r="F245" s="44"/>
      <c r="G245" s="49">
        <v>1</v>
      </c>
      <c r="H245" s="73"/>
      <c r="I245" s="44"/>
      <c r="J245" s="48">
        <f t="shared" si="7"/>
        <v>1</v>
      </c>
      <c r="K245" s="48">
        <f>IFERROR(INDEX(TarrifTable,MATCH(Elements!E245,Constants!$V$4:$V$7,0),MATCH(Elements!F245,Constants!$W$3:$AA$3,0)),0)</f>
        <v>0</v>
      </c>
      <c r="L245" s="68">
        <f t="shared" si="8"/>
        <v>0</v>
      </c>
    </row>
    <row r="246" spans="2:12" x14ac:dyDescent="0.85">
      <c r="B246" s="46">
        <v>239</v>
      </c>
      <c r="C246" s="276"/>
      <c r="D246" s="283"/>
      <c r="E246" s="10"/>
      <c r="F246" s="10"/>
      <c r="G246" s="47">
        <v>1</v>
      </c>
      <c r="H246" s="72"/>
      <c r="I246" s="10"/>
      <c r="J246" s="46">
        <f t="shared" si="7"/>
        <v>1</v>
      </c>
      <c r="K246" s="46">
        <f>IFERROR(INDEX(TarrifTable,MATCH(Elements!E246,Constants!$V$4:$V$7,0),MATCH(Elements!F246,Constants!$W$3:$AA$3,0)),0)</f>
        <v>0</v>
      </c>
      <c r="L246" s="69">
        <f t="shared" si="8"/>
        <v>0</v>
      </c>
    </row>
    <row r="247" spans="2:12" x14ac:dyDescent="0.85">
      <c r="B247" s="48">
        <v>240</v>
      </c>
      <c r="C247" s="277"/>
      <c r="D247" s="284"/>
      <c r="E247" s="44"/>
      <c r="F247" s="44"/>
      <c r="G247" s="49">
        <v>1</v>
      </c>
      <c r="H247" s="73"/>
      <c r="I247" s="44"/>
      <c r="J247" s="48">
        <f t="shared" si="7"/>
        <v>1</v>
      </c>
      <c r="K247" s="48">
        <f>IFERROR(INDEX(TarrifTable,MATCH(Elements!E247,Constants!$V$4:$V$7,0),MATCH(Elements!F247,Constants!$W$3:$AA$3,0)),0)</f>
        <v>0</v>
      </c>
      <c r="L247" s="68">
        <f t="shared" si="8"/>
        <v>0</v>
      </c>
    </row>
    <row r="248" spans="2:12" x14ac:dyDescent="0.85">
      <c r="B248" s="46">
        <v>241</v>
      </c>
      <c r="C248" s="276"/>
      <c r="D248" s="283"/>
      <c r="E248" s="10"/>
      <c r="F248" s="10"/>
      <c r="G248" s="47">
        <v>1</v>
      </c>
      <c r="H248" s="72"/>
      <c r="I248" s="10"/>
      <c r="J248" s="46">
        <f t="shared" si="7"/>
        <v>1</v>
      </c>
      <c r="K248" s="46">
        <f>IFERROR(INDEX(TarrifTable,MATCH(Elements!E248,Constants!$V$4:$V$7,0),MATCH(Elements!F248,Constants!$W$3:$AA$3,0)),0)</f>
        <v>0</v>
      </c>
      <c r="L248" s="69">
        <f t="shared" si="8"/>
        <v>0</v>
      </c>
    </row>
    <row r="249" spans="2:12" x14ac:dyDescent="0.85">
      <c r="B249" s="48">
        <v>242</v>
      </c>
      <c r="C249" s="277"/>
      <c r="D249" s="284"/>
      <c r="E249" s="44"/>
      <c r="F249" s="44"/>
      <c r="G249" s="49">
        <v>1</v>
      </c>
      <c r="H249" s="73"/>
      <c r="I249" s="44"/>
      <c r="J249" s="48">
        <f t="shared" si="7"/>
        <v>1</v>
      </c>
      <c r="K249" s="48">
        <f>IFERROR(INDEX(TarrifTable,MATCH(Elements!E249,Constants!$V$4:$V$7,0),MATCH(Elements!F249,Constants!$W$3:$AA$3,0)),0)</f>
        <v>0</v>
      </c>
      <c r="L249" s="68">
        <f t="shared" si="8"/>
        <v>0</v>
      </c>
    </row>
    <row r="250" spans="2:12" x14ac:dyDescent="0.85">
      <c r="B250" s="46">
        <v>243</v>
      </c>
      <c r="C250" s="276"/>
      <c r="D250" s="283"/>
      <c r="E250" s="10"/>
      <c r="F250" s="10"/>
      <c r="G250" s="47">
        <v>1</v>
      </c>
      <c r="H250" s="72"/>
      <c r="I250" s="10"/>
      <c r="J250" s="46">
        <f t="shared" si="7"/>
        <v>1</v>
      </c>
      <c r="K250" s="46">
        <f>IFERROR(INDEX(TarrifTable,MATCH(Elements!E250,Constants!$V$4:$V$7,0),MATCH(Elements!F250,Constants!$W$3:$AA$3,0)),0)</f>
        <v>0</v>
      </c>
      <c r="L250" s="69">
        <f t="shared" si="8"/>
        <v>0</v>
      </c>
    </row>
    <row r="251" spans="2:12" x14ac:dyDescent="0.85">
      <c r="B251" s="48">
        <v>244</v>
      </c>
      <c r="C251" s="277"/>
      <c r="D251" s="284"/>
      <c r="E251" s="44"/>
      <c r="F251" s="44"/>
      <c r="G251" s="49">
        <v>1</v>
      </c>
      <c r="H251" s="73"/>
      <c r="I251" s="44"/>
      <c r="J251" s="48">
        <f t="shared" si="7"/>
        <v>1</v>
      </c>
      <c r="K251" s="48">
        <f>IFERROR(INDEX(TarrifTable,MATCH(Elements!E251,Constants!$V$4:$V$7,0),MATCH(Elements!F251,Constants!$W$3:$AA$3,0)),0)</f>
        <v>0</v>
      </c>
      <c r="L251" s="68">
        <f t="shared" si="8"/>
        <v>0</v>
      </c>
    </row>
    <row r="252" spans="2:12" x14ac:dyDescent="0.85">
      <c r="B252" s="46">
        <v>245</v>
      </c>
      <c r="C252" s="276"/>
      <c r="D252" s="283"/>
      <c r="E252" s="10"/>
      <c r="F252" s="10"/>
      <c r="G252" s="47">
        <v>1</v>
      </c>
      <c r="H252" s="72"/>
      <c r="I252" s="10"/>
      <c r="J252" s="46">
        <f t="shared" si="7"/>
        <v>1</v>
      </c>
      <c r="K252" s="46">
        <f>IFERROR(INDEX(TarrifTable,MATCH(Elements!E252,Constants!$V$4:$V$7,0),MATCH(Elements!F252,Constants!$W$3:$AA$3,0)),0)</f>
        <v>0</v>
      </c>
      <c r="L252" s="69">
        <f t="shared" si="8"/>
        <v>0</v>
      </c>
    </row>
    <row r="253" spans="2:12" x14ac:dyDescent="0.85">
      <c r="B253" s="48">
        <v>246</v>
      </c>
      <c r="C253" s="277"/>
      <c r="D253" s="284"/>
      <c r="E253" s="44"/>
      <c r="F253" s="44"/>
      <c r="G253" s="49">
        <v>1</v>
      </c>
      <c r="H253" s="73"/>
      <c r="I253" s="44"/>
      <c r="J253" s="48">
        <f t="shared" si="7"/>
        <v>1</v>
      </c>
      <c r="K253" s="48">
        <f>IFERROR(INDEX(TarrifTable,MATCH(Elements!E253,Constants!$V$4:$V$7,0),MATCH(Elements!F253,Constants!$W$3:$AA$3,0)),0)</f>
        <v>0</v>
      </c>
      <c r="L253" s="68">
        <f t="shared" si="8"/>
        <v>0</v>
      </c>
    </row>
    <row r="254" spans="2:12" x14ac:dyDescent="0.85">
      <c r="B254" s="46">
        <v>247</v>
      </c>
      <c r="C254" s="276"/>
      <c r="D254" s="283"/>
      <c r="E254" s="10"/>
      <c r="F254" s="10"/>
      <c r="G254" s="47">
        <v>1</v>
      </c>
      <c r="H254" s="72"/>
      <c r="I254" s="10"/>
      <c r="J254" s="46">
        <f t="shared" si="7"/>
        <v>1</v>
      </c>
      <c r="K254" s="46">
        <f>IFERROR(INDEX(TarrifTable,MATCH(Elements!E254,Constants!$V$4:$V$7,0),MATCH(Elements!F254,Constants!$W$3:$AA$3,0)),0)</f>
        <v>0</v>
      </c>
      <c r="L254" s="69">
        <f t="shared" si="8"/>
        <v>0</v>
      </c>
    </row>
    <row r="255" spans="2:12" x14ac:dyDescent="0.85">
      <c r="B255" s="48">
        <v>248</v>
      </c>
      <c r="C255" s="277"/>
      <c r="D255" s="284"/>
      <c r="E255" s="44"/>
      <c r="F255" s="44"/>
      <c r="G255" s="49">
        <v>1</v>
      </c>
      <c r="H255" s="73"/>
      <c r="I255" s="44"/>
      <c r="J255" s="48">
        <f t="shared" si="7"/>
        <v>1</v>
      </c>
      <c r="K255" s="48">
        <f>IFERROR(INDEX(TarrifTable,MATCH(Elements!E255,Constants!$V$4:$V$7,0),MATCH(Elements!F255,Constants!$W$3:$AA$3,0)),0)</f>
        <v>0</v>
      </c>
      <c r="L255" s="68">
        <f t="shared" si="8"/>
        <v>0</v>
      </c>
    </row>
    <row r="256" spans="2:12" x14ac:dyDescent="0.85">
      <c r="B256" s="46">
        <v>249</v>
      </c>
      <c r="C256" s="276"/>
      <c r="D256" s="283"/>
      <c r="E256" s="10"/>
      <c r="F256" s="10"/>
      <c r="G256" s="47">
        <v>1</v>
      </c>
      <c r="H256" s="72"/>
      <c r="I256" s="10"/>
      <c r="J256" s="46">
        <f t="shared" si="7"/>
        <v>1</v>
      </c>
      <c r="K256" s="46">
        <f>IFERROR(INDEX(TarrifTable,MATCH(Elements!E256,Constants!$V$4:$V$7,0),MATCH(Elements!F256,Constants!$W$3:$AA$3,0)),0)</f>
        <v>0</v>
      </c>
      <c r="L256" s="69">
        <f t="shared" si="8"/>
        <v>0</v>
      </c>
    </row>
    <row r="257" spans="2:12" x14ac:dyDescent="0.85">
      <c r="B257" s="48">
        <v>250</v>
      </c>
      <c r="C257" s="277"/>
      <c r="D257" s="284"/>
      <c r="E257" s="44"/>
      <c r="F257" s="44"/>
      <c r="G257" s="49">
        <v>1</v>
      </c>
      <c r="H257" s="73"/>
      <c r="I257" s="44"/>
      <c r="J257" s="48">
        <f t="shared" si="7"/>
        <v>1</v>
      </c>
      <c r="K257" s="48">
        <f>IFERROR(INDEX(TarrifTable,MATCH(Elements!E257,Constants!$V$4:$V$7,0),MATCH(Elements!F257,Constants!$W$3:$AA$3,0)),0)</f>
        <v>0</v>
      </c>
      <c r="L257" s="68">
        <f t="shared" si="8"/>
        <v>0</v>
      </c>
    </row>
    <row r="258" spans="2:12" x14ac:dyDescent="0.85">
      <c r="B258" s="46">
        <v>251</v>
      </c>
      <c r="C258" s="276"/>
      <c r="D258" s="283"/>
      <c r="E258" s="10"/>
      <c r="F258" s="10"/>
      <c r="G258" s="47">
        <v>1</v>
      </c>
      <c r="H258" s="72"/>
      <c r="I258" s="10"/>
      <c r="J258" s="46">
        <f t="shared" si="7"/>
        <v>1</v>
      </c>
      <c r="K258" s="46">
        <f>IFERROR(INDEX(TarrifTable,MATCH(Elements!E258,Constants!$V$4:$V$7,0),MATCH(Elements!F258,Constants!$W$3:$AA$3,0)),0)</f>
        <v>0</v>
      </c>
      <c r="L258" s="69">
        <f t="shared" si="8"/>
        <v>0</v>
      </c>
    </row>
    <row r="259" spans="2:12" x14ac:dyDescent="0.85">
      <c r="B259" s="48">
        <v>252</v>
      </c>
      <c r="C259" s="277"/>
      <c r="D259" s="284"/>
      <c r="E259" s="44"/>
      <c r="F259" s="44"/>
      <c r="G259" s="49">
        <v>1</v>
      </c>
      <c r="H259" s="73"/>
      <c r="I259" s="44"/>
      <c r="J259" s="48">
        <f t="shared" si="7"/>
        <v>1</v>
      </c>
      <c r="K259" s="48">
        <f>IFERROR(INDEX(TarrifTable,MATCH(Elements!E259,Constants!$V$4:$V$7,0),MATCH(Elements!F259,Constants!$W$3:$AA$3,0)),0)</f>
        <v>0</v>
      </c>
      <c r="L259" s="68">
        <f t="shared" si="8"/>
        <v>0</v>
      </c>
    </row>
    <row r="260" spans="2:12" x14ac:dyDescent="0.85">
      <c r="B260" s="46">
        <v>253</v>
      </c>
      <c r="C260" s="276"/>
      <c r="D260" s="283"/>
      <c r="E260" s="10"/>
      <c r="F260" s="10"/>
      <c r="G260" s="47">
        <v>1</v>
      </c>
      <c r="H260" s="72"/>
      <c r="I260" s="10"/>
      <c r="J260" s="46">
        <f t="shared" si="7"/>
        <v>1</v>
      </c>
      <c r="K260" s="46">
        <f>IFERROR(INDEX(TarrifTable,MATCH(Elements!E260,Constants!$V$4:$V$7,0),MATCH(Elements!F260,Constants!$W$3:$AA$3,0)),0)</f>
        <v>0</v>
      </c>
      <c r="L260" s="69">
        <f t="shared" si="8"/>
        <v>0</v>
      </c>
    </row>
    <row r="261" spans="2:12" x14ac:dyDescent="0.85">
      <c r="B261" s="48">
        <v>254</v>
      </c>
      <c r="C261" s="277"/>
      <c r="D261" s="284"/>
      <c r="E261" s="44"/>
      <c r="F261" s="44"/>
      <c r="G261" s="49">
        <v>1</v>
      </c>
      <c r="H261" s="73"/>
      <c r="I261" s="44"/>
      <c r="J261" s="48">
        <f t="shared" si="7"/>
        <v>1</v>
      </c>
      <c r="K261" s="48">
        <f>IFERROR(INDEX(TarrifTable,MATCH(Elements!E261,Constants!$V$4:$V$7,0),MATCH(Elements!F261,Constants!$W$3:$AA$3,0)),0)</f>
        <v>0</v>
      </c>
      <c r="L261" s="68">
        <f t="shared" si="8"/>
        <v>0</v>
      </c>
    </row>
    <row r="262" spans="2:12" x14ac:dyDescent="0.85">
      <c r="B262" s="46">
        <v>255</v>
      </c>
      <c r="C262" s="276"/>
      <c r="D262" s="283"/>
      <c r="E262" s="10"/>
      <c r="F262" s="10"/>
      <c r="G262" s="47">
        <v>1</v>
      </c>
      <c r="H262" s="72"/>
      <c r="I262" s="10"/>
      <c r="J262" s="46">
        <f t="shared" si="7"/>
        <v>1</v>
      </c>
      <c r="K262" s="46">
        <f>IFERROR(INDEX(TarrifTable,MATCH(Elements!E262,Constants!$V$4:$V$7,0),MATCH(Elements!F262,Constants!$W$3:$AA$3,0)),0)</f>
        <v>0</v>
      </c>
      <c r="L262" s="69">
        <f t="shared" si="8"/>
        <v>0</v>
      </c>
    </row>
    <row r="263" spans="2:12" x14ac:dyDescent="0.85">
      <c r="B263" s="48">
        <v>256</v>
      </c>
      <c r="C263" s="277"/>
      <c r="D263" s="284"/>
      <c r="E263" s="44"/>
      <c r="F263" s="44"/>
      <c r="G263" s="49">
        <v>1</v>
      </c>
      <c r="H263" s="73"/>
      <c r="I263" s="44"/>
      <c r="J263" s="48">
        <f t="shared" si="7"/>
        <v>1</v>
      </c>
      <c r="K263" s="48">
        <f>IFERROR(INDEX(TarrifTable,MATCH(Elements!E263,Constants!$V$4:$V$7,0),MATCH(Elements!F263,Constants!$W$3:$AA$3,0)),0)</f>
        <v>0</v>
      </c>
      <c r="L263" s="68">
        <f t="shared" si="8"/>
        <v>0</v>
      </c>
    </row>
    <row r="264" spans="2:12" x14ac:dyDescent="0.85">
      <c r="B264" s="46">
        <v>257</v>
      </c>
      <c r="C264" s="276"/>
      <c r="D264" s="283"/>
      <c r="E264" s="10"/>
      <c r="F264" s="10"/>
      <c r="G264" s="47">
        <v>1</v>
      </c>
      <c r="H264" s="72"/>
      <c r="I264" s="10"/>
      <c r="J264" s="46">
        <f t="shared" ref="J264:J327" si="9">IF(ISBLANK(H264),1,H264)</f>
        <v>1</v>
      </c>
      <c r="K264" s="46">
        <f>IFERROR(INDEX(TarrifTable,MATCH(Elements!E264,Constants!$V$4:$V$7,0),MATCH(Elements!F264,Constants!$W$3:$AA$3,0)),0)</f>
        <v>0</v>
      </c>
      <c r="L264" s="69">
        <f t="shared" ref="L264:L327" si="10">J264*G264*K264</f>
        <v>0</v>
      </c>
    </row>
    <row r="265" spans="2:12" x14ac:dyDescent="0.85">
      <c r="B265" s="48">
        <v>258</v>
      </c>
      <c r="C265" s="277"/>
      <c r="D265" s="284"/>
      <c r="E265" s="44"/>
      <c r="F265" s="44"/>
      <c r="G265" s="49">
        <v>1</v>
      </c>
      <c r="H265" s="73"/>
      <c r="I265" s="44"/>
      <c r="J265" s="48">
        <f t="shared" si="9"/>
        <v>1</v>
      </c>
      <c r="K265" s="48">
        <f>IFERROR(INDEX(TarrifTable,MATCH(Elements!E265,Constants!$V$4:$V$7,0),MATCH(Elements!F265,Constants!$W$3:$AA$3,0)),0)</f>
        <v>0</v>
      </c>
      <c r="L265" s="68">
        <f t="shared" si="10"/>
        <v>0</v>
      </c>
    </row>
    <row r="266" spans="2:12" x14ac:dyDescent="0.85">
      <c r="B266" s="46">
        <v>259</v>
      </c>
      <c r="C266" s="276"/>
      <c r="D266" s="283"/>
      <c r="E266" s="10"/>
      <c r="F266" s="10"/>
      <c r="G266" s="47">
        <v>1</v>
      </c>
      <c r="H266" s="72"/>
      <c r="I266" s="10"/>
      <c r="J266" s="46">
        <f t="shared" si="9"/>
        <v>1</v>
      </c>
      <c r="K266" s="46">
        <f>IFERROR(INDEX(TarrifTable,MATCH(Elements!E266,Constants!$V$4:$V$7,0),MATCH(Elements!F266,Constants!$W$3:$AA$3,0)),0)</f>
        <v>0</v>
      </c>
      <c r="L266" s="69">
        <f t="shared" si="10"/>
        <v>0</v>
      </c>
    </row>
    <row r="267" spans="2:12" x14ac:dyDescent="0.85">
      <c r="B267" s="48">
        <v>260</v>
      </c>
      <c r="C267" s="277"/>
      <c r="D267" s="284"/>
      <c r="E267" s="44"/>
      <c r="F267" s="44"/>
      <c r="G267" s="49">
        <v>1</v>
      </c>
      <c r="H267" s="73"/>
      <c r="I267" s="44"/>
      <c r="J267" s="48">
        <f t="shared" si="9"/>
        <v>1</v>
      </c>
      <c r="K267" s="48">
        <f>IFERROR(INDEX(TarrifTable,MATCH(Elements!E267,Constants!$V$4:$V$7,0),MATCH(Elements!F267,Constants!$W$3:$AA$3,0)),0)</f>
        <v>0</v>
      </c>
      <c r="L267" s="68">
        <f t="shared" si="10"/>
        <v>0</v>
      </c>
    </row>
    <row r="268" spans="2:12" x14ac:dyDescent="0.85">
      <c r="B268" s="46">
        <v>261</v>
      </c>
      <c r="C268" s="276"/>
      <c r="D268" s="283"/>
      <c r="E268" s="10"/>
      <c r="F268" s="10"/>
      <c r="G268" s="47">
        <v>1</v>
      </c>
      <c r="H268" s="72"/>
      <c r="I268" s="10"/>
      <c r="J268" s="46">
        <f t="shared" si="9"/>
        <v>1</v>
      </c>
      <c r="K268" s="46">
        <f>IFERROR(INDEX(TarrifTable,MATCH(Elements!E268,Constants!$V$4:$V$7,0),MATCH(Elements!F268,Constants!$W$3:$AA$3,0)),0)</f>
        <v>0</v>
      </c>
      <c r="L268" s="69">
        <f t="shared" si="10"/>
        <v>0</v>
      </c>
    </row>
    <row r="269" spans="2:12" x14ac:dyDescent="0.85">
      <c r="B269" s="48">
        <v>262</v>
      </c>
      <c r="C269" s="277"/>
      <c r="D269" s="284"/>
      <c r="E269" s="44"/>
      <c r="F269" s="44"/>
      <c r="G269" s="49">
        <v>1</v>
      </c>
      <c r="H269" s="73"/>
      <c r="I269" s="44"/>
      <c r="J269" s="48">
        <f t="shared" si="9"/>
        <v>1</v>
      </c>
      <c r="K269" s="48">
        <f>IFERROR(INDEX(TarrifTable,MATCH(Elements!E269,Constants!$V$4:$V$7,0),MATCH(Elements!F269,Constants!$W$3:$AA$3,0)),0)</f>
        <v>0</v>
      </c>
      <c r="L269" s="68">
        <f t="shared" si="10"/>
        <v>0</v>
      </c>
    </row>
    <row r="270" spans="2:12" x14ac:dyDescent="0.85">
      <c r="B270" s="46">
        <v>263</v>
      </c>
      <c r="C270" s="276"/>
      <c r="D270" s="283"/>
      <c r="E270" s="10"/>
      <c r="F270" s="10"/>
      <c r="G270" s="47">
        <v>1</v>
      </c>
      <c r="H270" s="72"/>
      <c r="I270" s="10"/>
      <c r="J270" s="46">
        <f t="shared" si="9"/>
        <v>1</v>
      </c>
      <c r="K270" s="46">
        <f>IFERROR(INDEX(TarrifTable,MATCH(Elements!E270,Constants!$V$4:$V$7,0),MATCH(Elements!F270,Constants!$W$3:$AA$3,0)),0)</f>
        <v>0</v>
      </c>
      <c r="L270" s="69">
        <f t="shared" si="10"/>
        <v>0</v>
      </c>
    </row>
    <row r="271" spans="2:12" x14ac:dyDescent="0.85">
      <c r="B271" s="48">
        <v>264</v>
      </c>
      <c r="C271" s="277"/>
      <c r="D271" s="284"/>
      <c r="E271" s="44"/>
      <c r="F271" s="44"/>
      <c r="G271" s="49">
        <v>1</v>
      </c>
      <c r="H271" s="73"/>
      <c r="I271" s="44"/>
      <c r="J271" s="48">
        <f t="shared" si="9"/>
        <v>1</v>
      </c>
      <c r="K271" s="48">
        <f>IFERROR(INDEX(TarrifTable,MATCH(Elements!E271,Constants!$V$4:$V$7,0),MATCH(Elements!F271,Constants!$W$3:$AA$3,0)),0)</f>
        <v>0</v>
      </c>
      <c r="L271" s="68">
        <f t="shared" si="10"/>
        <v>0</v>
      </c>
    </row>
    <row r="272" spans="2:12" x14ac:dyDescent="0.85">
      <c r="B272" s="46">
        <v>265</v>
      </c>
      <c r="C272" s="276"/>
      <c r="D272" s="283"/>
      <c r="E272" s="10"/>
      <c r="F272" s="10"/>
      <c r="G272" s="47">
        <v>1</v>
      </c>
      <c r="H272" s="72"/>
      <c r="I272" s="10"/>
      <c r="J272" s="46">
        <f t="shared" si="9"/>
        <v>1</v>
      </c>
      <c r="K272" s="46">
        <f>IFERROR(INDEX(TarrifTable,MATCH(Elements!E272,Constants!$V$4:$V$7,0),MATCH(Elements!F272,Constants!$W$3:$AA$3,0)),0)</f>
        <v>0</v>
      </c>
      <c r="L272" s="69">
        <f t="shared" si="10"/>
        <v>0</v>
      </c>
    </row>
    <row r="273" spans="2:12" x14ac:dyDescent="0.85">
      <c r="B273" s="48">
        <v>266</v>
      </c>
      <c r="C273" s="277"/>
      <c r="D273" s="284"/>
      <c r="E273" s="44"/>
      <c r="F273" s="44"/>
      <c r="G273" s="49">
        <v>1</v>
      </c>
      <c r="H273" s="73"/>
      <c r="I273" s="44"/>
      <c r="J273" s="48">
        <f t="shared" si="9"/>
        <v>1</v>
      </c>
      <c r="K273" s="48">
        <f>IFERROR(INDEX(TarrifTable,MATCH(Elements!E273,Constants!$V$4:$V$7,0),MATCH(Elements!F273,Constants!$W$3:$AA$3,0)),0)</f>
        <v>0</v>
      </c>
      <c r="L273" s="68">
        <f t="shared" si="10"/>
        <v>0</v>
      </c>
    </row>
    <row r="274" spans="2:12" x14ac:dyDescent="0.85">
      <c r="B274" s="46">
        <v>267</v>
      </c>
      <c r="C274" s="276"/>
      <c r="D274" s="283"/>
      <c r="E274" s="10"/>
      <c r="F274" s="10"/>
      <c r="G274" s="47">
        <v>1</v>
      </c>
      <c r="H274" s="72"/>
      <c r="I274" s="10"/>
      <c r="J274" s="46">
        <f t="shared" si="9"/>
        <v>1</v>
      </c>
      <c r="K274" s="46">
        <f>IFERROR(INDEX(TarrifTable,MATCH(Elements!E274,Constants!$V$4:$V$7,0),MATCH(Elements!F274,Constants!$W$3:$AA$3,0)),0)</f>
        <v>0</v>
      </c>
      <c r="L274" s="69">
        <f t="shared" si="10"/>
        <v>0</v>
      </c>
    </row>
    <row r="275" spans="2:12" x14ac:dyDescent="0.85">
      <c r="B275" s="48">
        <v>268</v>
      </c>
      <c r="C275" s="277"/>
      <c r="D275" s="284"/>
      <c r="E275" s="44"/>
      <c r="F275" s="44"/>
      <c r="G275" s="49">
        <v>1</v>
      </c>
      <c r="H275" s="73"/>
      <c r="I275" s="44"/>
      <c r="J275" s="48">
        <f t="shared" si="9"/>
        <v>1</v>
      </c>
      <c r="K275" s="48">
        <f>IFERROR(INDEX(TarrifTable,MATCH(Elements!E275,Constants!$V$4:$V$7,0),MATCH(Elements!F275,Constants!$W$3:$AA$3,0)),0)</f>
        <v>0</v>
      </c>
      <c r="L275" s="68">
        <f t="shared" si="10"/>
        <v>0</v>
      </c>
    </row>
    <row r="276" spans="2:12" x14ac:dyDescent="0.85">
      <c r="B276" s="46">
        <v>269</v>
      </c>
      <c r="C276" s="276"/>
      <c r="D276" s="283"/>
      <c r="E276" s="10"/>
      <c r="F276" s="10"/>
      <c r="G276" s="47">
        <v>1</v>
      </c>
      <c r="H276" s="72"/>
      <c r="I276" s="10"/>
      <c r="J276" s="46">
        <f t="shared" si="9"/>
        <v>1</v>
      </c>
      <c r="K276" s="46">
        <f>IFERROR(INDEX(TarrifTable,MATCH(Elements!E276,Constants!$V$4:$V$7,0),MATCH(Elements!F276,Constants!$W$3:$AA$3,0)),0)</f>
        <v>0</v>
      </c>
      <c r="L276" s="69">
        <f t="shared" si="10"/>
        <v>0</v>
      </c>
    </row>
    <row r="277" spans="2:12" x14ac:dyDescent="0.85">
      <c r="B277" s="48">
        <v>270</v>
      </c>
      <c r="C277" s="277"/>
      <c r="D277" s="284"/>
      <c r="E277" s="44"/>
      <c r="F277" s="44"/>
      <c r="G277" s="49">
        <v>1</v>
      </c>
      <c r="H277" s="73"/>
      <c r="I277" s="44"/>
      <c r="J277" s="48">
        <f t="shared" si="9"/>
        <v>1</v>
      </c>
      <c r="K277" s="48">
        <f>IFERROR(INDEX(TarrifTable,MATCH(Elements!E277,Constants!$V$4:$V$7,0),MATCH(Elements!F277,Constants!$W$3:$AA$3,0)),0)</f>
        <v>0</v>
      </c>
      <c r="L277" s="68">
        <f t="shared" si="10"/>
        <v>0</v>
      </c>
    </row>
    <row r="278" spans="2:12" x14ac:dyDescent="0.85">
      <c r="B278" s="46">
        <v>271</v>
      </c>
      <c r="C278" s="276"/>
      <c r="D278" s="283"/>
      <c r="E278" s="10"/>
      <c r="F278" s="10"/>
      <c r="G278" s="47">
        <v>1</v>
      </c>
      <c r="H278" s="72"/>
      <c r="I278" s="10"/>
      <c r="J278" s="46">
        <f t="shared" si="9"/>
        <v>1</v>
      </c>
      <c r="K278" s="46">
        <f>IFERROR(INDEX(TarrifTable,MATCH(Elements!E278,Constants!$V$4:$V$7,0),MATCH(Elements!F278,Constants!$W$3:$AA$3,0)),0)</f>
        <v>0</v>
      </c>
      <c r="L278" s="69">
        <f t="shared" si="10"/>
        <v>0</v>
      </c>
    </row>
    <row r="279" spans="2:12" x14ac:dyDescent="0.85">
      <c r="B279" s="48">
        <v>272</v>
      </c>
      <c r="C279" s="277"/>
      <c r="D279" s="284"/>
      <c r="E279" s="44"/>
      <c r="F279" s="44"/>
      <c r="G279" s="49">
        <v>1</v>
      </c>
      <c r="H279" s="73"/>
      <c r="I279" s="44"/>
      <c r="J279" s="48">
        <f t="shared" si="9"/>
        <v>1</v>
      </c>
      <c r="K279" s="48">
        <f>IFERROR(INDEX(TarrifTable,MATCH(Elements!E279,Constants!$V$4:$V$7,0),MATCH(Elements!F279,Constants!$W$3:$AA$3,0)),0)</f>
        <v>0</v>
      </c>
      <c r="L279" s="68">
        <f t="shared" si="10"/>
        <v>0</v>
      </c>
    </row>
    <row r="280" spans="2:12" x14ac:dyDescent="0.85">
      <c r="B280" s="46">
        <v>273</v>
      </c>
      <c r="C280" s="276"/>
      <c r="D280" s="283"/>
      <c r="E280" s="10"/>
      <c r="F280" s="10"/>
      <c r="G280" s="47">
        <v>1</v>
      </c>
      <c r="H280" s="72"/>
      <c r="I280" s="10"/>
      <c r="J280" s="46">
        <f t="shared" si="9"/>
        <v>1</v>
      </c>
      <c r="K280" s="46">
        <f>IFERROR(INDEX(TarrifTable,MATCH(Elements!E280,Constants!$V$4:$V$7,0),MATCH(Elements!F280,Constants!$W$3:$AA$3,0)),0)</f>
        <v>0</v>
      </c>
      <c r="L280" s="69">
        <f t="shared" si="10"/>
        <v>0</v>
      </c>
    </row>
    <row r="281" spans="2:12" x14ac:dyDescent="0.85">
      <c r="B281" s="48">
        <v>274</v>
      </c>
      <c r="C281" s="277"/>
      <c r="D281" s="284"/>
      <c r="E281" s="44"/>
      <c r="F281" s="44"/>
      <c r="G281" s="49">
        <v>1</v>
      </c>
      <c r="H281" s="73"/>
      <c r="I281" s="44"/>
      <c r="J281" s="48">
        <f t="shared" si="9"/>
        <v>1</v>
      </c>
      <c r="K281" s="48">
        <f>IFERROR(INDEX(TarrifTable,MATCH(Elements!E281,Constants!$V$4:$V$7,0),MATCH(Elements!F281,Constants!$W$3:$AA$3,0)),0)</f>
        <v>0</v>
      </c>
      <c r="L281" s="68">
        <f t="shared" si="10"/>
        <v>0</v>
      </c>
    </row>
    <row r="282" spans="2:12" x14ac:dyDescent="0.85">
      <c r="B282" s="46">
        <v>275</v>
      </c>
      <c r="C282" s="276"/>
      <c r="D282" s="283"/>
      <c r="E282" s="10"/>
      <c r="F282" s="10"/>
      <c r="G282" s="47">
        <v>1</v>
      </c>
      <c r="H282" s="72"/>
      <c r="I282" s="10"/>
      <c r="J282" s="46">
        <f t="shared" si="9"/>
        <v>1</v>
      </c>
      <c r="K282" s="46">
        <f>IFERROR(INDEX(TarrifTable,MATCH(Elements!E282,Constants!$V$4:$V$7,0),MATCH(Elements!F282,Constants!$W$3:$AA$3,0)),0)</f>
        <v>0</v>
      </c>
      <c r="L282" s="69">
        <f t="shared" si="10"/>
        <v>0</v>
      </c>
    </row>
    <row r="283" spans="2:12" x14ac:dyDescent="0.85">
      <c r="B283" s="48">
        <v>276</v>
      </c>
      <c r="C283" s="277"/>
      <c r="D283" s="284"/>
      <c r="E283" s="44"/>
      <c r="F283" s="44"/>
      <c r="G283" s="49">
        <v>1</v>
      </c>
      <c r="H283" s="73"/>
      <c r="I283" s="44"/>
      <c r="J283" s="48">
        <f t="shared" si="9"/>
        <v>1</v>
      </c>
      <c r="K283" s="48">
        <f>IFERROR(INDEX(TarrifTable,MATCH(Elements!E283,Constants!$V$4:$V$7,0),MATCH(Elements!F283,Constants!$W$3:$AA$3,0)),0)</f>
        <v>0</v>
      </c>
      <c r="L283" s="68">
        <f t="shared" si="10"/>
        <v>0</v>
      </c>
    </row>
    <row r="284" spans="2:12" x14ac:dyDescent="0.85">
      <c r="B284" s="46">
        <v>277</v>
      </c>
      <c r="C284" s="276"/>
      <c r="D284" s="283"/>
      <c r="E284" s="10"/>
      <c r="F284" s="10"/>
      <c r="G284" s="47">
        <v>1</v>
      </c>
      <c r="H284" s="72"/>
      <c r="I284" s="10"/>
      <c r="J284" s="46">
        <f t="shared" si="9"/>
        <v>1</v>
      </c>
      <c r="K284" s="46">
        <f>IFERROR(INDEX(TarrifTable,MATCH(Elements!E284,Constants!$V$4:$V$7,0),MATCH(Elements!F284,Constants!$W$3:$AA$3,0)),0)</f>
        <v>0</v>
      </c>
      <c r="L284" s="69">
        <f t="shared" si="10"/>
        <v>0</v>
      </c>
    </row>
    <row r="285" spans="2:12" x14ac:dyDescent="0.85">
      <c r="B285" s="48">
        <v>278</v>
      </c>
      <c r="C285" s="277"/>
      <c r="D285" s="284"/>
      <c r="E285" s="44"/>
      <c r="F285" s="44"/>
      <c r="G285" s="49">
        <v>1</v>
      </c>
      <c r="H285" s="73"/>
      <c r="I285" s="44"/>
      <c r="J285" s="48">
        <f t="shared" si="9"/>
        <v>1</v>
      </c>
      <c r="K285" s="48">
        <f>IFERROR(INDEX(TarrifTable,MATCH(Elements!E285,Constants!$V$4:$V$7,0),MATCH(Elements!F285,Constants!$W$3:$AA$3,0)),0)</f>
        <v>0</v>
      </c>
      <c r="L285" s="68">
        <f t="shared" si="10"/>
        <v>0</v>
      </c>
    </row>
    <row r="286" spans="2:12" x14ac:dyDescent="0.85">
      <c r="B286" s="46">
        <v>279</v>
      </c>
      <c r="C286" s="276"/>
      <c r="D286" s="283"/>
      <c r="E286" s="10"/>
      <c r="F286" s="10"/>
      <c r="G286" s="47">
        <v>1</v>
      </c>
      <c r="H286" s="72"/>
      <c r="I286" s="10"/>
      <c r="J286" s="46">
        <f t="shared" si="9"/>
        <v>1</v>
      </c>
      <c r="K286" s="46">
        <f>IFERROR(INDEX(TarrifTable,MATCH(Elements!E286,Constants!$V$4:$V$7,0),MATCH(Elements!F286,Constants!$W$3:$AA$3,0)),0)</f>
        <v>0</v>
      </c>
      <c r="L286" s="69">
        <f t="shared" si="10"/>
        <v>0</v>
      </c>
    </row>
    <row r="287" spans="2:12" x14ac:dyDescent="0.85">
      <c r="B287" s="48">
        <v>280</v>
      </c>
      <c r="C287" s="277"/>
      <c r="D287" s="284"/>
      <c r="E287" s="44"/>
      <c r="F287" s="44"/>
      <c r="G287" s="49">
        <v>1</v>
      </c>
      <c r="H287" s="73"/>
      <c r="I287" s="44"/>
      <c r="J287" s="48">
        <f t="shared" si="9"/>
        <v>1</v>
      </c>
      <c r="K287" s="48">
        <f>IFERROR(INDEX(TarrifTable,MATCH(Elements!E287,Constants!$V$4:$V$7,0),MATCH(Elements!F287,Constants!$W$3:$AA$3,0)),0)</f>
        <v>0</v>
      </c>
      <c r="L287" s="68">
        <f t="shared" si="10"/>
        <v>0</v>
      </c>
    </row>
    <row r="288" spans="2:12" x14ac:dyDescent="0.85">
      <c r="B288" s="46">
        <v>281</v>
      </c>
      <c r="C288" s="276"/>
      <c r="D288" s="283"/>
      <c r="E288" s="10"/>
      <c r="F288" s="10"/>
      <c r="G288" s="47">
        <v>1</v>
      </c>
      <c r="H288" s="72"/>
      <c r="I288" s="10"/>
      <c r="J288" s="46">
        <f t="shared" si="9"/>
        <v>1</v>
      </c>
      <c r="K288" s="46">
        <f>IFERROR(INDEX(TarrifTable,MATCH(Elements!E288,Constants!$V$4:$V$7,0),MATCH(Elements!F288,Constants!$W$3:$AA$3,0)),0)</f>
        <v>0</v>
      </c>
      <c r="L288" s="69">
        <f t="shared" si="10"/>
        <v>0</v>
      </c>
    </row>
    <row r="289" spans="2:12" x14ac:dyDescent="0.85">
      <c r="B289" s="48">
        <v>282</v>
      </c>
      <c r="C289" s="277"/>
      <c r="D289" s="284"/>
      <c r="E289" s="44"/>
      <c r="F289" s="44"/>
      <c r="G289" s="49">
        <v>1</v>
      </c>
      <c r="H289" s="73"/>
      <c r="I289" s="44"/>
      <c r="J289" s="48">
        <f t="shared" si="9"/>
        <v>1</v>
      </c>
      <c r="K289" s="48">
        <f>IFERROR(INDEX(TarrifTable,MATCH(Elements!E289,Constants!$V$4:$V$7,0),MATCH(Elements!F289,Constants!$W$3:$AA$3,0)),0)</f>
        <v>0</v>
      </c>
      <c r="L289" s="68">
        <f t="shared" si="10"/>
        <v>0</v>
      </c>
    </row>
    <row r="290" spans="2:12" x14ac:dyDescent="0.85">
      <c r="B290" s="46">
        <v>283</v>
      </c>
      <c r="C290" s="276"/>
      <c r="D290" s="283"/>
      <c r="E290" s="10"/>
      <c r="F290" s="10"/>
      <c r="G290" s="47">
        <v>1</v>
      </c>
      <c r="H290" s="72"/>
      <c r="I290" s="10"/>
      <c r="J290" s="46">
        <f t="shared" si="9"/>
        <v>1</v>
      </c>
      <c r="K290" s="46">
        <f>IFERROR(INDEX(TarrifTable,MATCH(Elements!E290,Constants!$V$4:$V$7,0),MATCH(Elements!F290,Constants!$W$3:$AA$3,0)),0)</f>
        <v>0</v>
      </c>
      <c r="L290" s="69">
        <f t="shared" si="10"/>
        <v>0</v>
      </c>
    </row>
    <row r="291" spans="2:12" x14ac:dyDescent="0.85">
      <c r="B291" s="48">
        <v>284</v>
      </c>
      <c r="C291" s="277"/>
      <c r="D291" s="284"/>
      <c r="E291" s="44"/>
      <c r="F291" s="44"/>
      <c r="G291" s="49">
        <v>1</v>
      </c>
      <c r="H291" s="73"/>
      <c r="I291" s="44"/>
      <c r="J291" s="48">
        <f t="shared" si="9"/>
        <v>1</v>
      </c>
      <c r="K291" s="48">
        <f>IFERROR(INDEX(TarrifTable,MATCH(Elements!E291,Constants!$V$4:$V$7,0),MATCH(Elements!F291,Constants!$W$3:$AA$3,0)),0)</f>
        <v>0</v>
      </c>
      <c r="L291" s="68">
        <f t="shared" si="10"/>
        <v>0</v>
      </c>
    </row>
    <row r="292" spans="2:12" x14ac:dyDescent="0.85">
      <c r="B292" s="46">
        <v>285</v>
      </c>
      <c r="C292" s="276"/>
      <c r="D292" s="283"/>
      <c r="E292" s="10"/>
      <c r="F292" s="10"/>
      <c r="G292" s="47">
        <v>1</v>
      </c>
      <c r="H292" s="72"/>
      <c r="I292" s="10"/>
      <c r="J292" s="46">
        <f t="shared" si="9"/>
        <v>1</v>
      </c>
      <c r="K292" s="46">
        <f>IFERROR(INDEX(TarrifTable,MATCH(Elements!E292,Constants!$V$4:$V$7,0),MATCH(Elements!F292,Constants!$W$3:$AA$3,0)),0)</f>
        <v>0</v>
      </c>
      <c r="L292" s="69">
        <f t="shared" si="10"/>
        <v>0</v>
      </c>
    </row>
    <row r="293" spans="2:12" x14ac:dyDescent="0.85">
      <c r="B293" s="48">
        <v>286</v>
      </c>
      <c r="C293" s="277"/>
      <c r="D293" s="284"/>
      <c r="E293" s="44"/>
      <c r="F293" s="44"/>
      <c r="G293" s="49">
        <v>1</v>
      </c>
      <c r="H293" s="73"/>
      <c r="I293" s="44"/>
      <c r="J293" s="48">
        <f t="shared" si="9"/>
        <v>1</v>
      </c>
      <c r="K293" s="48">
        <f>IFERROR(INDEX(TarrifTable,MATCH(Elements!E293,Constants!$V$4:$V$7,0),MATCH(Elements!F293,Constants!$W$3:$AA$3,0)),0)</f>
        <v>0</v>
      </c>
      <c r="L293" s="68">
        <f t="shared" si="10"/>
        <v>0</v>
      </c>
    </row>
    <row r="294" spans="2:12" x14ac:dyDescent="0.85">
      <c r="B294" s="46">
        <v>287</v>
      </c>
      <c r="C294" s="276"/>
      <c r="D294" s="283"/>
      <c r="E294" s="10"/>
      <c r="F294" s="10"/>
      <c r="G294" s="47">
        <v>1</v>
      </c>
      <c r="H294" s="72"/>
      <c r="I294" s="10"/>
      <c r="J294" s="46">
        <f t="shared" si="9"/>
        <v>1</v>
      </c>
      <c r="K294" s="46">
        <f>IFERROR(INDEX(TarrifTable,MATCH(Elements!E294,Constants!$V$4:$V$7,0),MATCH(Elements!F294,Constants!$W$3:$AA$3,0)),0)</f>
        <v>0</v>
      </c>
      <c r="L294" s="69">
        <f t="shared" si="10"/>
        <v>0</v>
      </c>
    </row>
    <row r="295" spans="2:12" x14ac:dyDescent="0.85">
      <c r="B295" s="48">
        <v>288</v>
      </c>
      <c r="C295" s="277"/>
      <c r="D295" s="284"/>
      <c r="E295" s="44"/>
      <c r="F295" s="44"/>
      <c r="G295" s="49">
        <v>1</v>
      </c>
      <c r="H295" s="73"/>
      <c r="I295" s="44"/>
      <c r="J295" s="48">
        <f t="shared" si="9"/>
        <v>1</v>
      </c>
      <c r="K295" s="48">
        <f>IFERROR(INDEX(TarrifTable,MATCH(Elements!E295,Constants!$V$4:$V$7,0),MATCH(Elements!F295,Constants!$W$3:$AA$3,0)),0)</f>
        <v>0</v>
      </c>
      <c r="L295" s="68">
        <f t="shared" si="10"/>
        <v>0</v>
      </c>
    </row>
    <row r="296" spans="2:12" x14ac:dyDescent="0.85">
      <c r="B296" s="46">
        <v>289</v>
      </c>
      <c r="C296" s="276"/>
      <c r="D296" s="283"/>
      <c r="E296" s="10"/>
      <c r="F296" s="10"/>
      <c r="G296" s="47">
        <v>1</v>
      </c>
      <c r="H296" s="72"/>
      <c r="I296" s="10"/>
      <c r="J296" s="46">
        <f t="shared" si="9"/>
        <v>1</v>
      </c>
      <c r="K296" s="46">
        <f>IFERROR(INDEX(TarrifTable,MATCH(Elements!E296,Constants!$V$4:$V$7,0),MATCH(Elements!F296,Constants!$W$3:$AA$3,0)),0)</f>
        <v>0</v>
      </c>
      <c r="L296" s="69">
        <f t="shared" si="10"/>
        <v>0</v>
      </c>
    </row>
    <row r="297" spans="2:12" x14ac:dyDescent="0.85">
      <c r="B297" s="48">
        <v>290</v>
      </c>
      <c r="C297" s="277"/>
      <c r="D297" s="284"/>
      <c r="E297" s="44"/>
      <c r="F297" s="44"/>
      <c r="G297" s="49">
        <v>1</v>
      </c>
      <c r="H297" s="73"/>
      <c r="I297" s="44"/>
      <c r="J297" s="48">
        <f t="shared" si="9"/>
        <v>1</v>
      </c>
      <c r="K297" s="48">
        <f>IFERROR(INDEX(TarrifTable,MATCH(Elements!E297,Constants!$V$4:$V$7,0),MATCH(Elements!F297,Constants!$W$3:$AA$3,0)),0)</f>
        <v>0</v>
      </c>
      <c r="L297" s="68">
        <f t="shared" si="10"/>
        <v>0</v>
      </c>
    </row>
    <row r="298" spans="2:12" x14ac:dyDescent="0.85">
      <c r="B298" s="46">
        <v>291</v>
      </c>
      <c r="C298" s="276"/>
      <c r="D298" s="283"/>
      <c r="E298" s="10"/>
      <c r="F298" s="10"/>
      <c r="G298" s="47">
        <v>1</v>
      </c>
      <c r="H298" s="72"/>
      <c r="I298" s="10"/>
      <c r="J298" s="46">
        <f t="shared" si="9"/>
        <v>1</v>
      </c>
      <c r="K298" s="46">
        <f>IFERROR(INDEX(TarrifTable,MATCH(Elements!E298,Constants!$V$4:$V$7,0),MATCH(Elements!F298,Constants!$W$3:$AA$3,0)),0)</f>
        <v>0</v>
      </c>
      <c r="L298" s="69">
        <f t="shared" si="10"/>
        <v>0</v>
      </c>
    </row>
    <row r="299" spans="2:12" x14ac:dyDescent="0.85">
      <c r="B299" s="48">
        <v>292</v>
      </c>
      <c r="C299" s="277"/>
      <c r="D299" s="284"/>
      <c r="E299" s="44"/>
      <c r="F299" s="44"/>
      <c r="G299" s="49">
        <v>1</v>
      </c>
      <c r="H299" s="73"/>
      <c r="I299" s="44"/>
      <c r="J299" s="48">
        <f t="shared" si="9"/>
        <v>1</v>
      </c>
      <c r="K299" s="48">
        <f>IFERROR(INDEX(TarrifTable,MATCH(Elements!E299,Constants!$V$4:$V$7,0),MATCH(Elements!F299,Constants!$W$3:$AA$3,0)),0)</f>
        <v>0</v>
      </c>
      <c r="L299" s="68">
        <f t="shared" si="10"/>
        <v>0</v>
      </c>
    </row>
    <row r="300" spans="2:12" x14ac:dyDescent="0.85">
      <c r="B300" s="46">
        <v>293</v>
      </c>
      <c r="C300" s="276"/>
      <c r="D300" s="283"/>
      <c r="E300" s="10"/>
      <c r="F300" s="10"/>
      <c r="G300" s="47">
        <v>1</v>
      </c>
      <c r="H300" s="72"/>
      <c r="I300" s="10"/>
      <c r="J300" s="46">
        <f t="shared" si="9"/>
        <v>1</v>
      </c>
      <c r="K300" s="46">
        <f>IFERROR(INDEX(TarrifTable,MATCH(Elements!E300,Constants!$V$4:$V$7,0),MATCH(Elements!F300,Constants!$W$3:$AA$3,0)),0)</f>
        <v>0</v>
      </c>
      <c r="L300" s="69">
        <f t="shared" si="10"/>
        <v>0</v>
      </c>
    </row>
    <row r="301" spans="2:12" x14ac:dyDescent="0.85">
      <c r="B301" s="48">
        <v>294</v>
      </c>
      <c r="C301" s="277"/>
      <c r="D301" s="284"/>
      <c r="E301" s="44"/>
      <c r="F301" s="44"/>
      <c r="G301" s="49">
        <v>1</v>
      </c>
      <c r="H301" s="73"/>
      <c r="I301" s="44"/>
      <c r="J301" s="48">
        <f t="shared" si="9"/>
        <v>1</v>
      </c>
      <c r="K301" s="48">
        <f>IFERROR(INDEX(TarrifTable,MATCH(Elements!E301,Constants!$V$4:$V$7,0),MATCH(Elements!F301,Constants!$W$3:$AA$3,0)),0)</f>
        <v>0</v>
      </c>
      <c r="L301" s="68">
        <f t="shared" si="10"/>
        <v>0</v>
      </c>
    </row>
    <row r="302" spans="2:12" x14ac:dyDescent="0.85">
      <c r="B302" s="46">
        <v>295</v>
      </c>
      <c r="C302" s="276"/>
      <c r="D302" s="283"/>
      <c r="E302" s="10"/>
      <c r="F302" s="10"/>
      <c r="G302" s="47">
        <v>1</v>
      </c>
      <c r="H302" s="72"/>
      <c r="I302" s="10"/>
      <c r="J302" s="46">
        <f t="shared" si="9"/>
        <v>1</v>
      </c>
      <c r="K302" s="46">
        <f>IFERROR(INDEX(TarrifTable,MATCH(Elements!E302,Constants!$V$4:$V$7,0),MATCH(Elements!F302,Constants!$W$3:$AA$3,0)),0)</f>
        <v>0</v>
      </c>
      <c r="L302" s="69">
        <f t="shared" si="10"/>
        <v>0</v>
      </c>
    </row>
    <row r="303" spans="2:12" x14ac:dyDescent="0.85">
      <c r="B303" s="48">
        <v>296</v>
      </c>
      <c r="C303" s="277"/>
      <c r="D303" s="284"/>
      <c r="E303" s="44"/>
      <c r="F303" s="44"/>
      <c r="G303" s="49">
        <v>1</v>
      </c>
      <c r="H303" s="73"/>
      <c r="I303" s="44"/>
      <c r="J303" s="48">
        <f t="shared" si="9"/>
        <v>1</v>
      </c>
      <c r="K303" s="48">
        <f>IFERROR(INDEX(TarrifTable,MATCH(Elements!E303,Constants!$V$4:$V$7,0),MATCH(Elements!F303,Constants!$W$3:$AA$3,0)),0)</f>
        <v>0</v>
      </c>
      <c r="L303" s="68">
        <f t="shared" si="10"/>
        <v>0</v>
      </c>
    </row>
    <row r="304" spans="2:12" x14ac:dyDescent="0.85">
      <c r="B304" s="46">
        <v>297</v>
      </c>
      <c r="C304" s="276"/>
      <c r="D304" s="283"/>
      <c r="E304" s="10"/>
      <c r="F304" s="10"/>
      <c r="G304" s="47">
        <v>1</v>
      </c>
      <c r="H304" s="72"/>
      <c r="I304" s="10"/>
      <c r="J304" s="46">
        <f t="shared" si="9"/>
        <v>1</v>
      </c>
      <c r="K304" s="46">
        <f>IFERROR(INDEX(TarrifTable,MATCH(Elements!E304,Constants!$V$4:$V$7,0),MATCH(Elements!F304,Constants!$W$3:$AA$3,0)),0)</f>
        <v>0</v>
      </c>
      <c r="L304" s="69">
        <f t="shared" si="10"/>
        <v>0</v>
      </c>
    </row>
    <row r="305" spans="2:12" x14ac:dyDescent="0.85">
      <c r="B305" s="48">
        <v>298</v>
      </c>
      <c r="C305" s="277"/>
      <c r="D305" s="284"/>
      <c r="E305" s="44"/>
      <c r="F305" s="44"/>
      <c r="G305" s="49">
        <v>1</v>
      </c>
      <c r="H305" s="73"/>
      <c r="I305" s="44"/>
      <c r="J305" s="48">
        <f t="shared" si="9"/>
        <v>1</v>
      </c>
      <c r="K305" s="48">
        <f>IFERROR(INDEX(TarrifTable,MATCH(Elements!E305,Constants!$V$4:$V$7,0),MATCH(Elements!F305,Constants!$W$3:$AA$3,0)),0)</f>
        <v>0</v>
      </c>
      <c r="L305" s="68">
        <f t="shared" si="10"/>
        <v>0</v>
      </c>
    </row>
    <row r="306" spans="2:12" x14ac:dyDescent="0.85">
      <c r="B306" s="46">
        <v>299</v>
      </c>
      <c r="C306" s="276"/>
      <c r="D306" s="283"/>
      <c r="E306" s="10"/>
      <c r="F306" s="10"/>
      <c r="G306" s="47">
        <v>1</v>
      </c>
      <c r="H306" s="72"/>
      <c r="I306" s="10"/>
      <c r="J306" s="46">
        <f t="shared" si="9"/>
        <v>1</v>
      </c>
      <c r="K306" s="46">
        <f>IFERROR(INDEX(TarrifTable,MATCH(Elements!E306,Constants!$V$4:$V$7,0),MATCH(Elements!F306,Constants!$W$3:$AA$3,0)),0)</f>
        <v>0</v>
      </c>
      <c r="L306" s="69">
        <f t="shared" si="10"/>
        <v>0</v>
      </c>
    </row>
    <row r="307" spans="2:12" x14ac:dyDescent="0.85">
      <c r="B307" s="48">
        <v>300</v>
      </c>
      <c r="C307" s="277"/>
      <c r="D307" s="284"/>
      <c r="E307" s="44"/>
      <c r="F307" s="44"/>
      <c r="G307" s="49">
        <v>1</v>
      </c>
      <c r="H307" s="73"/>
      <c r="I307" s="44"/>
      <c r="J307" s="48">
        <f t="shared" si="9"/>
        <v>1</v>
      </c>
      <c r="K307" s="48">
        <f>IFERROR(INDEX(TarrifTable,MATCH(Elements!E307,Constants!$V$4:$V$7,0),MATCH(Elements!F307,Constants!$W$3:$AA$3,0)),0)</f>
        <v>0</v>
      </c>
      <c r="L307" s="68">
        <f t="shared" si="10"/>
        <v>0</v>
      </c>
    </row>
    <row r="308" spans="2:12" x14ac:dyDescent="0.85">
      <c r="B308" s="46">
        <v>301</v>
      </c>
      <c r="C308" s="276"/>
      <c r="D308" s="283"/>
      <c r="E308" s="10"/>
      <c r="F308" s="10"/>
      <c r="G308" s="47">
        <v>1</v>
      </c>
      <c r="H308" s="72"/>
      <c r="I308" s="10"/>
      <c r="J308" s="46">
        <f t="shared" si="9"/>
        <v>1</v>
      </c>
      <c r="K308" s="46">
        <f>IFERROR(INDEX(TarrifTable,MATCH(Elements!E308,Constants!$V$4:$V$7,0),MATCH(Elements!F308,Constants!$W$3:$AA$3,0)),0)</f>
        <v>0</v>
      </c>
      <c r="L308" s="69">
        <f t="shared" si="10"/>
        <v>0</v>
      </c>
    </row>
    <row r="309" spans="2:12" x14ac:dyDescent="0.85">
      <c r="B309" s="48">
        <v>302</v>
      </c>
      <c r="C309" s="277"/>
      <c r="D309" s="284"/>
      <c r="E309" s="44"/>
      <c r="F309" s="44"/>
      <c r="G309" s="49">
        <v>1</v>
      </c>
      <c r="H309" s="73"/>
      <c r="I309" s="44"/>
      <c r="J309" s="48">
        <f t="shared" si="9"/>
        <v>1</v>
      </c>
      <c r="K309" s="48">
        <f>IFERROR(INDEX(TarrifTable,MATCH(Elements!E309,Constants!$V$4:$V$7,0),MATCH(Elements!F309,Constants!$W$3:$AA$3,0)),0)</f>
        <v>0</v>
      </c>
      <c r="L309" s="68">
        <f t="shared" si="10"/>
        <v>0</v>
      </c>
    </row>
    <row r="310" spans="2:12" x14ac:dyDescent="0.85">
      <c r="B310" s="46">
        <v>303</v>
      </c>
      <c r="C310" s="276"/>
      <c r="D310" s="283"/>
      <c r="E310" s="10"/>
      <c r="F310" s="10"/>
      <c r="G310" s="47">
        <v>1</v>
      </c>
      <c r="H310" s="72"/>
      <c r="I310" s="10"/>
      <c r="J310" s="46">
        <f t="shared" si="9"/>
        <v>1</v>
      </c>
      <c r="K310" s="46">
        <f>IFERROR(INDEX(TarrifTable,MATCH(Elements!E310,Constants!$V$4:$V$7,0),MATCH(Elements!F310,Constants!$W$3:$AA$3,0)),0)</f>
        <v>0</v>
      </c>
      <c r="L310" s="69">
        <f t="shared" si="10"/>
        <v>0</v>
      </c>
    </row>
    <row r="311" spans="2:12" x14ac:dyDescent="0.85">
      <c r="B311" s="48">
        <v>304</v>
      </c>
      <c r="C311" s="277"/>
      <c r="D311" s="284"/>
      <c r="E311" s="44"/>
      <c r="F311" s="44"/>
      <c r="G311" s="49">
        <v>1</v>
      </c>
      <c r="H311" s="73"/>
      <c r="I311" s="44"/>
      <c r="J311" s="48">
        <f t="shared" si="9"/>
        <v>1</v>
      </c>
      <c r="K311" s="48">
        <f>IFERROR(INDEX(TarrifTable,MATCH(Elements!E311,Constants!$V$4:$V$7,0),MATCH(Elements!F311,Constants!$W$3:$AA$3,0)),0)</f>
        <v>0</v>
      </c>
      <c r="L311" s="68">
        <f t="shared" si="10"/>
        <v>0</v>
      </c>
    </row>
    <row r="312" spans="2:12" x14ac:dyDescent="0.85">
      <c r="B312" s="46">
        <v>305</v>
      </c>
      <c r="C312" s="276"/>
      <c r="D312" s="283"/>
      <c r="E312" s="10"/>
      <c r="F312" s="10"/>
      <c r="G312" s="47">
        <v>1</v>
      </c>
      <c r="H312" s="72"/>
      <c r="I312" s="10"/>
      <c r="J312" s="46">
        <f t="shared" si="9"/>
        <v>1</v>
      </c>
      <c r="K312" s="46">
        <f>IFERROR(INDEX(TarrifTable,MATCH(Elements!E312,Constants!$V$4:$V$7,0),MATCH(Elements!F312,Constants!$W$3:$AA$3,0)),0)</f>
        <v>0</v>
      </c>
      <c r="L312" s="69">
        <f t="shared" si="10"/>
        <v>0</v>
      </c>
    </row>
    <row r="313" spans="2:12" x14ac:dyDescent="0.85">
      <c r="B313" s="48">
        <v>306</v>
      </c>
      <c r="C313" s="277"/>
      <c r="D313" s="284"/>
      <c r="E313" s="44"/>
      <c r="F313" s="44"/>
      <c r="G313" s="49">
        <v>1</v>
      </c>
      <c r="H313" s="73"/>
      <c r="I313" s="44"/>
      <c r="J313" s="48">
        <f t="shared" si="9"/>
        <v>1</v>
      </c>
      <c r="K313" s="48">
        <f>IFERROR(INDEX(TarrifTable,MATCH(Elements!E313,Constants!$V$4:$V$7,0),MATCH(Elements!F313,Constants!$W$3:$AA$3,0)),0)</f>
        <v>0</v>
      </c>
      <c r="L313" s="68">
        <f t="shared" si="10"/>
        <v>0</v>
      </c>
    </row>
    <row r="314" spans="2:12" x14ac:dyDescent="0.85">
      <c r="B314" s="46">
        <v>307</v>
      </c>
      <c r="C314" s="276"/>
      <c r="D314" s="283"/>
      <c r="E314" s="10"/>
      <c r="F314" s="10"/>
      <c r="G314" s="47">
        <v>1</v>
      </c>
      <c r="H314" s="72"/>
      <c r="I314" s="10"/>
      <c r="J314" s="46">
        <f t="shared" si="9"/>
        <v>1</v>
      </c>
      <c r="K314" s="46">
        <f>IFERROR(INDEX(TarrifTable,MATCH(Elements!E314,Constants!$V$4:$V$7,0),MATCH(Elements!F314,Constants!$W$3:$AA$3,0)),0)</f>
        <v>0</v>
      </c>
      <c r="L314" s="69">
        <f t="shared" si="10"/>
        <v>0</v>
      </c>
    </row>
    <row r="315" spans="2:12" x14ac:dyDescent="0.85">
      <c r="B315" s="48">
        <v>308</v>
      </c>
      <c r="C315" s="277"/>
      <c r="D315" s="284"/>
      <c r="E315" s="44"/>
      <c r="F315" s="44"/>
      <c r="G315" s="49">
        <v>1</v>
      </c>
      <c r="H315" s="73"/>
      <c r="I315" s="44"/>
      <c r="J315" s="48">
        <f t="shared" si="9"/>
        <v>1</v>
      </c>
      <c r="K315" s="48">
        <f>IFERROR(INDEX(TarrifTable,MATCH(Elements!E315,Constants!$V$4:$V$7,0),MATCH(Elements!F315,Constants!$W$3:$AA$3,0)),0)</f>
        <v>0</v>
      </c>
      <c r="L315" s="68">
        <f t="shared" si="10"/>
        <v>0</v>
      </c>
    </row>
    <row r="316" spans="2:12" x14ac:dyDescent="0.85">
      <c r="B316" s="46">
        <v>309</v>
      </c>
      <c r="C316" s="276"/>
      <c r="D316" s="283"/>
      <c r="E316" s="10"/>
      <c r="F316" s="10"/>
      <c r="G316" s="47">
        <v>1</v>
      </c>
      <c r="H316" s="72"/>
      <c r="I316" s="10"/>
      <c r="J316" s="46">
        <f t="shared" si="9"/>
        <v>1</v>
      </c>
      <c r="K316" s="46">
        <f>IFERROR(INDEX(TarrifTable,MATCH(Elements!E316,Constants!$V$4:$V$7,0),MATCH(Elements!F316,Constants!$W$3:$AA$3,0)),0)</f>
        <v>0</v>
      </c>
      <c r="L316" s="69">
        <f t="shared" si="10"/>
        <v>0</v>
      </c>
    </row>
    <row r="317" spans="2:12" x14ac:dyDescent="0.85">
      <c r="B317" s="48">
        <v>310</v>
      </c>
      <c r="C317" s="277"/>
      <c r="D317" s="284"/>
      <c r="E317" s="44"/>
      <c r="F317" s="44"/>
      <c r="G317" s="49">
        <v>1</v>
      </c>
      <c r="H317" s="73"/>
      <c r="I317" s="44"/>
      <c r="J317" s="48">
        <f t="shared" si="9"/>
        <v>1</v>
      </c>
      <c r="K317" s="48">
        <f>IFERROR(INDEX(TarrifTable,MATCH(Elements!E317,Constants!$V$4:$V$7,0),MATCH(Elements!F317,Constants!$W$3:$AA$3,0)),0)</f>
        <v>0</v>
      </c>
      <c r="L317" s="68">
        <f t="shared" si="10"/>
        <v>0</v>
      </c>
    </row>
    <row r="318" spans="2:12" x14ac:dyDescent="0.85">
      <c r="B318" s="46">
        <v>311</v>
      </c>
      <c r="C318" s="276"/>
      <c r="D318" s="283"/>
      <c r="E318" s="10"/>
      <c r="F318" s="10"/>
      <c r="G318" s="47">
        <v>1</v>
      </c>
      <c r="H318" s="72"/>
      <c r="I318" s="10"/>
      <c r="J318" s="46">
        <f t="shared" si="9"/>
        <v>1</v>
      </c>
      <c r="K318" s="46">
        <f>IFERROR(INDEX(TarrifTable,MATCH(Elements!E318,Constants!$V$4:$V$7,0),MATCH(Elements!F318,Constants!$W$3:$AA$3,0)),0)</f>
        <v>0</v>
      </c>
      <c r="L318" s="69">
        <f t="shared" si="10"/>
        <v>0</v>
      </c>
    </row>
    <row r="319" spans="2:12" x14ac:dyDescent="0.85">
      <c r="B319" s="48">
        <v>312</v>
      </c>
      <c r="C319" s="277"/>
      <c r="D319" s="284"/>
      <c r="E319" s="44"/>
      <c r="F319" s="44"/>
      <c r="G319" s="49">
        <v>1</v>
      </c>
      <c r="H319" s="73"/>
      <c r="I319" s="44"/>
      <c r="J319" s="48">
        <f t="shared" si="9"/>
        <v>1</v>
      </c>
      <c r="K319" s="48">
        <f>IFERROR(INDEX(TarrifTable,MATCH(Elements!E319,Constants!$V$4:$V$7,0),MATCH(Elements!F319,Constants!$W$3:$AA$3,0)),0)</f>
        <v>0</v>
      </c>
      <c r="L319" s="68">
        <f t="shared" si="10"/>
        <v>0</v>
      </c>
    </row>
    <row r="320" spans="2:12" x14ac:dyDescent="0.85">
      <c r="B320" s="46">
        <v>313</v>
      </c>
      <c r="C320" s="276"/>
      <c r="D320" s="283"/>
      <c r="E320" s="10"/>
      <c r="F320" s="10"/>
      <c r="G320" s="47">
        <v>1</v>
      </c>
      <c r="H320" s="72"/>
      <c r="I320" s="10"/>
      <c r="J320" s="46">
        <f t="shared" si="9"/>
        <v>1</v>
      </c>
      <c r="K320" s="46">
        <f>IFERROR(INDEX(TarrifTable,MATCH(Elements!E320,Constants!$V$4:$V$7,0),MATCH(Elements!F320,Constants!$W$3:$AA$3,0)),0)</f>
        <v>0</v>
      </c>
      <c r="L320" s="69">
        <f t="shared" si="10"/>
        <v>0</v>
      </c>
    </row>
    <row r="321" spans="2:12" x14ac:dyDescent="0.85">
      <c r="B321" s="48">
        <v>314</v>
      </c>
      <c r="C321" s="277"/>
      <c r="D321" s="284"/>
      <c r="E321" s="44"/>
      <c r="F321" s="44"/>
      <c r="G321" s="49">
        <v>1</v>
      </c>
      <c r="H321" s="73"/>
      <c r="I321" s="44"/>
      <c r="J321" s="48">
        <f t="shared" si="9"/>
        <v>1</v>
      </c>
      <c r="K321" s="48">
        <f>IFERROR(INDEX(TarrifTable,MATCH(Elements!E321,Constants!$V$4:$V$7,0),MATCH(Elements!F321,Constants!$W$3:$AA$3,0)),0)</f>
        <v>0</v>
      </c>
      <c r="L321" s="68">
        <f t="shared" si="10"/>
        <v>0</v>
      </c>
    </row>
    <row r="322" spans="2:12" x14ac:dyDescent="0.85">
      <c r="B322" s="46">
        <v>315</v>
      </c>
      <c r="C322" s="276"/>
      <c r="D322" s="283"/>
      <c r="E322" s="10"/>
      <c r="F322" s="10"/>
      <c r="G322" s="47">
        <v>1</v>
      </c>
      <c r="H322" s="72"/>
      <c r="I322" s="10"/>
      <c r="J322" s="46">
        <f t="shared" si="9"/>
        <v>1</v>
      </c>
      <c r="K322" s="46">
        <f>IFERROR(INDEX(TarrifTable,MATCH(Elements!E322,Constants!$V$4:$V$7,0),MATCH(Elements!F322,Constants!$W$3:$AA$3,0)),0)</f>
        <v>0</v>
      </c>
      <c r="L322" s="69">
        <f t="shared" si="10"/>
        <v>0</v>
      </c>
    </row>
    <row r="323" spans="2:12" x14ac:dyDescent="0.85">
      <c r="B323" s="48">
        <v>316</v>
      </c>
      <c r="C323" s="277"/>
      <c r="D323" s="284"/>
      <c r="E323" s="44"/>
      <c r="F323" s="44"/>
      <c r="G323" s="49">
        <v>1</v>
      </c>
      <c r="H323" s="73"/>
      <c r="I323" s="44"/>
      <c r="J323" s="48">
        <f t="shared" si="9"/>
        <v>1</v>
      </c>
      <c r="K323" s="48">
        <f>IFERROR(INDEX(TarrifTable,MATCH(Elements!E323,Constants!$V$4:$V$7,0),MATCH(Elements!F323,Constants!$W$3:$AA$3,0)),0)</f>
        <v>0</v>
      </c>
      <c r="L323" s="68">
        <f t="shared" si="10"/>
        <v>0</v>
      </c>
    </row>
    <row r="324" spans="2:12" x14ac:dyDescent="0.85">
      <c r="B324" s="46">
        <v>317</v>
      </c>
      <c r="C324" s="276"/>
      <c r="D324" s="283"/>
      <c r="E324" s="10"/>
      <c r="F324" s="10"/>
      <c r="G324" s="47">
        <v>1</v>
      </c>
      <c r="H324" s="72"/>
      <c r="I324" s="10"/>
      <c r="J324" s="46">
        <f t="shared" si="9"/>
        <v>1</v>
      </c>
      <c r="K324" s="46">
        <f>IFERROR(INDEX(TarrifTable,MATCH(Elements!E324,Constants!$V$4:$V$7,0),MATCH(Elements!F324,Constants!$W$3:$AA$3,0)),0)</f>
        <v>0</v>
      </c>
      <c r="L324" s="69">
        <f t="shared" si="10"/>
        <v>0</v>
      </c>
    </row>
    <row r="325" spans="2:12" x14ac:dyDescent="0.85">
      <c r="B325" s="48">
        <v>318</v>
      </c>
      <c r="C325" s="277"/>
      <c r="D325" s="284"/>
      <c r="E325" s="44"/>
      <c r="F325" s="44"/>
      <c r="G325" s="49">
        <v>1</v>
      </c>
      <c r="H325" s="73"/>
      <c r="I325" s="44"/>
      <c r="J325" s="48">
        <f t="shared" si="9"/>
        <v>1</v>
      </c>
      <c r="K325" s="48">
        <f>IFERROR(INDEX(TarrifTable,MATCH(Elements!E325,Constants!$V$4:$V$7,0),MATCH(Elements!F325,Constants!$W$3:$AA$3,0)),0)</f>
        <v>0</v>
      </c>
      <c r="L325" s="68">
        <f t="shared" si="10"/>
        <v>0</v>
      </c>
    </row>
    <row r="326" spans="2:12" x14ac:dyDescent="0.85">
      <c r="B326" s="46">
        <v>319</v>
      </c>
      <c r="C326" s="276"/>
      <c r="D326" s="283"/>
      <c r="E326" s="10"/>
      <c r="F326" s="10"/>
      <c r="G326" s="47">
        <v>1</v>
      </c>
      <c r="H326" s="72"/>
      <c r="I326" s="10"/>
      <c r="J326" s="46">
        <f t="shared" si="9"/>
        <v>1</v>
      </c>
      <c r="K326" s="46">
        <f>IFERROR(INDEX(TarrifTable,MATCH(Elements!E326,Constants!$V$4:$V$7,0),MATCH(Elements!F326,Constants!$W$3:$AA$3,0)),0)</f>
        <v>0</v>
      </c>
      <c r="L326" s="69">
        <f t="shared" si="10"/>
        <v>0</v>
      </c>
    </row>
    <row r="327" spans="2:12" x14ac:dyDescent="0.85">
      <c r="B327" s="48">
        <v>320</v>
      </c>
      <c r="C327" s="277"/>
      <c r="D327" s="284"/>
      <c r="E327" s="44"/>
      <c r="F327" s="44"/>
      <c r="G327" s="49">
        <v>1</v>
      </c>
      <c r="H327" s="73"/>
      <c r="I327" s="44"/>
      <c r="J327" s="48">
        <f t="shared" si="9"/>
        <v>1</v>
      </c>
      <c r="K327" s="48">
        <f>IFERROR(INDEX(TarrifTable,MATCH(Elements!E327,Constants!$V$4:$V$7,0),MATCH(Elements!F327,Constants!$W$3:$AA$3,0)),0)</f>
        <v>0</v>
      </c>
      <c r="L327" s="68">
        <f t="shared" si="10"/>
        <v>0</v>
      </c>
    </row>
    <row r="328" spans="2:12" x14ac:dyDescent="0.85">
      <c r="B328" s="46">
        <v>321</v>
      </c>
      <c r="C328" s="276"/>
      <c r="D328" s="283"/>
      <c r="E328" s="10"/>
      <c r="F328" s="10"/>
      <c r="G328" s="47">
        <v>1</v>
      </c>
      <c r="H328" s="72"/>
      <c r="I328" s="10"/>
      <c r="J328" s="46">
        <f t="shared" ref="J328:J391" si="11">IF(ISBLANK(H328),1,H328)</f>
        <v>1</v>
      </c>
      <c r="K328" s="46">
        <f>IFERROR(INDEX(TarrifTable,MATCH(Elements!E328,Constants!$V$4:$V$7,0),MATCH(Elements!F328,Constants!$W$3:$AA$3,0)),0)</f>
        <v>0</v>
      </c>
      <c r="L328" s="69">
        <f t="shared" ref="L328:L391" si="12">J328*G328*K328</f>
        <v>0</v>
      </c>
    </row>
    <row r="329" spans="2:12" x14ac:dyDescent="0.85">
      <c r="B329" s="48">
        <v>322</v>
      </c>
      <c r="C329" s="277"/>
      <c r="D329" s="284"/>
      <c r="E329" s="44"/>
      <c r="F329" s="44"/>
      <c r="G329" s="49">
        <v>1</v>
      </c>
      <c r="H329" s="73"/>
      <c r="I329" s="44"/>
      <c r="J329" s="48">
        <f t="shared" si="11"/>
        <v>1</v>
      </c>
      <c r="K329" s="48">
        <f>IFERROR(INDEX(TarrifTable,MATCH(Elements!E329,Constants!$V$4:$V$7,0),MATCH(Elements!F329,Constants!$W$3:$AA$3,0)),0)</f>
        <v>0</v>
      </c>
      <c r="L329" s="68">
        <f t="shared" si="12"/>
        <v>0</v>
      </c>
    </row>
    <row r="330" spans="2:12" x14ac:dyDescent="0.85">
      <c r="B330" s="46">
        <v>323</v>
      </c>
      <c r="C330" s="276"/>
      <c r="D330" s="283"/>
      <c r="E330" s="10"/>
      <c r="F330" s="10"/>
      <c r="G330" s="47">
        <v>1</v>
      </c>
      <c r="H330" s="72"/>
      <c r="I330" s="10"/>
      <c r="J330" s="46">
        <f t="shared" si="11"/>
        <v>1</v>
      </c>
      <c r="K330" s="46">
        <f>IFERROR(INDEX(TarrifTable,MATCH(Elements!E330,Constants!$V$4:$V$7,0),MATCH(Elements!F330,Constants!$W$3:$AA$3,0)),0)</f>
        <v>0</v>
      </c>
      <c r="L330" s="69">
        <f t="shared" si="12"/>
        <v>0</v>
      </c>
    </row>
    <row r="331" spans="2:12" x14ac:dyDescent="0.85">
      <c r="B331" s="48">
        <v>324</v>
      </c>
      <c r="C331" s="277"/>
      <c r="D331" s="284"/>
      <c r="E331" s="44"/>
      <c r="F331" s="44"/>
      <c r="G331" s="49">
        <v>1</v>
      </c>
      <c r="H331" s="73"/>
      <c r="I331" s="44"/>
      <c r="J331" s="48">
        <f t="shared" si="11"/>
        <v>1</v>
      </c>
      <c r="K331" s="48">
        <f>IFERROR(INDEX(TarrifTable,MATCH(Elements!E331,Constants!$V$4:$V$7,0),MATCH(Elements!F331,Constants!$W$3:$AA$3,0)),0)</f>
        <v>0</v>
      </c>
      <c r="L331" s="68">
        <f t="shared" si="12"/>
        <v>0</v>
      </c>
    </row>
    <row r="332" spans="2:12" x14ac:dyDescent="0.85">
      <c r="B332" s="46">
        <v>325</v>
      </c>
      <c r="C332" s="276"/>
      <c r="D332" s="283"/>
      <c r="E332" s="10"/>
      <c r="F332" s="10"/>
      <c r="G332" s="47">
        <v>1</v>
      </c>
      <c r="H332" s="72"/>
      <c r="I332" s="10"/>
      <c r="J332" s="46">
        <f t="shared" si="11"/>
        <v>1</v>
      </c>
      <c r="K332" s="46">
        <f>IFERROR(INDEX(TarrifTable,MATCH(Elements!E332,Constants!$V$4:$V$7,0),MATCH(Elements!F332,Constants!$W$3:$AA$3,0)),0)</f>
        <v>0</v>
      </c>
      <c r="L332" s="69">
        <f t="shared" si="12"/>
        <v>0</v>
      </c>
    </row>
    <row r="333" spans="2:12" x14ac:dyDescent="0.85">
      <c r="B333" s="48">
        <v>326</v>
      </c>
      <c r="C333" s="277"/>
      <c r="D333" s="284"/>
      <c r="E333" s="44"/>
      <c r="F333" s="44"/>
      <c r="G333" s="49">
        <v>1</v>
      </c>
      <c r="H333" s="73"/>
      <c r="I333" s="44"/>
      <c r="J333" s="48">
        <f t="shared" si="11"/>
        <v>1</v>
      </c>
      <c r="K333" s="48">
        <f>IFERROR(INDEX(TarrifTable,MATCH(Elements!E333,Constants!$V$4:$V$7,0),MATCH(Elements!F333,Constants!$W$3:$AA$3,0)),0)</f>
        <v>0</v>
      </c>
      <c r="L333" s="68">
        <f t="shared" si="12"/>
        <v>0</v>
      </c>
    </row>
    <row r="334" spans="2:12" x14ac:dyDescent="0.85">
      <c r="B334" s="46">
        <v>327</v>
      </c>
      <c r="C334" s="276"/>
      <c r="D334" s="283"/>
      <c r="E334" s="10"/>
      <c r="F334" s="10"/>
      <c r="G334" s="47">
        <v>1</v>
      </c>
      <c r="H334" s="72"/>
      <c r="I334" s="10"/>
      <c r="J334" s="46">
        <f t="shared" si="11"/>
        <v>1</v>
      </c>
      <c r="K334" s="46">
        <f>IFERROR(INDEX(TarrifTable,MATCH(Elements!E334,Constants!$V$4:$V$7,0),MATCH(Elements!F334,Constants!$W$3:$AA$3,0)),0)</f>
        <v>0</v>
      </c>
      <c r="L334" s="69">
        <f t="shared" si="12"/>
        <v>0</v>
      </c>
    </row>
    <row r="335" spans="2:12" x14ac:dyDescent="0.85">
      <c r="B335" s="48">
        <v>328</v>
      </c>
      <c r="C335" s="277"/>
      <c r="D335" s="284"/>
      <c r="E335" s="44"/>
      <c r="F335" s="44"/>
      <c r="G335" s="49">
        <v>1</v>
      </c>
      <c r="H335" s="73"/>
      <c r="I335" s="44"/>
      <c r="J335" s="48">
        <f t="shared" si="11"/>
        <v>1</v>
      </c>
      <c r="K335" s="48">
        <f>IFERROR(INDEX(TarrifTable,MATCH(Elements!E335,Constants!$V$4:$V$7,0),MATCH(Elements!F335,Constants!$W$3:$AA$3,0)),0)</f>
        <v>0</v>
      </c>
      <c r="L335" s="68">
        <f t="shared" si="12"/>
        <v>0</v>
      </c>
    </row>
    <row r="336" spans="2:12" x14ac:dyDescent="0.85">
      <c r="B336" s="46">
        <v>329</v>
      </c>
      <c r="C336" s="276"/>
      <c r="D336" s="283"/>
      <c r="E336" s="10"/>
      <c r="F336" s="10"/>
      <c r="G336" s="47">
        <v>1</v>
      </c>
      <c r="H336" s="72"/>
      <c r="I336" s="10"/>
      <c r="J336" s="46">
        <f t="shared" si="11"/>
        <v>1</v>
      </c>
      <c r="K336" s="46">
        <f>IFERROR(INDEX(TarrifTable,MATCH(Elements!E336,Constants!$V$4:$V$7,0),MATCH(Elements!F336,Constants!$W$3:$AA$3,0)),0)</f>
        <v>0</v>
      </c>
      <c r="L336" s="69">
        <f t="shared" si="12"/>
        <v>0</v>
      </c>
    </row>
    <row r="337" spans="2:12" x14ac:dyDescent="0.85">
      <c r="B337" s="48">
        <v>330</v>
      </c>
      <c r="C337" s="277"/>
      <c r="D337" s="284"/>
      <c r="E337" s="44"/>
      <c r="F337" s="44"/>
      <c r="G337" s="49">
        <v>1</v>
      </c>
      <c r="H337" s="73"/>
      <c r="I337" s="44"/>
      <c r="J337" s="48">
        <f t="shared" si="11"/>
        <v>1</v>
      </c>
      <c r="K337" s="48">
        <f>IFERROR(INDEX(TarrifTable,MATCH(Elements!E337,Constants!$V$4:$V$7,0),MATCH(Elements!F337,Constants!$W$3:$AA$3,0)),0)</f>
        <v>0</v>
      </c>
      <c r="L337" s="68">
        <f t="shared" si="12"/>
        <v>0</v>
      </c>
    </row>
    <row r="338" spans="2:12" x14ac:dyDescent="0.85">
      <c r="B338" s="46">
        <v>331</v>
      </c>
      <c r="C338" s="276"/>
      <c r="D338" s="283"/>
      <c r="E338" s="10"/>
      <c r="F338" s="10"/>
      <c r="G338" s="47">
        <v>1</v>
      </c>
      <c r="H338" s="72"/>
      <c r="I338" s="10"/>
      <c r="J338" s="46">
        <f t="shared" si="11"/>
        <v>1</v>
      </c>
      <c r="K338" s="46">
        <f>IFERROR(INDEX(TarrifTable,MATCH(Elements!E338,Constants!$V$4:$V$7,0),MATCH(Elements!F338,Constants!$W$3:$AA$3,0)),0)</f>
        <v>0</v>
      </c>
      <c r="L338" s="69">
        <f t="shared" si="12"/>
        <v>0</v>
      </c>
    </row>
    <row r="339" spans="2:12" x14ac:dyDescent="0.85">
      <c r="B339" s="48">
        <v>332</v>
      </c>
      <c r="C339" s="277"/>
      <c r="D339" s="284"/>
      <c r="E339" s="44"/>
      <c r="F339" s="44"/>
      <c r="G339" s="49">
        <v>1</v>
      </c>
      <c r="H339" s="73"/>
      <c r="I339" s="44"/>
      <c r="J339" s="48">
        <f t="shared" si="11"/>
        <v>1</v>
      </c>
      <c r="K339" s="48">
        <f>IFERROR(INDEX(TarrifTable,MATCH(Elements!E339,Constants!$V$4:$V$7,0),MATCH(Elements!F339,Constants!$W$3:$AA$3,0)),0)</f>
        <v>0</v>
      </c>
      <c r="L339" s="68">
        <f t="shared" si="12"/>
        <v>0</v>
      </c>
    </row>
    <row r="340" spans="2:12" x14ac:dyDescent="0.85">
      <c r="B340" s="46">
        <v>333</v>
      </c>
      <c r="C340" s="276"/>
      <c r="D340" s="283"/>
      <c r="E340" s="10"/>
      <c r="F340" s="10"/>
      <c r="G340" s="47">
        <v>1</v>
      </c>
      <c r="H340" s="72"/>
      <c r="I340" s="10"/>
      <c r="J340" s="46">
        <f t="shared" si="11"/>
        <v>1</v>
      </c>
      <c r="K340" s="46">
        <f>IFERROR(INDEX(TarrifTable,MATCH(Elements!E340,Constants!$V$4:$V$7,0),MATCH(Elements!F340,Constants!$W$3:$AA$3,0)),0)</f>
        <v>0</v>
      </c>
      <c r="L340" s="69">
        <f t="shared" si="12"/>
        <v>0</v>
      </c>
    </row>
    <row r="341" spans="2:12" x14ac:dyDescent="0.85">
      <c r="B341" s="48">
        <v>334</v>
      </c>
      <c r="C341" s="277"/>
      <c r="D341" s="284"/>
      <c r="E341" s="44"/>
      <c r="F341" s="44"/>
      <c r="G341" s="49">
        <v>1</v>
      </c>
      <c r="H341" s="73"/>
      <c r="I341" s="44"/>
      <c r="J341" s="48">
        <f t="shared" si="11"/>
        <v>1</v>
      </c>
      <c r="K341" s="48">
        <f>IFERROR(INDEX(TarrifTable,MATCH(Elements!E341,Constants!$V$4:$V$7,0),MATCH(Elements!F341,Constants!$W$3:$AA$3,0)),0)</f>
        <v>0</v>
      </c>
      <c r="L341" s="68">
        <f t="shared" si="12"/>
        <v>0</v>
      </c>
    </row>
    <row r="342" spans="2:12" x14ac:dyDescent="0.85">
      <c r="B342" s="46">
        <v>335</v>
      </c>
      <c r="C342" s="276"/>
      <c r="D342" s="283"/>
      <c r="E342" s="10"/>
      <c r="F342" s="10"/>
      <c r="G342" s="47">
        <v>1</v>
      </c>
      <c r="H342" s="72"/>
      <c r="I342" s="10"/>
      <c r="J342" s="46">
        <f t="shared" si="11"/>
        <v>1</v>
      </c>
      <c r="K342" s="46">
        <f>IFERROR(INDEX(TarrifTable,MATCH(Elements!E342,Constants!$V$4:$V$7,0),MATCH(Elements!F342,Constants!$W$3:$AA$3,0)),0)</f>
        <v>0</v>
      </c>
      <c r="L342" s="69">
        <f t="shared" si="12"/>
        <v>0</v>
      </c>
    </row>
    <row r="343" spans="2:12" x14ac:dyDescent="0.85">
      <c r="B343" s="48">
        <v>336</v>
      </c>
      <c r="C343" s="277"/>
      <c r="D343" s="284"/>
      <c r="E343" s="44"/>
      <c r="F343" s="44"/>
      <c r="G343" s="49">
        <v>1</v>
      </c>
      <c r="H343" s="73"/>
      <c r="I343" s="44"/>
      <c r="J343" s="48">
        <f t="shared" si="11"/>
        <v>1</v>
      </c>
      <c r="K343" s="48">
        <f>IFERROR(INDEX(TarrifTable,MATCH(Elements!E343,Constants!$V$4:$V$7,0),MATCH(Elements!F343,Constants!$W$3:$AA$3,0)),0)</f>
        <v>0</v>
      </c>
      <c r="L343" s="68">
        <f t="shared" si="12"/>
        <v>0</v>
      </c>
    </row>
    <row r="344" spans="2:12" x14ac:dyDescent="0.85">
      <c r="B344" s="46">
        <v>337</v>
      </c>
      <c r="C344" s="276"/>
      <c r="D344" s="283"/>
      <c r="E344" s="10"/>
      <c r="F344" s="10"/>
      <c r="G344" s="47">
        <v>1</v>
      </c>
      <c r="H344" s="72"/>
      <c r="I344" s="10"/>
      <c r="J344" s="46">
        <f t="shared" si="11"/>
        <v>1</v>
      </c>
      <c r="K344" s="46">
        <f>IFERROR(INDEX(TarrifTable,MATCH(Elements!E344,Constants!$V$4:$V$7,0),MATCH(Elements!F344,Constants!$W$3:$AA$3,0)),0)</f>
        <v>0</v>
      </c>
      <c r="L344" s="69">
        <f t="shared" si="12"/>
        <v>0</v>
      </c>
    </row>
    <row r="345" spans="2:12" x14ac:dyDescent="0.85">
      <c r="B345" s="48">
        <v>338</v>
      </c>
      <c r="C345" s="277"/>
      <c r="D345" s="284"/>
      <c r="E345" s="44"/>
      <c r="F345" s="44"/>
      <c r="G345" s="49">
        <v>1</v>
      </c>
      <c r="H345" s="73"/>
      <c r="I345" s="44"/>
      <c r="J345" s="48">
        <f t="shared" si="11"/>
        <v>1</v>
      </c>
      <c r="K345" s="48">
        <f>IFERROR(INDEX(TarrifTable,MATCH(Elements!E345,Constants!$V$4:$V$7,0),MATCH(Elements!F345,Constants!$W$3:$AA$3,0)),0)</f>
        <v>0</v>
      </c>
      <c r="L345" s="68">
        <f t="shared" si="12"/>
        <v>0</v>
      </c>
    </row>
    <row r="346" spans="2:12" x14ac:dyDescent="0.85">
      <c r="B346" s="46">
        <v>339</v>
      </c>
      <c r="C346" s="276"/>
      <c r="D346" s="283"/>
      <c r="E346" s="10"/>
      <c r="F346" s="10"/>
      <c r="G346" s="47">
        <v>1</v>
      </c>
      <c r="H346" s="72"/>
      <c r="I346" s="10"/>
      <c r="J346" s="46">
        <f t="shared" si="11"/>
        <v>1</v>
      </c>
      <c r="K346" s="46">
        <f>IFERROR(INDEX(TarrifTable,MATCH(Elements!E346,Constants!$V$4:$V$7,0),MATCH(Elements!F346,Constants!$W$3:$AA$3,0)),0)</f>
        <v>0</v>
      </c>
      <c r="L346" s="69">
        <f t="shared" si="12"/>
        <v>0</v>
      </c>
    </row>
    <row r="347" spans="2:12" x14ac:dyDescent="0.85">
      <c r="B347" s="48">
        <v>340</v>
      </c>
      <c r="C347" s="277"/>
      <c r="D347" s="284"/>
      <c r="E347" s="44"/>
      <c r="F347" s="44"/>
      <c r="G347" s="49">
        <v>1</v>
      </c>
      <c r="H347" s="73"/>
      <c r="I347" s="44"/>
      <c r="J347" s="48">
        <f t="shared" si="11"/>
        <v>1</v>
      </c>
      <c r="K347" s="48">
        <f>IFERROR(INDEX(TarrifTable,MATCH(Elements!E347,Constants!$V$4:$V$7,0),MATCH(Elements!F347,Constants!$W$3:$AA$3,0)),0)</f>
        <v>0</v>
      </c>
      <c r="L347" s="68">
        <f t="shared" si="12"/>
        <v>0</v>
      </c>
    </row>
    <row r="348" spans="2:12" x14ac:dyDescent="0.85">
      <c r="B348" s="46">
        <v>341</v>
      </c>
      <c r="C348" s="276"/>
      <c r="D348" s="283"/>
      <c r="E348" s="10"/>
      <c r="F348" s="10"/>
      <c r="G348" s="47">
        <v>1</v>
      </c>
      <c r="H348" s="72"/>
      <c r="I348" s="10"/>
      <c r="J348" s="46">
        <f t="shared" si="11"/>
        <v>1</v>
      </c>
      <c r="K348" s="46">
        <f>IFERROR(INDEX(TarrifTable,MATCH(Elements!E348,Constants!$V$4:$V$7,0),MATCH(Elements!F348,Constants!$W$3:$AA$3,0)),0)</f>
        <v>0</v>
      </c>
      <c r="L348" s="69">
        <f t="shared" si="12"/>
        <v>0</v>
      </c>
    </row>
    <row r="349" spans="2:12" x14ac:dyDescent="0.85">
      <c r="B349" s="48">
        <v>342</v>
      </c>
      <c r="C349" s="277"/>
      <c r="D349" s="284"/>
      <c r="E349" s="44"/>
      <c r="F349" s="44"/>
      <c r="G349" s="49">
        <v>1</v>
      </c>
      <c r="H349" s="73"/>
      <c r="I349" s="44"/>
      <c r="J349" s="48">
        <f t="shared" si="11"/>
        <v>1</v>
      </c>
      <c r="K349" s="48">
        <f>IFERROR(INDEX(TarrifTable,MATCH(Elements!E349,Constants!$V$4:$V$7,0),MATCH(Elements!F349,Constants!$W$3:$AA$3,0)),0)</f>
        <v>0</v>
      </c>
      <c r="L349" s="68">
        <f t="shared" si="12"/>
        <v>0</v>
      </c>
    </row>
    <row r="350" spans="2:12" x14ac:dyDescent="0.85">
      <c r="B350" s="46">
        <v>343</v>
      </c>
      <c r="C350" s="276"/>
      <c r="D350" s="283"/>
      <c r="E350" s="10"/>
      <c r="F350" s="10"/>
      <c r="G350" s="47">
        <v>1</v>
      </c>
      <c r="H350" s="72"/>
      <c r="I350" s="10"/>
      <c r="J350" s="46">
        <f t="shared" si="11"/>
        <v>1</v>
      </c>
      <c r="K350" s="46">
        <f>IFERROR(INDEX(TarrifTable,MATCH(Elements!E350,Constants!$V$4:$V$7,0),MATCH(Elements!F350,Constants!$W$3:$AA$3,0)),0)</f>
        <v>0</v>
      </c>
      <c r="L350" s="69">
        <f t="shared" si="12"/>
        <v>0</v>
      </c>
    </row>
    <row r="351" spans="2:12" x14ac:dyDescent="0.85">
      <c r="B351" s="48">
        <v>344</v>
      </c>
      <c r="C351" s="277"/>
      <c r="D351" s="284"/>
      <c r="E351" s="44"/>
      <c r="F351" s="44"/>
      <c r="G351" s="49">
        <v>1</v>
      </c>
      <c r="H351" s="73"/>
      <c r="I351" s="44"/>
      <c r="J351" s="48">
        <f t="shared" si="11"/>
        <v>1</v>
      </c>
      <c r="K351" s="48">
        <f>IFERROR(INDEX(TarrifTable,MATCH(Elements!E351,Constants!$V$4:$V$7,0),MATCH(Elements!F351,Constants!$W$3:$AA$3,0)),0)</f>
        <v>0</v>
      </c>
      <c r="L351" s="68">
        <f t="shared" si="12"/>
        <v>0</v>
      </c>
    </row>
    <row r="352" spans="2:12" x14ac:dyDescent="0.85">
      <c r="B352" s="46">
        <v>345</v>
      </c>
      <c r="C352" s="276"/>
      <c r="D352" s="283"/>
      <c r="E352" s="10"/>
      <c r="F352" s="10"/>
      <c r="G352" s="47">
        <v>1</v>
      </c>
      <c r="H352" s="72"/>
      <c r="I352" s="10"/>
      <c r="J352" s="46">
        <f t="shared" si="11"/>
        <v>1</v>
      </c>
      <c r="K352" s="46">
        <f>IFERROR(INDEX(TarrifTable,MATCH(Elements!E352,Constants!$V$4:$V$7,0),MATCH(Elements!F352,Constants!$W$3:$AA$3,0)),0)</f>
        <v>0</v>
      </c>
      <c r="L352" s="69">
        <f t="shared" si="12"/>
        <v>0</v>
      </c>
    </row>
    <row r="353" spans="2:12" x14ac:dyDescent="0.85">
      <c r="B353" s="48">
        <v>346</v>
      </c>
      <c r="C353" s="277"/>
      <c r="D353" s="284"/>
      <c r="E353" s="44"/>
      <c r="F353" s="44"/>
      <c r="G353" s="49">
        <v>1</v>
      </c>
      <c r="H353" s="73"/>
      <c r="I353" s="44"/>
      <c r="J353" s="48">
        <f t="shared" si="11"/>
        <v>1</v>
      </c>
      <c r="K353" s="48">
        <f>IFERROR(INDEX(TarrifTable,MATCH(Elements!E353,Constants!$V$4:$V$7,0),MATCH(Elements!F353,Constants!$W$3:$AA$3,0)),0)</f>
        <v>0</v>
      </c>
      <c r="L353" s="68">
        <f t="shared" si="12"/>
        <v>0</v>
      </c>
    </row>
    <row r="354" spans="2:12" x14ac:dyDescent="0.85">
      <c r="B354" s="46">
        <v>347</v>
      </c>
      <c r="C354" s="276"/>
      <c r="D354" s="283"/>
      <c r="E354" s="10"/>
      <c r="F354" s="10"/>
      <c r="G354" s="47">
        <v>1</v>
      </c>
      <c r="H354" s="72"/>
      <c r="I354" s="10"/>
      <c r="J354" s="46">
        <f t="shared" si="11"/>
        <v>1</v>
      </c>
      <c r="K354" s="46">
        <f>IFERROR(INDEX(TarrifTable,MATCH(Elements!E354,Constants!$V$4:$V$7,0),MATCH(Elements!F354,Constants!$W$3:$AA$3,0)),0)</f>
        <v>0</v>
      </c>
      <c r="L354" s="69">
        <f t="shared" si="12"/>
        <v>0</v>
      </c>
    </row>
    <row r="355" spans="2:12" x14ac:dyDescent="0.85">
      <c r="B355" s="48">
        <v>348</v>
      </c>
      <c r="C355" s="277"/>
      <c r="D355" s="284"/>
      <c r="E355" s="44"/>
      <c r="F355" s="44"/>
      <c r="G355" s="49">
        <v>1</v>
      </c>
      <c r="H355" s="73"/>
      <c r="I355" s="44"/>
      <c r="J355" s="48">
        <f t="shared" si="11"/>
        <v>1</v>
      </c>
      <c r="K355" s="48">
        <f>IFERROR(INDEX(TarrifTable,MATCH(Elements!E355,Constants!$V$4:$V$7,0),MATCH(Elements!F355,Constants!$W$3:$AA$3,0)),0)</f>
        <v>0</v>
      </c>
      <c r="L355" s="68">
        <f t="shared" si="12"/>
        <v>0</v>
      </c>
    </row>
    <row r="356" spans="2:12" x14ac:dyDescent="0.85">
      <c r="B356" s="46">
        <v>349</v>
      </c>
      <c r="C356" s="276"/>
      <c r="D356" s="283"/>
      <c r="E356" s="10"/>
      <c r="F356" s="10"/>
      <c r="G356" s="47">
        <v>1</v>
      </c>
      <c r="H356" s="72"/>
      <c r="I356" s="10"/>
      <c r="J356" s="46">
        <f t="shared" si="11"/>
        <v>1</v>
      </c>
      <c r="K356" s="46">
        <f>IFERROR(INDEX(TarrifTable,MATCH(Elements!E356,Constants!$V$4:$V$7,0),MATCH(Elements!F356,Constants!$W$3:$AA$3,0)),0)</f>
        <v>0</v>
      </c>
      <c r="L356" s="69">
        <f t="shared" si="12"/>
        <v>0</v>
      </c>
    </row>
    <row r="357" spans="2:12" x14ac:dyDescent="0.85">
      <c r="B357" s="48">
        <v>350</v>
      </c>
      <c r="C357" s="277"/>
      <c r="D357" s="284"/>
      <c r="E357" s="44"/>
      <c r="F357" s="44"/>
      <c r="G357" s="49">
        <v>1</v>
      </c>
      <c r="H357" s="73"/>
      <c r="I357" s="44"/>
      <c r="J357" s="48">
        <f t="shared" si="11"/>
        <v>1</v>
      </c>
      <c r="K357" s="48">
        <f>IFERROR(INDEX(TarrifTable,MATCH(Elements!E357,Constants!$V$4:$V$7,0),MATCH(Elements!F357,Constants!$W$3:$AA$3,0)),0)</f>
        <v>0</v>
      </c>
      <c r="L357" s="68">
        <f t="shared" si="12"/>
        <v>0</v>
      </c>
    </row>
    <row r="358" spans="2:12" x14ac:dyDescent="0.85">
      <c r="B358" s="46">
        <v>351</v>
      </c>
      <c r="C358" s="276"/>
      <c r="D358" s="283"/>
      <c r="E358" s="10"/>
      <c r="F358" s="10"/>
      <c r="G358" s="47">
        <v>1</v>
      </c>
      <c r="H358" s="72"/>
      <c r="I358" s="10"/>
      <c r="J358" s="46">
        <f t="shared" si="11"/>
        <v>1</v>
      </c>
      <c r="K358" s="46">
        <f>IFERROR(INDEX(TarrifTable,MATCH(Elements!E358,Constants!$V$4:$V$7,0),MATCH(Elements!F358,Constants!$W$3:$AA$3,0)),0)</f>
        <v>0</v>
      </c>
      <c r="L358" s="69">
        <f t="shared" si="12"/>
        <v>0</v>
      </c>
    </row>
    <row r="359" spans="2:12" x14ac:dyDescent="0.85">
      <c r="B359" s="48">
        <v>352</v>
      </c>
      <c r="C359" s="277"/>
      <c r="D359" s="284"/>
      <c r="E359" s="44"/>
      <c r="F359" s="44"/>
      <c r="G359" s="49">
        <v>1</v>
      </c>
      <c r="H359" s="73"/>
      <c r="I359" s="44"/>
      <c r="J359" s="48">
        <f t="shared" si="11"/>
        <v>1</v>
      </c>
      <c r="K359" s="48">
        <f>IFERROR(INDEX(TarrifTable,MATCH(Elements!E359,Constants!$V$4:$V$7,0),MATCH(Elements!F359,Constants!$W$3:$AA$3,0)),0)</f>
        <v>0</v>
      </c>
      <c r="L359" s="68">
        <f t="shared" si="12"/>
        <v>0</v>
      </c>
    </row>
    <row r="360" spans="2:12" x14ac:dyDescent="0.85">
      <c r="B360" s="46">
        <v>353</v>
      </c>
      <c r="C360" s="276"/>
      <c r="D360" s="283"/>
      <c r="E360" s="10"/>
      <c r="F360" s="10"/>
      <c r="G360" s="47">
        <v>1</v>
      </c>
      <c r="H360" s="72"/>
      <c r="I360" s="10"/>
      <c r="J360" s="46">
        <f t="shared" si="11"/>
        <v>1</v>
      </c>
      <c r="K360" s="46">
        <f>IFERROR(INDEX(TarrifTable,MATCH(Elements!E360,Constants!$V$4:$V$7,0),MATCH(Elements!F360,Constants!$W$3:$AA$3,0)),0)</f>
        <v>0</v>
      </c>
      <c r="L360" s="69">
        <f t="shared" si="12"/>
        <v>0</v>
      </c>
    </row>
    <row r="361" spans="2:12" x14ac:dyDescent="0.85">
      <c r="B361" s="48">
        <v>354</v>
      </c>
      <c r="C361" s="277"/>
      <c r="D361" s="284"/>
      <c r="E361" s="44"/>
      <c r="F361" s="44"/>
      <c r="G361" s="49">
        <v>1</v>
      </c>
      <c r="H361" s="73"/>
      <c r="I361" s="44"/>
      <c r="J361" s="48">
        <f t="shared" si="11"/>
        <v>1</v>
      </c>
      <c r="K361" s="48">
        <f>IFERROR(INDEX(TarrifTable,MATCH(Elements!E361,Constants!$V$4:$V$7,0),MATCH(Elements!F361,Constants!$W$3:$AA$3,0)),0)</f>
        <v>0</v>
      </c>
      <c r="L361" s="68">
        <f t="shared" si="12"/>
        <v>0</v>
      </c>
    </row>
    <row r="362" spans="2:12" x14ac:dyDescent="0.85">
      <c r="B362" s="46">
        <v>355</v>
      </c>
      <c r="C362" s="276"/>
      <c r="D362" s="283"/>
      <c r="E362" s="10"/>
      <c r="F362" s="10"/>
      <c r="G362" s="47">
        <v>1</v>
      </c>
      <c r="H362" s="72"/>
      <c r="I362" s="10"/>
      <c r="J362" s="46">
        <f t="shared" si="11"/>
        <v>1</v>
      </c>
      <c r="K362" s="46">
        <f>IFERROR(INDEX(TarrifTable,MATCH(Elements!E362,Constants!$V$4:$V$7,0),MATCH(Elements!F362,Constants!$W$3:$AA$3,0)),0)</f>
        <v>0</v>
      </c>
      <c r="L362" s="69">
        <f t="shared" si="12"/>
        <v>0</v>
      </c>
    </row>
    <row r="363" spans="2:12" x14ac:dyDescent="0.85">
      <c r="B363" s="48">
        <v>356</v>
      </c>
      <c r="C363" s="277"/>
      <c r="D363" s="284"/>
      <c r="E363" s="44"/>
      <c r="F363" s="44"/>
      <c r="G363" s="49">
        <v>1</v>
      </c>
      <c r="H363" s="73"/>
      <c r="I363" s="44"/>
      <c r="J363" s="48">
        <f t="shared" si="11"/>
        <v>1</v>
      </c>
      <c r="K363" s="48">
        <f>IFERROR(INDEX(TarrifTable,MATCH(Elements!E363,Constants!$V$4:$V$7,0),MATCH(Elements!F363,Constants!$W$3:$AA$3,0)),0)</f>
        <v>0</v>
      </c>
      <c r="L363" s="68">
        <f t="shared" si="12"/>
        <v>0</v>
      </c>
    </row>
    <row r="364" spans="2:12" x14ac:dyDescent="0.85">
      <c r="B364" s="46">
        <v>357</v>
      </c>
      <c r="C364" s="276"/>
      <c r="D364" s="283"/>
      <c r="E364" s="10"/>
      <c r="F364" s="10"/>
      <c r="G364" s="47">
        <v>1</v>
      </c>
      <c r="H364" s="72"/>
      <c r="I364" s="10"/>
      <c r="J364" s="46">
        <f t="shared" si="11"/>
        <v>1</v>
      </c>
      <c r="K364" s="46">
        <f>IFERROR(INDEX(TarrifTable,MATCH(Elements!E364,Constants!$V$4:$V$7,0),MATCH(Elements!F364,Constants!$W$3:$AA$3,0)),0)</f>
        <v>0</v>
      </c>
      <c r="L364" s="69">
        <f t="shared" si="12"/>
        <v>0</v>
      </c>
    </row>
    <row r="365" spans="2:12" x14ac:dyDescent="0.85">
      <c r="B365" s="48">
        <v>358</v>
      </c>
      <c r="C365" s="277"/>
      <c r="D365" s="284"/>
      <c r="E365" s="44"/>
      <c r="F365" s="44"/>
      <c r="G365" s="49">
        <v>1</v>
      </c>
      <c r="H365" s="73"/>
      <c r="I365" s="44"/>
      <c r="J365" s="48">
        <f t="shared" si="11"/>
        <v>1</v>
      </c>
      <c r="K365" s="48">
        <f>IFERROR(INDEX(TarrifTable,MATCH(Elements!E365,Constants!$V$4:$V$7,0),MATCH(Elements!F365,Constants!$W$3:$AA$3,0)),0)</f>
        <v>0</v>
      </c>
      <c r="L365" s="68">
        <f t="shared" si="12"/>
        <v>0</v>
      </c>
    </row>
    <row r="366" spans="2:12" x14ac:dyDescent="0.85">
      <c r="B366" s="46">
        <v>359</v>
      </c>
      <c r="C366" s="276"/>
      <c r="D366" s="283"/>
      <c r="E366" s="10"/>
      <c r="F366" s="10"/>
      <c r="G366" s="47">
        <v>1</v>
      </c>
      <c r="H366" s="72"/>
      <c r="I366" s="10"/>
      <c r="J366" s="46">
        <f t="shared" si="11"/>
        <v>1</v>
      </c>
      <c r="K366" s="46">
        <f>IFERROR(INDEX(TarrifTable,MATCH(Elements!E366,Constants!$V$4:$V$7,0),MATCH(Elements!F366,Constants!$W$3:$AA$3,0)),0)</f>
        <v>0</v>
      </c>
      <c r="L366" s="69">
        <f t="shared" si="12"/>
        <v>0</v>
      </c>
    </row>
    <row r="367" spans="2:12" x14ac:dyDescent="0.85">
      <c r="B367" s="48">
        <v>360</v>
      </c>
      <c r="C367" s="277"/>
      <c r="D367" s="284"/>
      <c r="E367" s="44"/>
      <c r="F367" s="44"/>
      <c r="G367" s="49">
        <v>1</v>
      </c>
      <c r="H367" s="73"/>
      <c r="I367" s="44"/>
      <c r="J367" s="48">
        <f t="shared" si="11"/>
        <v>1</v>
      </c>
      <c r="K367" s="48">
        <f>IFERROR(INDEX(TarrifTable,MATCH(Elements!E367,Constants!$V$4:$V$7,0),MATCH(Elements!F367,Constants!$W$3:$AA$3,0)),0)</f>
        <v>0</v>
      </c>
      <c r="L367" s="68">
        <f t="shared" si="12"/>
        <v>0</v>
      </c>
    </row>
    <row r="368" spans="2:12" x14ac:dyDescent="0.85">
      <c r="B368" s="46">
        <v>361</v>
      </c>
      <c r="C368" s="276"/>
      <c r="D368" s="283"/>
      <c r="E368" s="10"/>
      <c r="F368" s="10"/>
      <c r="G368" s="47">
        <v>1</v>
      </c>
      <c r="H368" s="72"/>
      <c r="I368" s="10"/>
      <c r="J368" s="46">
        <f t="shared" si="11"/>
        <v>1</v>
      </c>
      <c r="K368" s="46">
        <f>IFERROR(INDEX(TarrifTable,MATCH(Elements!E368,Constants!$V$4:$V$7,0),MATCH(Elements!F368,Constants!$W$3:$AA$3,0)),0)</f>
        <v>0</v>
      </c>
      <c r="L368" s="69">
        <f t="shared" si="12"/>
        <v>0</v>
      </c>
    </row>
    <row r="369" spans="2:12" x14ac:dyDescent="0.85">
      <c r="B369" s="48">
        <v>362</v>
      </c>
      <c r="C369" s="277"/>
      <c r="D369" s="284"/>
      <c r="E369" s="44"/>
      <c r="F369" s="44"/>
      <c r="G369" s="49">
        <v>1</v>
      </c>
      <c r="H369" s="73"/>
      <c r="I369" s="44"/>
      <c r="J369" s="48">
        <f t="shared" si="11"/>
        <v>1</v>
      </c>
      <c r="K369" s="48">
        <f>IFERROR(INDEX(TarrifTable,MATCH(Elements!E369,Constants!$V$4:$V$7,0),MATCH(Elements!F369,Constants!$W$3:$AA$3,0)),0)</f>
        <v>0</v>
      </c>
      <c r="L369" s="68">
        <f t="shared" si="12"/>
        <v>0</v>
      </c>
    </row>
    <row r="370" spans="2:12" x14ac:dyDescent="0.85">
      <c r="B370" s="46">
        <v>363</v>
      </c>
      <c r="C370" s="276"/>
      <c r="D370" s="283"/>
      <c r="E370" s="10"/>
      <c r="F370" s="10"/>
      <c r="G370" s="47">
        <v>1</v>
      </c>
      <c r="H370" s="72"/>
      <c r="I370" s="10"/>
      <c r="J370" s="46">
        <f t="shared" si="11"/>
        <v>1</v>
      </c>
      <c r="K370" s="46">
        <f>IFERROR(INDEX(TarrifTable,MATCH(Elements!E370,Constants!$V$4:$V$7,0),MATCH(Elements!F370,Constants!$W$3:$AA$3,0)),0)</f>
        <v>0</v>
      </c>
      <c r="L370" s="69">
        <f t="shared" si="12"/>
        <v>0</v>
      </c>
    </row>
    <row r="371" spans="2:12" x14ac:dyDescent="0.85">
      <c r="B371" s="48">
        <v>364</v>
      </c>
      <c r="C371" s="277"/>
      <c r="D371" s="284"/>
      <c r="E371" s="44"/>
      <c r="F371" s="44"/>
      <c r="G371" s="49">
        <v>1</v>
      </c>
      <c r="H371" s="73"/>
      <c r="I371" s="44"/>
      <c r="J371" s="48">
        <f t="shared" si="11"/>
        <v>1</v>
      </c>
      <c r="K371" s="48">
        <f>IFERROR(INDEX(TarrifTable,MATCH(Elements!E371,Constants!$V$4:$V$7,0),MATCH(Elements!F371,Constants!$W$3:$AA$3,0)),0)</f>
        <v>0</v>
      </c>
      <c r="L371" s="68">
        <f t="shared" si="12"/>
        <v>0</v>
      </c>
    </row>
    <row r="372" spans="2:12" x14ac:dyDescent="0.85">
      <c r="B372" s="46">
        <v>365</v>
      </c>
      <c r="C372" s="276"/>
      <c r="D372" s="283"/>
      <c r="E372" s="10"/>
      <c r="F372" s="10"/>
      <c r="G372" s="47">
        <v>1</v>
      </c>
      <c r="H372" s="72"/>
      <c r="I372" s="10"/>
      <c r="J372" s="46">
        <f t="shared" si="11"/>
        <v>1</v>
      </c>
      <c r="K372" s="46">
        <f>IFERROR(INDEX(TarrifTable,MATCH(Elements!E372,Constants!$V$4:$V$7,0),MATCH(Elements!F372,Constants!$W$3:$AA$3,0)),0)</f>
        <v>0</v>
      </c>
      <c r="L372" s="69">
        <f t="shared" si="12"/>
        <v>0</v>
      </c>
    </row>
    <row r="373" spans="2:12" x14ac:dyDescent="0.85">
      <c r="B373" s="48">
        <v>366</v>
      </c>
      <c r="C373" s="277"/>
      <c r="D373" s="284"/>
      <c r="E373" s="44"/>
      <c r="F373" s="44"/>
      <c r="G373" s="49">
        <v>1</v>
      </c>
      <c r="H373" s="73"/>
      <c r="I373" s="44"/>
      <c r="J373" s="48">
        <f t="shared" si="11"/>
        <v>1</v>
      </c>
      <c r="K373" s="48">
        <f>IFERROR(INDEX(TarrifTable,MATCH(Elements!E373,Constants!$V$4:$V$7,0),MATCH(Elements!F373,Constants!$W$3:$AA$3,0)),0)</f>
        <v>0</v>
      </c>
      <c r="L373" s="68">
        <f t="shared" si="12"/>
        <v>0</v>
      </c>
    </row>
    <row r="374" spans="2:12" x14ac:dyDescent="0.85">
      <c r="B374" s="46">
        <v>367</v>
      </c>
      <c r="C374" s="276"/>
      <c r="D374" s="283"/>
      <c r="E374" s="10"/>
      <c r="F374" s="10"/>
      <c r="G374" s="47">
        <v>1</v>
      </c>
      <c r="H374" s="72"/>
      <c r="I374" s="10"/>
      <c r="J374" s="46">
        <f t="shared" si="11"/>
        <v>1</v>
      </c>
      <c r="K374" s="46">
        <f>IFERROR(INDEX(TarrifTable,MATCH(Elements!E374,Constants!$V$4:$V$7,0),MATCH(Elements!F374,Constants!$W$3:$AA$3,0)),0)</f>
        <v>0</v>
      </c>
      <c r="L374" s="69">
        <f t="shared" si="12"/>
        <v>0</v>
      </c>
    </row>
    <row r="375" spans="2:12" x14ac:dyDescent="0.85">
      <c r="B375" s="48">
        <v>368</v>
      </c>
      <c r="C375" s="277"/>
      <c r="D375" s="284"/>
      <c r="E375" s="44"/>
      <c r="F375" s="44"/>
      <c r="G375" s="49">
        <v>1</v>
      </c>
      <c r="H375" s="73"/>
      <c r="I375" s="44"/>
      <c r="J375" s="48">
        <f t="shared" si="11"/>
        <v>1</v>
      </c>
      <c r="K375" s="48">
        <f>IFERROR(INDEX(TarrifTable,MATCH(Elements!E375,Constants!$V$4:$V$7,0),MATCH(Elements!F375,Constants!$W$3:$AA$3,0)),0)</f>
        <v>0</v>
      </c>
      <c r="L375" s="68">
        <f t="shared" si="12"/>
        <v>0</v>
      </c>
    </row>
    <row r="376" spans="2:12" x14ac:dyDescent="0.85">
      <c r="B376" s="46">
        <v>369</v>
      </c>
      <c r="C376" s="276"/>
      <c r="D376" s="283"/>
      <c r="E376" s="10"/>
      <c r="F376" s="10"/>
      <c r="G376" s="47">
        <v>1</v>
      </c>
      <c r="H376" s="72"/>
      <c r="I376" s="10"/>
      <c r="J376" s="46">
        <f t="shared" si="11"/>
        <v>1</v>
      </c>
      <c r="K376" s="46">
        <f>IFERROR(INDEX(TarrifTable,MATCH(Elements!E376,Constants!$V$4:$V$7,0),MATCH(Elements!F376,Constants!$W$3:$AA$3,0)),0)</f>
        <v>0</v>
      </c>
      <c r="L376" s="69">
        <f t="shared" si="12"/>
        <v>0</v>
      </c>
    </row>
    <row r="377" spans="2:12" x14ac:dyDescent="0.85">
      <c r="B377" s="48">
        <v>370</v>
      </c>
      <c r="C377" s="277"/>
      <c r="D377" s="284"/>
      <c r="E377" s="44"/>
      <c r="F377" s="44"/>
      <c r="G377" s="49">
        <v>1</v>
      </c>
      <c r="H377" s="73"/>
      <c r="I377" s="44"/>
      <c r="J377" s="48">
        <f t="shared" si="11"/>
        <v>1</v>
      </c>
      <c r="K377" s="48">
        <f>IFERROR(INDEX(TarrifTable,MATCH(Elements!E377,Constants!$V$4:$V$7,0),MATCH(Elements!F377,Constants!$W$3:$AA$3,0)),0)</f>
        <v>0</v>
      </c>
      <c r="L377" s="68">
        <f t="shared" si="12"/>
        <v>0</v>
      </c>
    </row>
    <row r="378" spans="2:12" x14ac:dyDescent="0.85">
      <c r="B378" s="46">
        <v>371</v>
      </c>
      <c r="C378" s="276"/>
      <c r="D378" s="283"/>
      <c r="E378" s="10"/>
      <c r="F378" s="10"/>
      <c r="G378" s="47">
        <v>1</v>
      </c>
      <c r="H378" s="72"/>
      <c r="I378" s="10"/>
      <c r="J378" s="46">
        <f t="shared" si="11"/>
        <v>1</v>
      </c>
      <c r="K378" s="46">
        <f>IFERROR(INDEX(TarrifTable,MATCH(Elements!E378,Constants!$V$4:$V$7,0),MATCH(Elements!F378,Constants!$W$3:$AA$3,0)),0)</f>
        <v>0</v>
      </c>
      <c r="L378" s="69">
        <f t="shared" si="12"/>
        <v>0</v>
      </c>
    </row>
    <row r="379" spans="2:12" x14ac:dyDescent="0.85">
      <c r="B379" s="48">
        <v>372</v>
      </c>
      <c r="C379" s="277"/>
      <c r="D379" s="284"/>
      <c r="E379" s="44"/>
      <c r="F379" s="44"/>
      <c r="G379" s="49">
        <v>1</v>
      </c>
      <c r="H379" s="73"/>
      <c r="I379" s="44"/>
      <c r="J379" s="48">
        <f t="shared" si="11"/>
        <v>1</v>
      </c>
      <c r="K379" s="48">
        <f>IFERROR(INDEX(TarrifTable,MATCH(Elements!E379,Constants!$V$4:$V$7,0),MATCH(Elements!F379,Constants!$W$3:$AA$3,0)),0)</f>
        <v>0</v>
      </c>
      <c r="L379" s="68">
        <f t="shared" si="12"/>
        <v>0</v>
      </c>
    </row>
    <row r="380" spans="2:12" x14ac:dyDescent="0.85">
      <c r="B380" s="46">
        <v>373</v>
      </c>
      <c r="C380" s="276"/>
      <c r="D380" s="283"/>
      <c r="E380" s="10"/>
      <c r="F380" s="10"/>
      <c r="G380" s="47">
        <v>1</v>
      </c>
      <c r="H380" s="72"/>
      <c r="I380" s="10"/>
      <c r="J380" s="46">
        <f t="shared" si="11"/>
        <v>1</v>
      </c>
      <c r="K380" s="46">
        <f>IFERROR(INDEX(TarrifTable,MATCH(Elements!E380,Constants!$V$4:$V$7,0),MATCH(Elements!F380,Constants!$W$3:$AA$3,0)),0)</f>
        <v>0</v>
      </c>
      <c r="L380" s="69">
        <f t="shared" si="12"/>
        <v>0</v>
      </c>
    </row>
    <row r="381" spans="2:12" x14ac:dyDescent="0.85">
      <c r="B381" s="48">
        <v>374</v>
      </c>
      <c r="C381" s="277"/>
      <c r="D381" s="284"/>
      <c r="E381" s="44"/>
      <c r="F381" s="44"/>
      <c r="G381" s="49">
        <v>1</v>
      </c>
      <c r="H381" s="73"/>
      <c r="I381" s="44"/>
      <c r="J381" s="48">
        <f t="shared" si="11"/>
        <v>1</v>
      </c>
      <c r="K381" s="48">
        <f>IFERROR(INDEX(TarrifTable,MATCH(Elements!E381,Constants!$V$4:$V$7,0),MATCH(Elements!F381,Constants!$W$3:$AA$3,0)),0)</f>
        <v>0</v>
      </c>
      <c r="L381" s="68">
        <f t="shared" si="12"/>
        <v>0</v>
      </c>
    </row>
    <row r="382" spans="2:12" x14ac:dyDescent="0.85">
      <c r="B382" s="46">
        <v>375</v>
      </c>
      <c r="C382" s="276"/>
      <c r="D382" s="283"/>
      <c r="E382" s="10"/>
      <c r="F382" s="10"/>
      <c r="G382" s="47">
        <v>1</v>
      </c>
      <c r="H382" s="72"/>
      <c r="I382" s="10"/>
      <c r="J382" s="46">
        <f t="shared" si="11"/>
        <v>1</v>
      </c>
      <c r="K382" s="46">
        <f>IFERROR(INDEX(TarrifTable,MATCH(Elements!E382,Constants!$V$4:$V$7,0),MATCH(Elements!F382,Constants!$W$3:$AA$3,0)),0)</f>
        <v>0</v>
      </c>
      <c r="L382" s="69">
        <f t="shared" si="12"/>
        <v>0</v>
      </c>
    </row>
    <row r="383" spans="2:12" x14ac:dyDescent="0.85">
      <c r="B383" s="48">
        <v>376</v>
      </c>
      <c r="C383" s="277"/>
      <c r="D383" s="284"/>
      <c r="E383" s="44"/>
      <c r="F383" s="44"/>
      <c r="G383" s="49">
        <v>1</v>
      </c>
      <c r="H383" s="73"/>
      <c r="I383" s="44"/>
      <c r="J383" s="48">
        <f t="shared" si="11"/>
        <v>1</v>
      </c>
      <c r="K383" s="48">
        <f>IFERROR(INDEX(TarrifTable,MATCH(Elements!E383,Constants!$V$4:$V$7,0),MATCH(Elements!F383,Constants!$W$3:$AA$3,0)),0)</f>
        <v>0</v>
      </c>
      <c r="L383" s="68">
        <f t="shared" si="12"/>
        <v>0</v>
      </c>
    </row>
    <row r="384" spans="2:12" x14ac:dyDescent="0.85">
      <c r="B384" s="46">
        <v>377</v>
      </c>
      <c r="C384" s="276"/>
      <c r="D384" s="283"/>
      <c r="E384" s="10"/>
      <c r="F384" s="10"/>
      <c r="G384" s="47">
        <v>1</v>
      </c>
      <c r="H384" s="72"/>
      <c r="I384" s="10"/>
      <c r="J384" s="46">
        <f t="shared" si="11"/>
        <v>1</v>
      </c>
      <c r="K384" s="46">
        <f>IFERROR(INDEX(TarrifTable,MATCH(Elements!E384,Constants!$V$4:$V$7,0),MATCH(Elements!F384,Constants!$W$3:$AA$3,0)),0)</f>
        <v>0</v>
      </c>
      <c r="L384" s="69">
        <f t="shared" si="12"/>
        <v>0</v>
      </c>
    </row>
    <row r="385" spans="2:12" x14ac:dyDescent="0.85">
      <c r="B385" s="48">
        <v>378</v>
      </c>
      <c r="C385" s="277"/>
      <c r="D385" s="284"/>
      <c r="E385" s="44"/>
      <c r="F385" s="44"/>
      <c r="G385" s="49">
        <v>1</v>
      </c>
      <c r="H385" s="73"/>
      <c r="I385" s="44"/>
      <c r="J385" s="48">
        <f t="shared" si="11"/>
        <v>1</v>
      </c>
      <c r="K385" s="48">
        <f>IFERROR(INDEX(TarrifTable,MATCH(Elements!E385,Constants!$V$4:$V$7,0),MATCH(Elements!F385,Constants!$W$3:$AA$3,0)),0)</f>
        <v>0</v>
      </c>
      <c r="L385" s="68">
        <f t="shared" si="12"/>
        <v>0</v>
      </c>
    </row>
    <row r="386" spans="2:12" x14ac:dyDescent="0.85">
      <c r="B386" s="46">
        <v>379</v>
      </c>
      <c r="C386" s="276"/>
      <c r="D386" s="283"/>
      <c r="E386" s="10"/>
      <c r="F386" s="10"/>
      <c r="G386" s="47">
        <v>1</v>
      </c>
      <c r="H386" s="72"/>
      <c r="I386" s="10"/>
      <c r="J386" s="46">
        <f t="shared" si="11"/>
        <v>1</v>
      </c>
      <c r="K386" s="46">
        <f>IFERROR(INDEX(TarrifTable,MATCH(Elements!E386,Constants!$V$4:$V$7,0),MATCH(Elements!F386,Constants!$W$3:$AA$3,0)),0)</f>
        <v>0</v>
      </c>
      <c r="L386" s="69">
        <f t="shared" si="12"/>
        <v>0</v>
      </c>
    </row>
    <row r="387" spans="2:12" x14ac:dyDescent="0.85">
      <c r="B387" s="48">
        <v>380</v>
      </c>
      <c r="C387" s="277"/>
      <c r="D387" s="284"/>
      <c r="E387" s="44"/>
      <c r="F387" s="44"/>
      <c r="G387" s="49">
        <v>1</v>
      </c>
      <c r="H387" s="73"/>
      <c r="I387" s="44"/>
      <c r="J387" s="48">
        <f t="shared" si="11"/>
        <v>1</v>
      </c>
      <c r="K387" s="48">
        <f>IFERROR(INDEX(TarrifTable,MATCH(Elements!E387,Constants!$V$4:$V$7,0),MATCH(Elements!F387,Constants!$W$3:$AA$3,0)),0)</f>
        <v>0</v>
      </c>
      <c r="L387" s="68">
        <f t="shared" si="12"/>
        <v>0</v>
      </c>
    </row>
    <row r="388" spans="2:12" x14ac:dyDescent="0.85">
      <c r="B388" s="46">
        <v>381</v>
      </c>
      <c r="C388" s="276"/>
      <c r="D388" s="283"/>
      <c r="E388" s="10"/>
      <c r="F388" s="10"/>
      <c r="G388" s="47">
        <v>1</v>
      </c>
      <c r="H388" s="72"/>
      <c r="I388" s="10"/>
      <c r="J388" s="46">
        <f t="shared" si="11"/>
        <v>1</v>
      </c>
      <c r="K388" s="46">
        <f>IFERROR(INDEX(TarrifTable,MATCH(Elements!E388,Constants!$V$4:$V$7,0),MATCH(Elements!F388,Constants!$W$3:$AA$3,0)),0)</f>
        <v>0</v>
      </c>
      <c r="L388" s="69">
        <f t="shared" si="12"/>
        <v>0</v>
      </c>
    </row>
    <row r="389" spans="2:12" x14ac:dyDescent="0.85">
      <c r="B389" s="48">
        <v>382</v>
      </c>
      <c r="C389" s="277"/>
      <c r="D389" s="284"/>
      <c r="E389" s="44"/>
      <c r="F389" s="44"/>
      <c r="G389" s="49">
        <v>1</v>
      </c>
      <c r="H389" s="73"/>
      <c r="I389" s="44"/>
      <c r="J389" s="48">
        <f t="shared" si="11"/>
        <v>1</v>
      </c>
      <c r="K389" s="48">
        <f>IFERROR(INDEX(TarrifTable,MATCH(Elements!E389,Constants!$V$4:$V$7,0),MATCH(Elements!F389,Constants!$W$3:$AA$3,0)),0)</f>
        <v>0</v>
      </c>
      <c r="L389" s="68">
        <f t="shared" si="12"/>
        <v>0</v>
      </c>
    </row>
    <row r="390" spans="2:12" x14ac:dyDescent="0.85">
      <c r="B390" s="46">
        <v>383</v>
      </c>
      <c r="C390" s="276"/>
      <c r="D390" s="283"/>
      <c r="E390" s="10"/>
      <c r="F390" s="10"/>
      <c r="G390" s="47">
        <v>1</v>
      </c>
      <c r="H390" s="72"/>
      <c r="I390" s="10"/>
      <c r="J390" s="46">
        <f t="shared" si="11"/>
        <v>1</v>
      </c>
      <c r="K390" s="46">
        <f>IFERROR(INDEX(TarrifTable,MATCH(Elements!E390,Constants!$V$4:$V$7,0),MATCH(Elements!F390,Constants!$W$3:$AA$3,0)),0)</f>
        <v>0</v>
      </c>
      <c r="L390" s="69">
        <f t="shared" si="12"/>
        <v>0</v>
      </c>
    </row>
    <row r="391" spans="2:12" x14ac:dyDescent="0.85">
      <c r="B391" s="48">
        <v>384</v>
      </c>
      <c r="C391" s="277"/>
      <c r="D391" s="284"/>
      <c r="E391" s="44"/>
      <c r="F391" s="44"/>
      <c r="G391" s="49">
        <v>1</v>
      </c>
      <c r="H391" s="73"/>
      <c r="I391" s="44"/>
      <c r="J391" s="48">
        <f t="shared" si="11"/>
        <v>1</v>
      </c>
      <c r="K391" s="48">
        <f>IFERROR(INDEX(TarrifTable,MATCH(Elements!E391,Constants!$V$4:$V$7,0),MATCH(Elements!F391,Constants!$W$3:$AA$3,0)),0)</f>
        <v>0</v>
      </c>
      <c r="L391" s="68">
        <f t="shared" si="12"/>
        <v>0</v>
      </c>
    </row>
    <row r="392" spans="2:12" x14ac:dyDescent="0.85">
      <c r="B392" s="46">
        <v>385</v>
      </c>
      <c r="C392" s="276"/>
      <c r="D392" s="283"/>
      <c r="E392" s="10"/>
      <c r="F392" s="10"/>
      <c r="G392" s="47">
        <v>1</v>
      </c>
      <c r="H392" s="72"/>
      <c r="I392" s="10"/>
      <c r="J392" s="46">
        <f t="shared" ref="J392:J455" si="13">IF(ISBLANK(H392),1,H392)</f>
        <v>1</v>
      </c>
      <c r="K392" s="46">
        <f>IFERROR(INDEX(TarrifTable,MATCH(Elements!E392,Constants!$V$4:$V$7,0),MATCH(Elements!F392,Constants!$W$3:$AA$3,0)),0)</f>
        <v>0</v>
      </c>
      <c r="L392" s="69">
        <f t="shared" ref="L392:L455" si="14">J392*G392*K392</f>
        <v>0</v>
      </c>
    </row>
    <row r="393" spans="2:12" x14ac:dyDescent="0.85">
      <c r="B393" s="48">
        <v>386</v>
      </c>
      <c r="C393" s="277"/>
      <c r="D393" s="284"/>
      <c r="E393" s="44"/>
      <c r="F393" s="44"/>
      <c r="G393" s="49">
        <v>1</v>
      </c>
      <c r="H393" s="73"/>
      <c r="I393" s="44"/>
      <c r="J393" s="48">
        <f t="shared" si="13"/>
        <v>1</v>
      </c>
      <c r="K393" s="48">
        <f>IFERROR(INDEX(TarrifTable,MATCH(Elements!E393,Constants!$V$4:$V$7,0),MATCH(Elements!F393,Constants!$W$3:$AA$3,0)),0)</f>
        <v>0</v>
      </c>
      <c r="L393" s="68">
        <f t="shared" si="14"/>
        <v>0</v>
      </c>
    </row>
    <row r="394" spans="2:12" x14ac:dyDescent="0.85">
      <c r="B394" s="46">
        <v>387</v>
      </c>
      <c r="C394" s="276"/>
      <c r="D394" s="283"/>
      <c r="E394" s="10"/>
      <c r="F394" s="10"/>
      <c r="G394" s="47">
        <v>1</v>
      </c>
      <c r="H394" s="72"/>
      <c r="I394" s="10"/>
      <c r="J394" s="46">
        <f t="shared" si="13"/>
        <v>1</v>
      </c>
      <c r="K394" s="46">
        <f>IFERROR(INDEX(TarrifTable,MATCH(Elements!E394,Constants!$V$4:$V$7,0),MATCH(Elements!F394,Constants!$W$3:$AA$3,0)),0)</f>
        <v>0</v>
      </c>
      <c r="L394" s="69">
        <f t="shared" si="14"/>
        <v>0</v>
      </c>
    </row>
    <row r="395" spans="2:12" x14ac:dyDescent="0.85">
      <c r="B395" s="48">
        <v>388</v>
      </c>
      <c r="C395" s="277"/>
      <c r="D395" s="284"/>
      <c r="E395" s="44"/>
      <c r="F395" s="44"/>
      <c r="G395" s="49">
        <v>1</v>
      </c>
      <c r="H395" s="73"/>
      <c r="I395" s="44"/>
      <c r="J395" s="48">
        <f t="shared" si="13"/>
        <v>1</v>
      </c>
      <c r="K395" s="48">
        <f>IFERROR(INDEX(TarrifTable,MATCH(Elements!E395,Constants!$V$4:$V$7,0),MATCH(Elements!F395,Constants!$W$3:$AA$3,0)),0)</f>
        <v>0</v>
      </c>
      <c r="L395" s="68">
        <f t="shared" si="14"/>
        <v>0</v>
      </c>
    </row>
    <row r="396" spans="2:12" x14ac:dyDescent="0.85">
      <c r="B396" s="46">
        <v>389</v>
      </c>
      <c r="C396" s="276"/>
      <c r="D396" s="283"/>
      <c r="E396" s="10"/>
      <c r="F396" s="10"/>
      <c r="G396" s="47">
        <v>1</v>
      </c>
      <c r="H396" s="72"/>
      <c r="I396" s="10"/>
      <c r="J396" s="46">
        <f t="shared" si="13"/>
        <v>1</v>
      </c>
      <c r="K396" s="46">
        <f>IFERROR(INDEX(TarrifTable,MATCH(Elements!E396,Constants!$V$4:$V$7,0),MATCH(Elements!F396,Constants!$W$3:$AA$3,0)),0)</f>
        <v>0</v>
      </c>
      <c r="L396" s="69">
        <f t="shared" si="14"/>
        <v>0</v>
      </c>
    </row>
    <row r="397" spans="2:12" x14ac:dyDescent="0.85">
      <c r="B397" s="48">
        <v>390</v>
      </c>
      <c r="C397" s="277"/>
      <c r="D397" s="284"/>
      <c r="E397" s="44"/>
      <c r="F397" s="44"/>
      <c r="G397" s="49">
        <v>1</v>
      </c>
      <c r="H397" s="73"/>
      <c r="I397" s="44"/>
      <c r="J397" s="48">
        <f t="shared" si="13"/>
        <v>1</v>
      </c>
      <c r="K397" s="48">
        <f>IFERROR(INDEX(TarrifTable,MATCH(Elements!E397,Constants!$V$4:$V$7,0),MATCH(Elements!F397,Constants!$W$3:$AA$3,0)),0)</f>
        <v>0</v>
      </c>
      <c r="L397" s="68">
        <f t="shared" si="14"/>
        <v>0</v>
      </c>
    </row>
    <row r="398" spans="2:12" x14ac:dyDescent="0.85">
      <c r="B398" s="46">
        <v>391</v>
      </c>
      <c r="C398" s="276"/>
      <c r="D398" s="283"/>
      <c r="E398" s="10"/>
      <c r="F398" s="10"/>
      <c r="G398" s="47">
        <v>1</v>
      </c>
      <c r="H398" s="72"/>
      <c r="I398" s="10"/>
      <c r="J398" s="46">
        <f t="shared" si="13"/>
        <v>1</v>
      </c>
      <c r="K398" s="46">
        <f>IFERROR(INDEX(TarrifTable,MATCH(Elements!E398,Constants!$V$4:$V$7,0),MATCH(Elements!F398,Constants!$W$3:$AA$3,0)),0)</f>
        <v>0</v>
      </c>
      <c r="L398" s="69">
        <f t="shared" si="14"/>
        <v>0</v>
      </c>
    </row>
    <row r="399" spans="2:12" x14ac:dyDescent="0.85">
      <c r="B399" s="48">
        <v>392</v>
      </c>
      <c r="C399" s="277"/>
      <c r="D399" s="284"/>
      <c r="E399" s="44"/>
      <c r="F399" s="44"/>
      <c r="G399" s="49">
        <v>1</v>
      </c>
      <c r="H399" s="73"/>
      <c r="I399" s="44"/>
      <c r="J399" s="48">
        <f t="shared" si="13"/>
        <v>1</v>
      </c>
      <c r="K399" s="48">
        <f>IFERROR(INDEX(TarrifTable,MATCH(Elements!E399,Constants!$V$4:$V$7,0),MATCH(Elements!F399,Constants!$W$3:$AA$3,0)),0)</f>
        <v>0</v>
      </c>
      <c r="L399" s="68">
        <f t="shared" si="14"/>
        <v>0</v>
      </c>
    </row>
    <row r="400" spans="2:12" x14ac:dyDescent="0.85">
      <c r="B400" s="46">
        <v>393</v>
      </c>
      <c r="C400" s="276"/>
      <c r="D400" s="283"/>
      <c r="E400" s="10"/>
      <c r="F400" s="10"/>
      <c r="G400" s="47">
        <v>1</v>
      </c>
      <c r="H400" s="72"/>
      <c r="I400" s="10"/>
      <c r="J400" s="46">
        <f t="shared" si="13"/>
        <v>1</v>
      </c>
      <c r="K400" s="46">
        <f>IFERROR(INDEX(TarrifTable,MATCH(Elements!E400,Constants!$V$4:$V$7,0),MATCH(Elements!F400,Constants!$W$3:$AA$3,0)),0)</f>
        <v>0</v>
      </c>
      <c r="L400" s="69">
        <f t="shared" si="14"/>
        <v>0</v>
      </c>
    </row>
    <row r="401" spans="2:12" x14ac:dyDescent="0.85">
      <c r="B401" s="48">
        <v>394</v>
      </c>
      <c r="C401" s="277"/>
      <c r="D401" s="284"/>
      <c r="E401" s="44"/>
      <c r="F401" s="44"/>
      <c r="G401" s="49">
        <v>1</v>
      </c>
      <c r="H401" s="73"/>
      <c r="I401" s="44"/>
      <c r="J401" s="48">
        <f t="shared" si="13"/>
        <v>1</v>
      </c>
      <c r="K401" s="48">
        <f>IFERROR(INDEX(TarrifTable,MATCH(Elements!E401,Constants!$V$4:$V$7,0),MATCH(Elements!F401,Constants!$W$3:$AA$3,0)),0)</f>
        <v>0</v>
      </c>
      <c r="L401" s="68">
        <f t="shared" si="14"/>
        <v>0</v>
      </c>
    </row>
    <row r="402" spans="2:12" x14ac:dyDescent="0.85">
      <c r="B402" s="46">
        <v>395</v>
      </c>
      <c r="C402" s="276"/>
      <c r="D402" s="283"/>
      <c r="E402" s="10"/>
      <c r="F402" s="10"/>
      <c r="G402" s="47">
        <v>1</v>
      </c>
      <c r="H402" s="72"/>
      <c r="I402" s="10"/>
      <c r="J402" s="46">
        <f t="shared" si="13"/>
        <v>1</v>
      </c>
      <c r="K402" s="46">
        <f>IFERROR(INDEX(TarrifTable,MATCH(Elements!E402,Constants!$V$4:$V$7,0),MATCH(Elements!F402,Constants!$W$3:$AA$3,0)),0)</f>
        <v>0</v>
      </c>
      <c r="L402" s="69">
        <f t="shared" si="14"/>
        <v>0</v>
      </c>
    </row>
    <row r="403" spans="2:12" x14ac:dyDescent="0.85">
      <c r="B403" s="48">
        <v>396</v>
      </c>
      <c r="C403" s="277"/>
      <c r="D403" s="284"/>
      <c r="E403" s="44"/>
      <c r="F403" s="44"/>
      <c r="G403" s="49">
        <v>1</v>
      </c>
      <c r="H403" s="73"/>
      <c r="I403" s="44"/>
      <c r="J403" s="48">
        <f t="shared" si="13"/>
        <v>1</v>
      </c>
      <c r="K403" s="48">
        <f>IFERROR(INDEX(TarrifTable,MATCH(Elements!E403,Constants!$V$4:$V$7,0),MATCH(Elements!F403,Constants!$W$3:$AA$3,0)),0)</f>
        <v>0</v>
      </c>
      <c r="L403" s="68">
        <f t="shared" si="14"/>
        <v>0</v>
      </c>
    </row>
    <row r="404" spans="2:12" x14ac:dyDescent="0.85">
      <c r="B404" s="46">
        <v>397</v>
      </c>
      <c r="C404" s="276"/>
      <c r="D404" s="283"/>
      <c r="E404" s="10"/>
      <c r="F404" s="10"/>
      <c r="G404" s="47">
        <v>1</v>
      </c>
      <c r="H404" s="72"/>
      <c r="I404" s="10"/>
      <c r="J404" s="46">
        <f t="shared" si="13"/>
        <v>1</v>
      </c>
      <c r="K404" s="46">
        <f>IFERROR(INDEX(TarrifTable,MATCH(Elements!E404,Constants!$V$4:$V$7,0),MATCH(Elements!F404,Constants!$W$3:$AA$3,0)),0)</f>
        <v>0</v>
      </c>
      <c r="L404" s="69">
        <f t="shared" si="14"/>
        <v>0</v>
      </c>
    </row>
    <row r="405" spans="2:12" x14ac:dyDescent="0.85">
      <c r="B405" s="48">
        <v>398</v>
      </c>
      <c r="C405" s="277"/>
      <c r="D405" s="284"/>
      <c r="E405" s="44"/>
      <c r="F405" s="44"/>
      <c r="G405" s="49">
        <v>1</v>
      </c>
      <c r="H405" s="73"/>
      <c r="I405" s="44"/>
      <c r="J405" s="48">
        <f t="shared" si="13"/>
        <v>1</v>
      </c>
      <c r="K405" s="48">
        <f>IFERROR(INDEX(TarrifTable,MATCH(Elements!E405,Constants!$V$4:$V$7,0),MATCH(Elements!F405,Constants!$W$3:$AA$3,0)),0)</f>
        <v>0</v>
      </c>
      <c r="L405" s="68">
        <f t="shared" si="14"/>
        <v>0</v>
      </c>
    </row>
    <row r="406" spans="2:12" x14ac:dyDescent="0.85">
      <c r="B406" s="46">
        <v>399</v>
      </c>
      <c r="C406" s="276"/>
      <c r="D406" s="283"/>
      <c r="E406" s="10"/>
      <c r="F406" s="10"/>
      <c r="G406" s="47">
        <v>1</v>
      </c>
      <c r="H406" s="72"/>
      <c r="I406" s="10"/>
      <c r="J406" s="46">
        <f t="shared" si="13"/>
        <v>1</v>
      </c>
      <c r="K406" s="46">
        <f>IFERROR(INDEX(TarrifTable,MATCH(Elements!E406,Constants!$V$4:$V$7,0),MATCH(Elements!F406,Constants!$W$3:$AA$3,0)),0)</f>
        <v>0</v>
      </c>
      <c r="L406" s="69">
        <f t="shared" si="14"/>
        <v>0</v>
      </c>
    </row>
    <row r="407" spans="2:12" x14ac:dyDescent="0.85">
      <c r="B407" s="48">
        <v>400</v>
      </c>
      <c r="C407" s="277"/>
      <c r="D407" s="284"/>
      <c r="E407" s="44"/>
      <c r="F407" s="44"/>
      <c r="G407" s="49">
        <v>1</v>
      </c>
      <c r="H407" s="73"/>
      <c r="I407" s="44"/>
      <c r="J407" s="48">
        <f t="shared" si="13"/>
        <v>1</v>
      </c>
      <c r="K407" s="48">
        <f>IFERROR(INDEX(TarrifTable,MATCH(Elements!E407,Constants!$V$4:$V$7,0),MATCH(Elements!F407,Constants!$W$3:$AA$3,0)),0)</f>
        <v>0</v>
      </c>
      <c r="L407" s="68">
        <f t="shared" si="14"/>
        <v>0</v>
      </c>
    </row>
    <row r="408" spans="2:12" x14ac:dyDescent="0.85">
      <c r="B408" s="46">
        <v>401</v>
      </c>
      <c r="C408" s="276"/>
      <c r="D408" s="283"/>
      <c r="E408" s="10"/>
      <c r="F408" s="10"/>
      <c r="G408" s="47">
        <v>1</v>
      </c>
      <c r="H408" s="72"/>
      <c r="I408" s="10"/>
      <c r="J408" s="46">
        <f t="shared" si="13"/>
        <v>1</v>
      </c>
      <c r="K408" s="46">
        <f>IFERROR(INDEX(TarrifTable,MATCH(Elements!E408,Constants!$V$4:$V$7,0),MATCH(Elements!F408,Constants!$W$3:$AA$3,0)),0)</f>
        <v>0</v>
      </c>
      <c r="L408" s="69">
        <f t="shared" si="14"/>
        <v>0</v>
      </c>
    </row>
    <row r="409" spans="2:12" x14ac:dyDescent="0.85">
      <c r="B409" s="48">
        <v>402</v>
      </c>
      <c r="C409" s="277"/>
      <c r="D409" s="284"/>
      <c r="E409" s="44"/>
      <c r="F409" s="44"/>
      <c r="G409" s="49">
        <v>1</v>
      </c>
      <c r="H409" s="73"/>
      <c r="I409" s="44"/>
      <c r="J409" s="48">
        <f t="shared" si="13"/>
        <v>1</v>
      </c>
      <c r="K409" s="48">
        <f>IFERROR(INDEX(TarrifTable,MATCH(Elements!E409,Constants!$V$4:$V$7,0),MATCH(Elements!F409,Constants!$W$3:$AA$3,0)),0)</f>
        <v>0</v>
      </c>
      <c r="L409" s="68">
        <f t="shared" si="14"/>
        <v>0</v>
      </c>
    </row>
    <row r="410" spans="2:12" x14ac:dyDescent="0.85">
      <c r="B410" s="46">
        <v>403</v>
      </c>
      <c r="C410" s="276"/>
      <c r="D410" s="283"/>
      <c r="E410" s="10"/>
      <c r="F410" s="10"/>
      <c r="G410" s="47">
        <v>1</v>
      </c>
      <c r="H410" s="72"/>
      <c r="I410" s="10"/>
      <c r="J410" s="46">
        <f t="shared" si="13"/>
        <v>1</v>
      </c>
      <c r="K410" s="46">
        <f>IFERROR(INDEX(TarrifTable,MATCH(Elements!E410,Constants!$V$4:$V$7,0),MATCH(Elements!F410,Constants!$W$3:$AA$3,0)),0)</f>
        <v>0</v>
      </c>
      <c r="L410" s="69">
        <f t="shared" si="14"/>
        <v>0</v>
      </c>
    </row>
    <row r="411" spans="2:12" x14ac:dyDescent="0.85">
      <c r="B411" s="48">
        <v>404</v>
      </c>
      <c r="C411" s="277"/>
      <c r="D411" s="284"/>
      <c r="E411" s="44"/>
      <c r="F411" s="44"/>
      <c r="G411" s="49">
        <v>1</v>
      </c>
      <c r="H411" s="73"/>
      <c r="I411" s="44"/>
      <c r="J411" s="48">
        <f t="shared" si="13"/>
        <v>1</v>
      </c>
      <c r="K411" s="48">
        <f>IFERROR(INDEX(TarrifTable,MATCH(Elements!E411,Constants!$V$4:$V$7,0),MATCH(Elements!F411,Constants!$W$3:$AA$3,0)),0)</f>
        <v>0</v>
      </c>
      <c r="L411" s="68">
        <f t="shared" si="14"/>
        <v>0</v>
      </c>
    </row>
    <row r="412" spans="2:12" x14ac:dyDescent="0.85">
      <c r="B412" s="46">
        <v>405</v>
      </c>
      <c r="C412" s="276"/>
      <c r="D412" s="283"/>
      <c r="E412" s="10"/>
      <c r="F412" s="10"/>
      <c r="G412" s="47">
        <v>1</v>
      </c>
      <c r="H412" s="72"/>
      <c r="I412" s="10"/>
      <c r="J412" s="46">
        <f t="shared" si="13"/>
        <v>1</v>
      </c>
      <c r="K412" s="46">
        <f>IFERROR(INDEX(TarrifTable,MATCH(Elements!E412,Constants!$V$4:$V$7,0),MATCH(Elements!F412,Constants!$W$3:$AA$3,0)),0)</f>
        <v>0</v>
      </c>
      <c r="L412" s="69">
        <f t="shared" si="14"/>
        <v>0</v>
      </c>
    </row>
    <row r="413" spans="2:12" x14ac:dyDescent="0.85">
      <c r="B413" s="48">
        <v>406</v>
      </c>
      <c r="C413" s="277"/>
      <c r="D413" s="284"/>
      <c r="E413" s="44"/>
      <c r="F413" s="44"/>
      <c r="G413" s="49">
        <v>1</v>
      </c>
      <c r="H413" s="73"/>
      <c r="I413" s="44"/>
      <c r="J413" s="48">
        <f t="shared" si="13"/>
        <v>1</v>
      </c>
      <c r="K413" s="48">
        <f>IFERROR(INDEX(TarrifTable,MATCH(Elements!E413,Constants!$V$4:$V$7,0),MATCH(Elements!F413,Constants!$W$3:$AA$3,0)),0)</f>
        <v>0</v>
      </c>
      <c r="L413" s="68">
        <f t="shared" si="14"/>
        <v>0</v>
      </c>
    </row>
    <row r="414" spans="2:12" x14ac:dyDescent="0.85">
      <c r="B414" s="46">
        <v>407</v>
      </c>
      <c r="C414" s="276"/>
      <c r="D414" s="283"/>
      <c r="E414" s="10"/>
      <c r="F414" s="10"/>
      <c r="G414" s="47">
        <v>1</v>
      </c>
      <c r="H414" s="72"/>
      <c r="I414" s="10"/>
      <c r="J414" s="46">
        <f t="shared" si="13"/>
        <v>1</v>
      </c>
      <c r="K414" s="46">
        <f>IFERROR(INDEX(TarrifTable,MATCH(Elements!E414,Constants!$V$4:$V$7,0),MATCH(Elements!F414,Constants!$W$3:$AA$3,0)),0)</f>
        <v>0</v>
      </c>
      <c r="L414" s="69">
        <f t="shared" si="14"/>
        <v>0</v>
      </c>
    </row>
    <row r="415" spans="2:12" x14ac:dyDescent="0.85">
      <c r="B415" s="48">
        <v>408</v>
      </c>
      <c r="C415" s="277"/>
      <c r="D415" s="284"/>
      <c r="E415" s="44"/>
      <c r="F415" s="44"/>
      <c r="G415" s="49">
        <v>1</v>
      </c>
      <c r="H415" s="73"/>
      <c r="I415" s="44"/>
      <c r="J415" s="48">
        <f t="shared" si="13"/>
        <v>1</v>
      </c>
      <c r="K415" s="48">
        <f>IFERROR(INDEX(TarrifTable,MATCH(Elements!E415,Constants!$V$4:$V$7,0),MATCH(Elements!F415,Constants!$W$3:$AA$3,0)),0)</f>
        <v>0</v>
      </c>
      <c r="L415" s="68">
        <f t="shared" si="14"/>
        <v>0</v>
      </c>
    </row>
    <row r="416" spans="2:12" x14ac:dyDescent="0.85">
      <c r="B416" s="46">
        <v>409</v>
      </c>
      <c r="C416" s="276"/>
      <c r="D416" s="283"/>
      <c r="E416" s="10"/>
      <c r="F416" s="10"/>
      <c r="G416" s="47">
        <v>1</v>
      </c>
      <c r="H416" s="72"/>
      <c r="I416" s="10"/>
      <c r="J416" s="46">
        <f t="shared" si="13"/>
        <v>1</v>
      </c>
      <c r="K416" s="46">
        <f>IFERROR(INDEX(TarrifTable,MATCH(Elements!E416,Constants!$V$4:$V$7,0),MATCH(Elements!F416,Constants!$W$3:$AA$3,0)),0)</f>
        <v>0</v>
      </c>
      <c r="L416" s="69">
        <f t="shared" si="14"/>
        <v>0</v>
      </c>
    </row>
    <row r="417" spans="2:12" x14ac:dyDescent="0.85">
      <c r="B417" s="48">
        <v>410</v>
      </c>
      <c r="C417" s="277"/>
      <c r="D417" s="284"/>
      <c r="E417" s="44"/>
      <c r="F417" s="44"/>
      <c r="G417" s="49">
        <v>1</v>
      </c>
      <c r="H417" s="73"/>
      <c r="I417" s="44"/>
      <c r="J417" s="48">
        <f t="shared" si="13"/>
        <v>1</v>
      </c>
      <c r="K417" s="48">
        <f>IFERROR(INDEX(TarrifTable,MATCH(Elements!E417,Constants!$V$4:$V$7,0),MATCH(Elements!F417,Constants!$W$3:$AA$3,0)),0)</f>
        <v>0</v>
      </c>
      <c r="L417" s="68">
        <f t="shared" si="14"/>
        <v>0</v>
      </c>
    </row>
    <row r="418" spans="2:12" x14ac:dyDescent="0.85">
      <c r="B418" s="46">
        <v>411</v>
      </c>
      <c r="C418" s="276"/>
      <c r="D418" s="283"/>
      <c r="E418" s="10"/>
      <c r="F418" s="10"/>
      <c r="G418" s="47">
        <v>1</v>
      </c>
      <c r="H418" s="72"/>
      <c r="I418" s="10"/>
      <c r="J418" s="46">
        <f t="shared" si="13"/>
        <v>1</v>
      </c>
      <c r="K418" s="46">
        <f>IFERROR(INDEX(TarrifTable,MATCH(Elements!E418,Constants!$V$4:$V$7,0),MATCH(Elements!F418,Constants!$W$3:$AA$3,0)),0)</f>
        <v>0</v>
      </c>
      <c r="L418" s="69">
        <f t="shared" si="14"/>
        <v>0</v>
      </c>
    </row>
    <row r="419" spans="2:12" x14ac:dyDescent="0.85">
      <c r="B419" s="48">
        <v>412</v>
      </c>
      <c r="C419" s="277"/>
      <c r="D419" s="284"/>
      <c r="E419" s="44"/>
      <c r="F419" s="44"/>
      <c r="G419" s="49">
        <v>1</v>
      </c>
      <c r="H419" s="73"/>
      <c r="I419" s="44"/>
      <c r="J419" s="48">
        <f t="shared" si="13"/>
        <v>1</v>
      </c>
      <c r="K419" s="48">
        <f>IFERROR(INDEX(TarrifTable,MATCH(Elements!E419,Constants!$V$4:$V$7,0),MATCH(Elements!F419,Constants!$W$3:$AA$3,0)),0)</f>
        <v>0</v>
      </c>
      <c r="L419" s="68">
        <f t="shared" si="14"/>
        <v>0</v>
      </c>
    </row>
    <row r="420" spans="2:12" x14ac:dyDescent="0.85">
      <c r="B420" s="46">
        <v>413</v>
      </c>
      <c r="C420" s="276"/>
      <c r="D420" s="283"/>
      <c r="E420" s="10"/>
      <c r="F420" s="10"/>
      <c r="G420" s="47">
        <v>1</v>
      </c>
      <c r="H420" s="72"/>
      <c r="I420" s="10"/>
      <c r="J420" s="46">
        <f t="shared" si="13"/>
        <v>1</v>
      </c>
      <c r="K420" s="46">
        <f>IFERROR(INDEX(TarrifTable,MATCH(Elements!E420,Constants!$V$4:$V$7,0),MATCH(Elements!F420,Constants!$W$3:$AA$3,0)),0)</f>
        <v>0</v>
      </c>
      <c r="L420" s="69">
        <f t="shared" si="14"/>
        <v>0</v>
      </c>
    </row>
    <row r="421" spans="2:12" x14ac:dyDescent="0.85">
      <c r="B421" s="48">
        <v>414</v>
      </c>
      <c r="C421" s="277"/>
      <c r="D421" s="284"/>
      <c r="E421" s="44"/>
      <c r="F421" s="44"/>
      <c r="G421" s="49">
        <v>1</v>
      </c>
      <c r="H421" s="73"/>
      <c r="I421" s="44"/>
      <c r="J421" s="48">
        <f t="shared" si="13"/>
        <v>1</v>
      </c>
      <c r="K421" s="48">
        <f>IFERROR(INDEX(TarrifTable,MATCH(Elements!E421,Constants!$V$4:$V$7,0),MATCH(Elements!F421,Constants!$W$3:$AA$3,0)),0)</f>
        <v>0</v>
      </c>
      <c r="L421" s="68">
        <f t="shared" si="14"/>
        <v>0</v>
      </c>
    </row>
    <row r="422" spans="2:12" x14ac:dyDescent="0.85">
      <c r="B422" s="46">
        <v>415</v>
      </c>
      <c r="C422" s="276"/>
      <c r="D422" s="283"/>
      <c r="E422" s="10"/>
      <c r="F422" s="10"/>
      <c r="G422" s="47">
        <v>1</v>
      </c>
      <c r="H422" s="72"/>
      <c r="I422" s="10"/>
      <c r="J422" s="46">
        <f t="shared" si="13"/>
        <v>1</v>
      </c>
      <c r="K422" s="46">
        <f>IFERROR(INDEX(TarrifTable,MATCH(Elements!E422,Constants!$V$4:$V$7,0),MATCH(Elements!F422,Constants!$W$3:$AA$3,0)),0)</f>
        <v>0</v>
      </c>
      <c r="L422" s="69">
        <f t="shared" si="14"/>
        <v>0</v>
      </c>
    </row>
    <row r="423" spans="2:12" x14ac:dyDescent="0.85">
      <c r="B423" s="48">
        <v>416</v>
      </c>
      <c r="C423" s="277"/>
      <c r="D423" s="284"/>
      <c r="E423" s="44"/>
      <c r="F423" s="44"/>
      <c r="G423" s="49">
        <v>1</v>
      </c>
      <c r="H423" s="73"/>
      <c r="I423" s="44"/>
      <c r="J423" s="48">
        <f t="shared" si="13"/>
        <v>1</v>
      </c>
      <c r="K423" s="48">
        <f>IFERROR(INDEX(TarrifTable,MATCH(Elements!E423,Constants!$V$4:$V$7,0),MATCH(Elements!F423,Constants!$W$3:$AA$3,0)),0)</f>
        <v>0</v>
      </c>
      <c r="L423" s="68">
        <f t="shared" si="14"/>
        <v>0</v>
      </c>
    </row>
    <row r="424" spans="2:12" x14ac:dyDescent="0.85">
      <c r="B424" s="46">
        <v>417</v>
      </c>
      <c r="C424" s="276"/>
      <c r="D424" s="283"/>
      <c r="E424" s="10"/>
      <c r="F424" s="10"/>
      <c r="G424" s="47">
        <v>1</v>
      </c>
      <c r="H424" s="72"/>
      <c r="I424" s="10"/>
      <c r="J424" s="46">
        <f t="shared" si="13"/>
        <v>1</v>
      </c>
      <c r="K424" s="46">
        <f>IFERROR(INDEX(TarrifTable,MATCH(Elements!E424,Constants!$V$4:$V$7,0),MATCH(Elements!F424,Constants!$W$3:$AA$3,0)),0)</f>
        <v>0</v>
      </c>
      <c r="L424" s="69">
        <f t="shared" si="14"/>
        <v>0</v>
      </c>
    </row>
    <row r="425" spans="2:12" x14ac:dyDescent="0.85">
      <c r="B425" s="48">
        <v>418</v>
      </c>
      <c r="C425" s="277"/>
      <c r="D425" s="284"/>
      <c r="E425" s="44"/>
      <c r="F425" s="44"/>
      <c r="G425" s="49">
        <v>1</v>
      </c>
      <c r="H425" s="73"/>
      <c r="I425" s="44"/>
      <c r="J425" s="48">
        <f t="shared" si="13"/>
        <v>1</v>
      </c>
      <c r="K425" s="48">
        <f>IFERROR(INDEX(TarrifTable,MATCH(Elements!E425,Constants!$V$4:$V$7,0),MATCH(Elements!F425,Constants!$W$3:$AA$3,0)),0)</f>
        <v>0</v>
      </c>
      <c r="L425" s="68">
        <f t="shared" si="14"/>
        <v>0</v>
      </c>
    </row>
    <row r="426" spans="2:12" x14ac:dyDescent="0.85">
      <c r="B426" s="46">
        <v>419</v>
      </c>
      <c r="C426" s="276"/>
      <c r="D426" s="283"/>
      <c r="E426" s="10"/>
      <c r="F426" s="10"/>
      <c r="G426" s="47">
        <v>1</v>
      </c>
      <c r="H426" s="72"/>
      <c r="I426" s="10"/>
      <c r="J426" s="46">
        <f t="shared" si="13"/>
        <v>1</v>
      </c>
      <c r="K426" s="46">
        <f>IFERROR(INDEX(TarrifTable,MATCH(Elements!E426,Constants!$V$4:$V$7,0),MATCH(Elements!F426,Constants!$W$3:$AA$3,0)),0)</f>
        <v>0</v>
      </c>
      <c r="L426" s="69">
        <f t="shared" si="14"/>
        <v>0</v>
      </c>
    </row>
    <row r="427" spans="2:12" x14ac:dyDescent="0.85">
      <c r="B427" s="48">
        <v>420</v>
      </c>
      <c r="C427" s="277"/>
      <c r="D427" s="284"/>
      <c r="E427" s="44"/>
      <c r="F427" s="44"/>
      <c r="G427" s="49">
        <v>1</v>
      </c>
      <c r="H427" s="73"/>
      <c r="I427" s="44"/>
      <c r="J427" s="48">
        <f t="shared" si="13"/>
        <v>1</v>
      </c>
      <c r="K427" s="48">
        <f>IFERROR(INDEX(TarrifTable,MATCH(Elements!E427,Constants!$V$4:$V$7,0),MATCH(Elements!F427,Constants!$W$3:$AA$3,0)),0)</f>
        <v>0</v>
      </c>
      <c r="L427" s="68">
        <f t="shared" si="14"/>
        <v>0</v>
      </c>
    </row>
    <row r="428" spans="2:12" x14ac:dyDescent="0.85">
      <c r="B428" s="46">
        <v>421</v>
      </c>
      <c r="C428" s="276"/>
      <c r="D428" s="283"/>
      <c r="E428" s="10"/>
      <c r="F428" s="10"/>
      <c r="G428" s="47">
        <v>1</v>
      </c>
      <c r="H428" s="72"/>
      <c r="I428" s="10"/>
      <c r="J428" s="46">
        <f t="shared" si="13"/>
        <v>1</v>
      </c>
      <c r="K428" s="46">
        <f>IFERROR(INDEX(TarrifTable,MATCH(Elements!E428,Constants!$V$4:$V$7,0),MATCH(Elements!F428,Constants!$W$3:$AA$3,0)),0)</f>
        <v>0</v>
      </c>
      <c r="L428" s="69">
        <f t="shared" si="14"/>
        <v>0</v>
      </c>
    </row>
    <row r="429" spans="2:12" x14ac:dyDescent="0.85">
      <c r="B429" s="48">
        <v>422</v>
      </c>
      <c r="C429" s="277"/>
      <c r="D429" s="284"/>
      <c r="E429" s="44"/>
      <c r="F429" s="44"/>
      <c r="G429" s="49">
        <v>1</v>
      </c>
      <c r="H429" s="73"/>
      <c r="I429" s="44"/>
      <c r="J429" s="48">
        <f t="shared" si="13"/>
        <v>1</v>
      </c>
      <c r="K429" s="48">
        <f>IFERROR(INDEX(TarrifTable,MATCH(Elements!E429,Constants!$V$4:$V$7,0),MATCH(Elements!F429,Constants!$W$3:$AA$3,0)),0)</f>
        <v>0</v>
      </c>
      <c r="L429" s="68">
        <f t="shared" si="14"/>
        <v>0</v>
      </c>
    </row>
    <row r="430" spans="2:12" x14ac:dyDescent="0.85">
      <c r="B430" s="46">
        <v>423</v>
      </c>
      <c r="C430" s="276"/>
      <c r="D430" s="283"/>
      <c r="E430" s="10"/>
      <c r="F430" s="10"/>
      <c r="G430" s="47">
        <v>1</v>
      </c>
      <c r="H430" s="72"/>
      <c r="I430" s="10"/>
      <c r="J430" s="46">
        <f t="shared" si="13"/>
        <v>1</v>
      </c>
      <c r="K430" s="46">
        <f>IFERROR(INDEX(TarrifTable,MATCH(Elements!E430,Constants!$V$4:$V$7,0),MATCH(Elements!F430,Constants!$W$3:$AA$3,0)),0)</f>
        <v>0</v>
      </c>
      <c r="L430" s="69">
        <f t="shared" si="14"/>
        <v>0</v>
      </c>
    </row>
    <row r="431" spans="2:12" x14ac:dyDescent="0.85">
      <c r="B431" s="48">
        <v>424</v>
      </c>
      <c r="C431" s="277"/>
      <c r="D431" s="284"/>
      <c r="E431" s="44"/>
      <c r="F431" s="44"/>
      <c r="G431" s="49">
        <v>1</v>
      </c>
      <c r="H431" s="73"/>
      <c r="I431" s="44"/>
      <c r="J431" s="48">
        <f t="shared" si="13"/>
        <v>1</v>
      </c>
      <c r="K431" s="48">
        <f>IFERROR(INDEX(TarrifTable,MATCH(Elements!E431,Constants!$V$4:$V$7,0),MATCH(Elements!F431,Constants!$W$3:$AA$3,0)),0)</f>
        <v>0</v>
      </c>
      <c r="L431" s="68">
        <f t="shared" si="14"/>
        <v>0</v>
      </c>
    </row>
    <row r="432" spans="2:12" x14ac:dyDescent="0.85">
      <c r="B432" s="46">
        <v>425</v>
      </c>
      <c r="C432" s="276"/>
      <c r="D432" s="283"/>
      <c r="E432" s="10"/>
      <c r="F432" s="10"/>
      <c r="G432" s="47">
        <v>1</v>
      </c>
      <c r="H432" s="72"/>
      <c r="I432" s="10"/>
      <c r="J432" s="46">
        <f t="shared" si="13"/>
        <v>1</v>
      </c>
      <c r="K432" s="46">
        <f>IFERROR(INDEX(TarrifTable,MATCH(Elements!E432,Constants!$V$4:$V$7,0),MATCH(Elements!F432,Constants!$W$3:$AA$3,0)),0)</f>
        <v>0</v>
      </c>
      <c r="L432" s="69">
        <f t="shared" si="14"/>
        <v>0</v>
      </c>
    </row>
    <row r="433" spans="2:12" x14ac:dyDescent="0.85">
      <c r="B433" s="48">
        <v>426</v>
      </c>
      <c r="C433" s="277"/>
      <c r="D433" s="284"/>
      <c r="E433" s="44"/>
      <c r="F433" s="44"/>
      <c r="G433" s="49">
        <v>1</v>
      </c>
      <c r="H433" s="73"/>
      <c r="I433" s="44"/>
      <c r="J433" s="48">
        <f t="shared" si="13"/>
        <v>1</v>
      </c>
      <c r="K433" s="48">
        <f>IFERROR(INDEX(TarrifTable,MATCH(Elements!E433,Constants!$V$4:$V$7,0),MATCH(Elements!F433,Constants!$W$3:$AA$3,0)),0)</f>
        <v>0</v>
      </c>
      <c r="L433" s="68">
        <f t="shared" si="14"/>
        <v>0</v>
      </c>
    </row>
    <row r="434" spans="2:12" x14ac:dyDescent="0.85">
      <c r="B434" s="46">
        <v>427</v>
      </c>
      <c r="C434" s="276"/>
      <c r="D434" s="283"/>
      <c r="E434" s="10"/>
      <c r="F434" s="10"/>
      <c r="G434" s="47">
        <v>1</v>
      </c>
      <c r="H434" s="72"/>
      <c r="I434" s="10"/>
      <c r="J434" s="46">
        <f t="shared" si="13"/>
        <v>1</v>
      </c>
      <c r="K434" s="46">
        <f>IFERROR(INDEX(TarrifTable,MATCH(Elements!E434,Constants!$V$4:$V$7,0),MATCH(Elements!F434,Constants!$W$3:$AA$3,0)),0)</f>
        <v>0</v>
      </c>
      <c r="L434" s="69">
        <f t="shared" si="14"/>
        <v>0</v>
      </c>
    </row>
    <row r="435" spans="2:12" x14ac:dyDescent="0.85">
      <c r="B435" s="48">
        <v>428</v>
      </c>
      <c r="C435" s="277"/>
      <c r="D435" s="284"/>
      <c r="E435" s="44"/>
      <c r="F435" s="44"/>
      <c r="G435" s="49">
        <v>1</v>
      </c>
      <c r="H435" s="73"/>
      <c r="I435" s="44"/>
      <c r="J435" s="48">
        <f t="shared" si="13"/>
        <v>1</v>
      </c>
      <c r="K435" s="48">
        <f>IFERROR(INDEX(TarrifTable,MATCH(Elements!E435,Constants!$V$4:$V$7,0),MATCH(Elements!F435,Constants!$W$3:$AA$3,0)),0)</f>
        <v>0</v>
      </c>
      <c r="L435" s="68">
        <f t="shared" si="14"/>
        <v>0</v>
      </c>
    </row>
    <row r="436" spans="2:12" x14ac:dyDescent="0.85">
      <c r="B436" s="46">
        <v>429</v>
      </c>
      <c r="C436" s="276"/>
      <c r="D436" s="283"/>
      <c r="E436" s="10"/>
      <c r="F436" s="10"/>
      <c r="G436" s="47">
        <v>1</v>
      </c>
      <c r="H436" s="72"/>
      <c r="I436" s="10"/>
      <c r="J436" s="46">
        <f t="shared" si="13"/>
        <v>1</v>
      </c>
      <c r="K436" s="46">
        <f>IFERROR(INDEX(TarrifTable,MATCH(Elements!E436,Constants!$V$4:$V$7,0),MATCH(Elements!F436,Constants!$W$3:$AA$3,0)),0)</f>
        <v>0</v>
      </c>
      <c r="L436" s="69">
        <f t="shared" si="14"/>
        <v>0</v>
      </c>
    </row>
    <row r="437" spans="2:12" x14ac:dyDescent="0.85">
      <c r="B437" s="48">
        <v>430</v>
      </c>
      <c r="C437" s="277"/>
      <c r="D437" s="284"/>
      <c r="E437" s="44"/>
      <c r="F437" s="44"/>
      <c r="G437" s="49">
        <v>1</v>
      </c>
      <c r="H437" s="73"/>
      <c r="I437" s="44"/>
      <c r="J437" s="48">
        <f t="shared" si="13"/>
        <v>1</v>
      </c>
      <c r="K437" s="48">
        <f>IFERROR(INDEX(TarrifTable,MATCH(Elements!E437,Constants!$V$4:$V$7,0),MATCH(Elements!F437,Constants!$W$3:$AA$3,0)),0)</f>
        <v>0</v>
      </c>
      <c r="L437" s="68">
        <f t="shared" si="14"/>
        <v>0</v>
      </c>
    </row>
    <row r="438" spans="2:12" x14ac:dyDescent="0.85">
      <c r="B438" s="46">
        <v>431</v>
      </c>
      <c r="C438" s="276"/>
      <c r="D438" s="283"/>
      <c r="E438" s="10"/>
      <c r="F438" s="10"/>
      <c r="G438" s="47">
        <v>1</v>
      </c>
      <c r="H438" s="72"/>
      <c r="I438" s="10"/>
      <c r="J438" s="46">
        <f t="shared" si="13"/>
        <v>1</v>
      </c>
      <c r="K438" s="46">
        <f>IFERROR(INDEX(TarrifTable,MATCH(Elements!E438,Constants!$V$4:$V$7,0),MATCH(Elements!F438,Constants!$W$3:$AA$3,0)),0)</f>
        <v>0</v>
      </c>
      <c r="L438" s="69">
        <f t="shared" si="14"/>
        <v>0</v>
      </c>
    </row>
    <row r="439" spans="2:12" x14ac:dyDescent="0.85">
      <c r="B439" s="48">
        <v>432</v>
      </c>
      <c r="C439" s="277"/>
      <c r="D439" s="284"/>
      <c r="E439" s="44"/>
      <c r="F439" s="44"/>
      <c r="G439" s="49">
        <v>1</v>
      </c>
      <c r="H439" s="73"/>
      <c r="I439" s="44"/>
      <c r="J439" s="48">
        <f t="shared" si="13"/>
        <v>1</v>
      </c>
      <c r="K439" s="48">
        <f>IFERROR(INDEX(TarrifTable,MATCH(Elements!E439,Constants!$V$4:$V$7,0),MATCH(Elements!F439,Constants!$W$3:$AA$3,0)),0)</f>
        <v>0</v>
      </c>
      <c r="L439" s="68">
        <f t="shared" si="14"/>
        <v>0</v>
      </c>
    </row>
    <row r="440" spans="2:12" x14ac:dyDescent="0.85">
      <c r="B440" s="46">
        <v>433</v>
      </c>
      <c r="C440" s="276"/>
      <c r="D440" s="283"/>
      <c r="E440" s="10"/>
      <c r="F440" s="10"/>
      <c r="G440" s="47">
        <v>1</v>
      </c>
      <c r="H440" s="72"/>
      <c r="I440" s="10"/>
      <c r="J440" s="46">
        <f t="shared" si="13"/>
        <v>1</v>
      </c>
      <c r="K440" s="46">
        <f>IFERROR(INDEX(TarrifTable,MATCH(Elements!E440,Constants!$V$4:$V$7,0),MATCH(Elements!F440,Constants!$W$3:$AA$3,0)),0)</f>
        <v>0</v>
      </c>
      <c r="L440" s="69">
        <f t="shared" si="14"/>
        <v>0</v>
      </c>
    </row>
    <row r="441" spans="2:12" x14ac:dyDescent="0.85">
      <c r="B441" s="48">
        <v>434</v>
      </c>
      <c r="C441" s="277"/>
      <c r="D441" s="284"/>
      <c r="E441" s="44"/>
      <c r="F441" s="44"/>
      <c r="G441" s="49">
        <v>1</v>
      </c>
      <c r="H441" s="73"/>
      <c r="I441" s="44"/>
      <c r="J441" s="48">
        <f t="shared" si="13"/>
        <v>1</v>
      </c>
      <c r="K441" s="48">
        <f>IFERROR(INDEX(TarrifTable,MATCH(Elements!E441,Constants!$V$4:$V$7,0),MATCH(Elements!F441,Constants!$W$3:$AA$3,0)),0)</f>
        <v>0</v>
      </c>
      <c r="L441" s="68">
        <f t="shared" si="14"/>
        <v>0</v>
      </c>
    </row>
    <row r="442" spans="2:12" x14ac:dyDescent="0.85">
      <c r="B442" s="46">
        <v>435</v>
      </c>
      <c r="C442" s="276"/>
      <c r="D442" s="283"/>
      <c r="E442" s="10"/>
      <c r="F442" s="10"/>
      <c r="G442" s="47">
        <v>1</v>
      </c>
      <c r="H442" s="72"/>
      <c r="I442" s="10"/>
      <c r="J442" s="46">
        <f t="shared" si="13"/>
        <v>1</v>
      </c>
      <c r="K442" s="46">
        <f>IFERROR(INDEX(TarrifTable,MATCH(Elements!E442,Constants!$V$4:$V$7,0),MATCH(Elements!F442,Constants!$W$3:$AA$3,0)),0)</f>
        <v>0</v>
      </c>
      <c r="L442" s="69">
        <f t="shared" si="14"/>
        <v>0</v>
      </c>
    </row>
    <row r="443" spans="2:12" x14ac:dyDescent="0.85">
      <c r="B443" s="48">
        <v>436</v>
      </c>
      <c r="C443" s="277"/>
      <c r="D443" s="284"/>
      <c r="E443" s="44"/>
      <c r="F443" s="44"/>
      <c r="G443" s="49">
        <v>1</v>
      </c>
      <c r="H443" s="73"/>
      <c r="I443" s="44"/>
      <c r="J443" s="48">
        <f t="shared" si="13"/>
        <v>1</v>
      </c>
      <c r="K443" s="48">
        <f>IFERROR(INDEX(TarrifTable,MATCH(Elements!E443,Constants!$V$4:$V$7,0),MATCH(Elements!F443,Constants!$W$3:$AA$3,0)),0)</f>
        <v>0</v>
      </c>
      <c r="L443" s="68">
        <f t="shared" si="14"/>
        <v>0</v>
      </c>
    </row>
    <row r="444" spans="2:12" x14ac:dyDescent="0.85">
      <c r="B444" s="46">
        <v>437</v>
      </c>
      <c r="C444" s="276"/>
      <c r="D444" s="283"/>
      <c r="E444" s="10"/>
      <c r="F444" s="10"/>
      <c r="G444" s="47">
        <v>1</v>
      </c>
      <c r="H444" s="72"/>
      <c r="I444" s="10"/>
      <c r="J444" s="46">
        <f t="shared" si="13"/>
        <v>1</v>
      </c>
      <c r="K444" s="46">
        <f>IFERROR(INDEX(TarrifTable,MATCH(Elements!E444,Constants!$V$4:$V$7,0),MATCH(Elements!F444,Constants!$W$3:$AA$3,0)),0)</f>
        <v>0</v>
      </c>
      <c r="L444" s="69">
        <f t="shared" si="14"/>
        <v>0</v>
      </c>
    </row>
    <row r="445" spans="2:12" x14ac:dyDescent="0.85">
      <c r="B445" s="48">
        <v>438</v>
      </c>
      <c r="C445" s="277"/>
      <c r="D445" s="284"/>
      <c r="E445" s="44"/>
      <c r="F445" s="44"/>
      <c r="G445" s="49">
        <v>1</v>
      </c>
      <c r="H445" s="73"/>
      <c r="I445" s="44"/>
      <c r="J445" s="48">
        <f t="shared" si="13"/>
        <v>1</v>
      </c>
      <c r="K445" s="48">
        <f>IFERROR(INDEX(TarrifTable,MATCH(Elements!E445,Constants!$V$4:$V$7,0),MATCH(Elements!F445,Constants!$W$3:$AA$3,0)),0)</f>
        <v>0</v>
      </c>
      <c r="L445" s="68">
        <f t="shared" si="14"/>
        <v>0</v>
      </c>
    </row>
    <row r="446" spans="2:12" x14ac:dyDescent="0.85">
      <c r="B446" s="46">
        <v>439</v>
      </c>
      <c r="C446" s="276"/>
      <c r="D446" s="283"/>
      <c r="E446" s="10"/>
      <c r="F446" s="10"/>
      <c r="G446" s="47">
        <v>1</v>
      </c>
      <c r="H446" s="72"/>
      <c r="I446" s="10"/>
      <c r="J446" s="46">
        <f t="shared" si="13"/>
        <v>1</v>
      </c>
      <c r="K446" s="46">
        <f>IFERROR(INDEX(TarrifTable,MATCH(Elements!E446,Constants!$V$4:$V$7,0),MATCH(Elements!F446,Constants!$W$3:$AA$3,0)),0)</f>
        <v>0</v>
      </c>
      <c r="L446" s="69">
        <f t="shared" si="14"/>
        <v>0</v>
      </c>
    </row>
    <row r="447" spans="2:12" x14ac:dyDescent="0.85">
      <c r="B447" s="48">
        <v>440</v>
      </c>
      <c r="C447" s="277"/>
      <c r="D447" s="284"/>
      <c r="E447" s="44"/>
      <c r="F447" s="44"/>
      <c r="G447" s="49">
        <v>1</v>
      </c>
      <c r="H447" s="73"/>
      <c r="I447" s="44"/>
      <c r="J447" s="48">
        <f t="shared" si="13"/>
        <v>1</v>
      </c>
      <c r="K447" s="48">
        <f>IFERROR(INDEX(TarrifTable,MATCH(Elements!E447,Constants!$V$4:$V$7,0),MATCH(Elements!F447,Constants!$W$3:$AA$3,0)),0)</f>
        <v>0</v>
      </c>
      <c r="L447" s="68">
        <f t="shared" si="14"/>
        <v>0</v>
      </c>
    </row>
    <row r="448" spans="2:12" x14ac:dyDescent="0.85">
      <c r="B448" s="46">
        <v>441</v>
      </c>
      <c r="C448" s="276"/>
      <c r="D448" s="283"/>
      <c r="E448" s="10"/>
      <c r="F448" s="10"/>
      <c r="G448" s="47">
        <v>1</v>
      </c>
      <c r="H448" s="72"/>
      <c r="I448" s="10"/>
      <c r="J448" s="46">
        <f t="shared" si="13"/>
        <v>1</v>
      </c>
      <c r="K448" s="46">
        <f>IFERROR(INDEX(TarrifTable,MATCH(Elements!E448,Constants!$V$4:$V$7,0),MATCH(Elements!F448,Constants!$W$3:$AA$3,0)),0)</f>
        <v>0</v>
      </c>
      <c r="L448" s="69">
        <f t="shared" si="14"/>
        <v>0</v>
      </c>
    </row>
    <row r="449" spans="2:12" x14ac:dyDescent="0.85">
      <c r="B449" s="48">
        <v>442</v>
      </c>
      <c r="C449" s="277"/>
      <c r="D449" s="284"/>
      <c r="E449" s="44"/>
      <c r="F449" s="44"/>
      <c r="G449" s="49">
        <v>1</v>
      </c>
      <c r="H449" s="73"/>
      <c r="I449" s="44"/>
      <c r="J449" s="48">
        <f t="shared" si="13"/>
        <v>1</v>
      </c>
      <c r="K449" s="48">
        <f>IFERROR(INDEX(TarrifTable,MATCH(Elements!E449,Constants!$V$4:$V$7,0),MATCH(Elements!F449,Constants!$W$3:$AA$3,0)),0)</f>
        <v>0</v>
      </c>
      <c r="L449" s="68">
        <f t="shared" si="14"/>
        <v>0</v>
      </c>
    </row>
    <row r="450" spans="2:12" x14ac:dyDescent="0.85">
      <c r="B450" s="46">
        <v>443</v>
      </c>
      <c r="C450" s="276"/>
      <c r="D450" s="283"/>
      <c r="E450" s="10"/>
      <c r="F450" s="10"/>
      <c r="G450" s="47">
        <v>1</v>
      </c>
      <c r="H450" s="72"/>
      <c r="I450" s="10"/>
      <c r="J450" s="46">
        <f t="shared" si="13"/>
        <v>1</v>
      </c>
      <c r="K450" s="46">
        <f>IFERROR(INDEX(TarrifTable,MATCH(Elements!E450,Constants!$V$4:$V$7,0),MATCH(Elements!F450,Constants!$W$3:$AA$3,0)),0)</f>
        <v>0</v>
      </c>
      <c r="L450" s="69">
        <f t="shared" si="14"/>
        <v>0</v>
      </c>
    </row>
    <row r="451" spans="2:12" x14ac:dyDescent="0.85">
      <c r="B451" s="48">
        <v>444</v>
      </c>
      <c r="C451" s="277"/>
      <c r="D451" s="284"/>
      <c r="E451" s="44"/>
      <c r="F451" s="44"/>
      <c r="G451" s="49">
        <v>1</v>
      </c>
      <c r="H451" s="73"/>
      <c r="I451" s="44"/>
      <c r="J451" s="48">
        <f t="shared" si="13"/>
        <v>1</v>
      </c>
      <c r="K451" s="48">
        <f>IFERROR(INDEX(TarrifTable,MATCH(Elements!E451,Constants!$V$4:$V$7,0),MATCH(Elements!F451,Constants!$W$3:$AA$3,0)),0)</f>
        <v>0</v>
      </c>
      <c r="L451" s="68">
        <f t="shared" si="14"/>
        <v>0</v>
      </c>
    </row>
    <row r="452" spans="2:12" x14ac:dyDescent="0.85">
      <c r="B452" s="46">
        <v>445</v>
      </c>
      <c r="C452" s="276"/>
      <c r="D452" s="283"/>
      <c r="E452" s="10"/>
      <c r="F452" s="10"/>
      <c r="G452" s="47">
        <v>1</v>
      </c>
      <c r="H452" s="72"/>
      <c r="I452" s="10"/>
      <c r="J452" s="46">
        <f t="shared" si="13"/>
        <v>1</v>
      </c>
      <c r="K452" s="46">
        <f>IFERROR(INDEX(TarrifTable,MATCH(Elements!E452,Constants!$V$4:$V$7,0),MATCH(Elements!F452,Constants!$W$3:$AA$3,0)),0)</f>
        <v>0</v>
      </c>
      <c r="L452" s="69">
        <f t="shared" si="14"/>
        <v>0</v>
      </c>
    </row>
    <row r="453" spans="2:12" x14ac:dyDescent="0.85">
      <c r="B453" s="48">
        <v>446</v>
      </c>
      <c r="C453" s="277"/>
      <c r="D453" s="284"/>
      <c r="E453" s="44"/>
      <c r="F453" s="44"/>
      <c r="G453" s="49">
        <v>1</v>
      </c>
      <c r="H453" s="73"/>
      <c r="I453" s="44"/>
      <c r="J453" s="48">
        <f t="shared" si="13"/>
        <v>1</v>
      </c>
      <c r="K453" s="48">
        <f>IFERROR(INDEX(TarrifTable,MATCH(Elements!E453,Constants!$V$4:$V$7,0),MATCH(Elements!F453,Constants!$W$3:$AA$3,0)),0)</f>
        <v>0</v>
      </c>
      <c r="L453" s="68">
        <f t="shared" si="14"/>
        <v>0</v>
      </c>
    </row>
    <row r="454" spans="2:12" x14ac:dyDescent="0.85">
      <c r="B454" s="46">
        <v>447</v>
      </c>
      <c r="C454" s="276"/>
      <c r="D454" s="283"/>
      <c r="E454" s="10"/>
      <c r="F454" s="10"/>
      <c r="G454" s="47">
        <v>1</v>
      </c>
      <c r="H454" s="72"/>
      <c r="I454" s="10"/>
      <c r="J454" s="46">
        <f t="shared" si="13"/>
        <v>1</v>
      </c>
      <c r="K454" s="46">
        <f>IFERROR(INDEX(TarrifTable,MATCH(Elements!E454,Constants!$V$4:$V$7,0),MATCH(Elements!F454,Constants!$W$3:$AA$3,0)),0)</f>
        <v>0</v>
      </c>
      <c r="L454" s="69">
        <f t="shared" si="14"/>
        <v>0</v>
      </c>
    </row>
    <row r="455" spans="2:12" x14ac:dyDescent="0.85">
      <c r="B455" s="48">
        <v>448</v>
      </c>
      <c r="C455" s="277"/>
      <c r="D455" s="284"/>
      <c r="E455" s="44"/>
      <c r="F455" s="44"/>
      <c r="G455" s="49">
        <v>1</v>
      </c>
      <c r="H455" s="73"/>
      <c r="I455" s="44"/>
      <c r="J455" s="48">
        <f t="shared" si="13"/>
        <v>1</v>
      </c>
      <c r="K455" s="48">
        <f>IFERROR(INDEX(TarrifTable,MATCH(Elements!E455,Constants!$V$4:$V$7,0),MATCH(Elements!F455,Constants!$W$3:$AA$3,0)),0)</f>
        <v>0</v>
      </c>
      <c r="L455" s="68">
        <f t="shared" si="14"/>
        <v>0</v>
      </c>
    </row>
    <row r="456" spans="2:12" x14ac:dyDescent="0.85">
      <c r="B456" s="46">
        <v>449</v>
      </c>
      <c r="C456" s="276"/>
      <c r="D456" s="283"/>
      <c r="E456" s="10"/>
      <c r="F456" s="10"/>
      <c r="G456" s="47">
        <v>1</v>
      </c>
      <c r="H456" s="72"/>
      <c r="I456" s="10"/>
      <c r="J456" s="46">
        <f t="shared" ref="J456:J519" si="15">IF(ISBLANK(H456),1,H456)</f>
        <v>1</v>
      </c>
      <c r="K456" s="46">
        <f>IFERROR(INDEX(TarrifTable,MATCH(Elements!E456,Constants!$V$4:$V$7,0),MATCH(Elements!F456,Constants!$W$3:$AA$3,0)),0)</f>
        <v>0</v>
      </c>
      <c r="L456" s="69">
        <f t="shared" ref="L456:L519" si="16">J456*G456*K456</f>
        <v>0</v>
      </c>
    </row>
    <row r="457" spans="2:12" x14ac:dyDescent="0.85">
      <c r="B457" s="48">
        <v>450</v>
      </c>
      <c r="C457" s="277"/>
      <c r="D457" s="284"/>
      <c r="E457" s="44"/>
      <c r="F457" s="44"/>
      <c r="G457" s="49">
        <v>1</v>
      </c>
      <c r="H457" s="73"/>
      <c r="I457" s="44"/>
      <c r="J457" s="48">
        <f t="shared" si="15"/>
        <v>1</v>
      </c>
      <c r="K457" s="48">
        <f>IFERROR(INDEX(TarrifTable,MATCH(Elements!E457,Constants!$V$4:$V$7,0),MATCH(Elements!F457,Constants!$W$3:$AA$3,0)),0)</f>
        <v>0</v>
      </c>
      <c r="L457" s="68">
        <f t="shared" si="16"/>
        <v>0</v>
      </c>
    </row>
    <row r="458" spans="2:12" x14ac:dyDescent="0.85">
      <c r="B458" s="46">
        <v>451</v>
      </c>
      <c r="C458" s="276"/>
      <c r="D458" s="283"/>
      <c r="E458" s="10"/>
      <c r="F458" s="10"/>
      <c r="G458" s="47">
        <v>1</v>
      </c>
      <c r="H458" s="72"/>
      <c r="I458" s="10"/>
      <c r="J458" s="46">
        <f t="shared" si="15"/>
        <v>1</v>
      </c>
      <c r="K458" s="46">
        <f>IFERROR(INDEX(TarrifTable,MATCH(Elements!E458,Constants!$V$4:$V$7,0),MATCH(Elements!F458,Constants!$W$3:$AA$3,0)),0)</f>
        <v>0</v>
      </c>
      <c r="L458" s="69">
        <f t="shared" si="16"/>
        <v>0</v>
      </c>
    </row>
    <row r="459" spans="2:12" x14ac:dyDescent="0.85">
      <c r="B459" s="48">
        <v>452</v>
      </c>
      <c r="C459" s="277"/>
      <c r="D459" s="284"/>
      <c r="E459" s="44"/>
      <c r="F459" s="44"/>
      <c r="G459" s="49">
        <v>1</v>
      </c>
      <c r="H459" s="73"/>
      <c r="I459" s="44"/>
      <c r="J459" s="48">
        <f t="shared" si="15"/>
        <v>1</v>
      </c>
      <c r="K459" s="48">
        <f>IFERROR(INDEX(TarrifTable,MATCH(Elements!E459,Constants!$V$4:$V$7,0),MATCH(Elements!F459,Constants!$W$3:$AA$3,0)),0)</f>
        <v>0</v>
      </c>
      <c r="L459" s="68">
        <f t="shared" si="16"/>
        <v>0</v>
      </c>
    </row>
    <row r="460" spans="2:12" x14ac:dyDescent="0.85">
      <c r="B460" s="46">
        <v>453</v>
      </c>
      <c r="C460" s="276"/>
      <c r="D460" s="283"/>
      <c r="E460" s="10"/>
      <c r="F460" s="10"/>
      <c r="G460" s="47">
        <v>1</v>
      </c>
      <c r="H460" s="72"/>
      <c r="I460" s="10"/>
      <c r="J460" s="46">
        <f t="shared" si="15"/>
        <v>1</v>
      </c>
      <c r="K460" s="46">
        <f>IFERROR(INDEX(TarrifTable,MATCH(Elements!E460,Constants!$V$4:$V$7,0),MATCH(Elements!F460,Constants!$W$3:$AA$3,0)),0)</f>
        <v>0</v>
      </c>
      <c r="L460" s="69">
        <f t="shared" si="16"/>
        <v>0</v>
      </c>
    </row>
    <row r="461" spans="2:12" x14ac:dyDescent="0.85">
      <c r="B461" s="48">
        <v>454</v>
      </c>
      <c r="C461" s="277"/>
      <c r="D461" s="284"/>
      <c r="E461" s="44"/>
      <c r="F461" s="44"/>
      <c r="G461" s="49">
        <v>1</v>
      </c>
      <c r="H461" s="73"/>
      <c r="I461" s="44"/>
      <c r="J461" s="48">
        <f t="shared" si="15"/>
        <v>1</v>
      </c>
      <c r="K461" s="48">
        <f>IFERROR(INDEX(TarrifTable,MATCH(Elements!E461,Constants!$V$4:$V$7,0),MATCH(Elements!F461,Constants!$W$3:$AA$3,0)),0)</f>
        <v>0</v>
      </c>
      <c r="L461" s="68">
        <f t="shared" si="16"/>
        <v>0</v>
      </c>
    </row>
    <row r="462" spans="2:12" x14ac:dyDescent="0.85">
      <c r="B462" s="46">
        <v>455</v>
      </c>
      <c r="C462" s="276"/>
      <c r="D462" s="283"/>
      <c r="E462" s="10"/>
      <c r="F462" s="10"/>
      <c r="G462" s="47">
        <v>1</v>
      </c>
      <c r="H462" s="72"/>
      <c r="I462" s="10"/>
      <c r="J462" s="46">
        <f t="shared" si="15"/>
        <v>1</v>
      </c>
      <c r="K462" s="46">
        <f>IFERROR(INDEX(TarrifTable,MATCH(Elements!E462,Constants!$V$4:$V$7,0),MATCH(Elements!F462,Constants!$W$3:$AA$3,0)),0)</f>
        <v>0</v>
      </c>
      <c r="L462" s="69">
        <f t="shared" si="16"/>
        <v>0</v>
      </c>
    </row>
    <row r="463" spans="2:12" x14ac:dyDescent="0.85">
      <c r="B463" s="48">
        <v>456</v>
      </c>
      <c r="C463" s="277"/>
      <c r="D463" s="284"/>
      <c r="E463" s="44"/>
      <c r="F463" s="44"/>
      <c r="G463" s="49">
        <v>1</v>
      </c>
      <c r="H463" s="73"/>
      <c r="I463" s="44"/>
      <c r="J463" s="48">
        <f t="shared" si="15"/>
        <v>1</v>
      </c>
      <c r="K463" s="48">
        <f>IFERROR(INDEX(TarrifTable,MATCH(Elements!E463,Constants!$V$4:$V$7,0),MATCH(Elements!F463,Constants!$W$3:$AA$3,0)),0)</f>
        <v>0</v>
      </c>
      <c r="L463" s="68">
        <f t="shared" si="16"/>
        <v>0</v>
      </c>
    </row>
    <row r="464" spans="2:12" x14ac:dyDescent="0.85">
      <c r="B464" s="46">
        <v>457</v>
      </c>
      <c r="C464" s="276"/>
      <c r="D464" s="283"/>
      <c r="E464" s="10"/>
      <c r="F464" s="10"/>
      <c r="G464" s="47">
        <v>1</v>
      </c>
      <c r="H464" s="72"/>
      <c r="I464" s="10"/>
      <c r="J464" s="46">
        <f t="shared" si="15"/>
        <v>1</v>
      </c>
      <c r="K464" s="46">
        <f>IFERROR(INDEX(TarrifTable,MATCH(Elements!E464,Constants!$V$4:$V$7,0),MATCH(Elements!F464,Constants!$W$3:$AA$3,0)),0)</f>
        <v>0</v>
      </c>
      <c r="L464" s="69">
        <f t="shared" si="16"/>
        <v>0</v>
      </c>
    </row>
    <row r="465" spans="2:12" x14ac:dyDescent="0.85">
      <c r="B465" s="48">
        <v>458</v>
      </c>
      <c r="C465" s="277"/>
      <c r="D465" s="284"/>
      <c r="E465" s="44"/>
      <c r="F465" s="44"/>
      <c r="G465" s="49">
        <v>1</v>
      </c>
      <c r="H465" s="73"/>
      <c r="I465" s="44"/>
      <c r="J465" s="48">
        <f t="shared" si="15"/>
        <v>1</v>
      </c>
      <c r="K465" s="48">
        <f>IFERROR(INDEX(TarrifTable,MATCH(Elements!E465,Constants!$V$4:$V$7,0),MATCH(Elements!F465,Constants!$W$3:$AA$3,0)),0)</f>
        <v>0</v>
      </c>
      <c r="L465" s="68">
        <f t="shared" si="16"/>
        <v>0</v>
      </c>
    </row>
    <row r="466" spans="2:12" x14ac:dyDescent="0.85">
      <c r="B466" s="46">
        <v>459</v>
      </c>
      <c r="C466" s="276"/>
      <c r="D466" s="283"/>
      <c r="E466" s="10"/>
      <c r="F466" s="10"/>
      <c r="G466" s="47">
        <v>1</v>
      </c>
      <c r="H466" s="72"/>
      <c r="I466" s="10"/>
      <c r="J466" s="46">
        <f t="shared" si="15"/>
        <v>1</v>
      </c>
      <c r="K466" s="46">
        <f>IFERROR(INDEX(TarrifTable,MATCH(Elements!E466,Constants!$V$4:$V$7,0),MATCH(Elements!F466,Constants!$W$3:$AA$3,0)),0)</f>
        <v>0</v>
      </c>
      <c r="L466" s="69">
        <f t="shared" si="16"/>
        <v>0</v>
      </c>
    </row>
    <row r="467" spans="2:12" x14ac:dyDescent="0.85">
      <c r="B467" s="48">
        <v>460</v>
      </c>
      <c r="C467" s="277"/>
      <c r="D467" s="284"/>
      <c r="E467" s="44"/>
      <c r="F467" s="44"/>
      <c r="G467" s="49">
        <v>1</v>
      </c>
      <c r="H467" s="73"/>
      <c r="I467" s="44"/>
      <c r="J467" s="48">
        <f t="shared" si="15"/>
        <v>1</v>
      </c>
      <c r="K467" s="48">
        <f>IFERROR(INDEX(TarrifTable,MATCH(Elements!E467,Constants!$V$4:$V$7,0),MATCH(Elements!F467,Constants!$W$3:$AA$3,0)),0)</f>
        <v>0</v>
      </c>
      <c r="L467" s="68">
        <f t="shared" si="16"/>
        <v>0</v>
      </c>
    </row>
    <row r="468" spans="2:12" x14ac:dyDescent="0.85">
      <c r="B468" s="46">
        <v>461</v>
      </c>
      <c r="C468" s="276"/>
      <c r="D468" s="283"/>
      <c r="E468" s="10"/>
      <c r="F468" s="10"/>
      <c r="G468" s="47">
        <v>1</v>
      </c>
      <c r="H468" s="72"/>
      <c r="I468" s="10"/>
      <c r="J468" s="46">
        <f t="shared" si="15"/>
        <v>1</v>
      </c>
      <c r="K468" s="46">
        <f>IFERROR(INDEX(TarrifTable,MATCH(Elements!E468,Constants!$V$4:$V$7,0),MATCH(Elements!F468,Constants!$W$3:$AA$3,0)),0)</f>
        <v>0</v>
      </c>
      <c r="L468" s="69">
        <f t="shared" si="16"/>
        <v>0</v>
      </c>
    </row>
    <row r="469" spans="2:12" x14ac:dyDescent="0.85">
      <c r="B469" s="48">
        <v>462</v>
      </c>
      <c r="C469" s="277"/>
      <c r="D469" s="284"/>
      <c r="E469" s="44"/>
      <c r="F469" s="44"/>
      <c r="G469" s="49">
        <v>1</v>
      </c>
      <c r="H469" s="73"/>
      <c r="I469" s="44"/>
      <c r="J469" s="48">
        <f t="shared" si="15"/>
        <v>1</v>
      </c>
      <c r="K469" s="48">
        <f>IFERROR(INDEX(TarrifTable,MATCH(Elements!E469,Constants!$V$4:$V$7,0),MATCH(Elements!F469,Constants!$W$3:$AA$3,0)),0)</f>
        <v>0</v>
      </c>
      <c r="L469" s="68">
        <f t="shared" si="16"/>
        <v>0</v>
      </c>
    </row>
    <row r="470" spans="2:12" x14ac:dyDescent="0.85">
      <c r="B470" s="46">
        <v>463</v>
      </c>
      <c r="C470" s="276"/>
      <c r="D470" s="283"/>
      <c r="E470" s="10"/>
      <c r="F470" s="10"/>
      <c r="G470" s="47">
        <v>1</v>
      </c>
      <c r="H470" s="72"/>
      <c r="I470" s="10"/>
      <c r="J470" s="46">
        <f t="shared" si="15"/>
        <v>1</v>
      </c>
      <c r="K470" s="46">
        <f>IFERROR(INDEX(TarrifTable,MATCH(Elements!E470,Constants!$V$4:$V$7,0),MATCH(Elements!F470,Constants!$W$3:$AA$3,0)),0)</f>
        <v>0</v>
      </c>
      <c r="L470" s="69">
        <f t="shared" si="16"/>
        <v>0</v>
      </c>
    </row>
    <row r="471" spans="2:12" x14ac:dyDescent="0.85">
      <c r="B471" s="48">
        <v>464</v>
      </c>
      <c r="C471" s="277"/>
      <c r="D471" s="284"/>
      <c r="E471" s="44"/>
      <c r="F471" s="44"/>
      <c r="G471" s="49">
        <v>1</v>
      </c>
      <c r="H471" s="73"/>
      <c r="I471" s="44"/>
      <c r="J471" s="48">
        <f t="shared" si="15"/>
        <v>1</v>
      </c>
      <c r="K471" s="48">
        <f>IFERROR(INDEX(TarrifTable,MATCH(Elements!E471,Constants!$V$4:$V$7,0),MATCH(Elements!F471,Constants!$W$3:$AA$3,0)),0)</f>
        <v>0</v>
      </c>
      <c r="L471" s="68">
        <f t="shared" si="16"/>
        <v>0</v>
      </c>
    </row>
    <row r="472" spans="2:12" x14ac:dyDescent="0.85">
      <c r="B472" s="46">
        <v>465</v>
      </c>
      <c r="C472" s="276"/>
      <c r="D472" s="283"/>
      <c r="E472" s="10"/>
      <c r="F472" s="10"/>
      <c r="G472" s="47">
        <v>1</v>
      </c>
      <c r="H472" s="72"/>
      <c r="I472" s="10"/>
      <c r="J472" s="46">
        <f t="shared" si="15"/>
        <v>1</v>
      </c>
      <c r="K472" s="46">
        <f>IFERROR(INDEX(TarrifTable,MATCH(Elements!E472,Constants!$V$4:$V$7,0),MATCH(Elements!F472,Constants!$W$3:$AA$3,0)),0)</f>
        <v>0</v>
      </c>
      <c r="L472" s="69">
        <f t="shared" si="16"/>
        <v>0</v>
      </c>
    </row>
    <row r="473" spans="2:12" x14ac:dyDescent="0.85">
      <c r="B473" s="48">
        <v>466</v>
      </c>
      <c r="C473" s="277"/>
      <c r="D473" s="284"/>
      <c r="E473" s="44"/>
      <c r="F473" s="44"/>
      <c r="G473" s="49">
        <v>1</v>
      </c>
      <c r="H473" s="73"/>
      <c r="I473" s="44"/>
      <c r="J473" s="48">
        <f t="shared" si="15"/>
        <v>1</v>
      </c>
      <c r="K473" s="48">
        <f>IFERROR(INDEX(TarrifTable,MATCH(Elements!E473,Constants!$V$4:$V$7,0),MATCH(Elements!F473,Constants!$W$3:$AA$3,0)),0)</f>
        <v>0</v>
      </c>
      <c r="L473" s="68">
        <f t="shared" si="16"/>
        <v>0</v>
      </c>
    </row>
    <row r="474" spans="2:12" x14ac:dyDescent="0.85">
      <c r="B474" s="46">
        <v>467</v>
      </c>
      <c r="C474" s="276"/>
      <c r="D474" s="283"/>
      <c r="E474" s="10"/>
      <c r="F474" s="10"/>
      <c r="G474" s="47">
        <v>1</v>
      </c>
      <c r="H474" s="72"/>
      <c r="I474" s="10"/>
      <c r="J474" s="46">
        <f t="shared" si="15"/>
        <v>1</v>
      </c>
      <c r="K474" s="46">
        <f>IFERROR(INDEX(TarrifTable,MATCH(Elements!E474,Constants!$V$4:$V$7,0),MATCH(Elements!F474,Constants!$W$3:$AA$3,0)),0)</f>
        <v>0</v>
      </c>
      <c r="L474" s="69">
        <f t="shared" si="16"/>
        <v>0</v>
      </c>
    </row>
    <row r="475" spans="2:12" x14ac:dyDescent="0.85">
      <c r="B475" s="48">
        <v>468</v>
      </c>
      <c r="C475" s="277"/>
      <c r="D475" s="284"/>
      <c r="E475" s="44"/>
      <c r="F475" s="44"/>
      <c r="G475" s="49">
        <v>1</v>
      </c>
      <c r="H475" s="73"/>
      <c r="I475" s="44"/>
      <c r="J475" s="48">
        <f t="shared" si="15"/>
        <v>1</v>
      </c>
      <c r="K475" s="48">
        <f>IFERROR(INDEX(TarrifTable,MATCH(Elements!E475,Constants!$V$4:$V$7,0),MATCH(Elements!F475,Constants!$W$3:$AA$3,0)),0)</f>
        <v>0</v>
      </c>
      <c r="L475" s="68">
        <f t="shared" si="16"/>
        <v>0</v>
      </c>
    </row>
    <row r="476" spans="2:12" x14ac:dyDescent="0.85">
      <c r="B476" s="46">
        <v>469</v>
      </c>
      <c r="C476" s="276"/>
      <c r="D476" s="283"/>
      <c r="E476" s="10"/>
      <c r="F476" s="10"/>
      <c r="G476" s="47">
        <v>1</v>
      </c>
      <c r="H476" s="72"/>
      <c r="I476" s="10"/>
      <c r="J476" s="46">
        <f t="shared" si="15"/>
        <v>1</v>
      </c>
      <c r="K476" s="46">
        <f>IFERROR(INDEX(TarrifTable,MATCH(Elements!E476,Constants!$V$4:$V$7,0),MATCH(Elements!F476,Constants!$W$3:$AA$3,0)),0)</f>
        <v>0</v>
      </c>
      <c r="L476" s="69">
        <f t="shared" si="16"/>
        <v>0</v>
      </c>
    </row>
    <row r="477" spans="2:12" x14ac:dyDescent="0.85">
      <c r="B477" s="48">
        <v>470</v>
      </c>
      <c r="C477" s="277"/>
      <c r="D477" s="284"/>
      <c r="E477" s="44"/>
      <c r="F477" s="44"/>
      <c r="G477" s="49">
        <v>1</v>
      </c>
      <c r="H477" s="73"/>
      <c r="I477" s="44"/>
      <c r="J477" s="48">
        <f t="shared" si="15"/>
        <v>1</v>
      </c>
      <c r="K477" s="48">
        <f>IFERROR(INDEX(TarrifTable,MATCH(Elements!E477,Constants!$V$4:$V$7,0),MATCH(Elements!F477,Constants!$W$3:$AA$3,0)),0)</f>
        <v>0</v>
      </c>
      <c r="L477" s="68">
        <f t="shared" si="16"/>
        <v>0</v>
      </c>
    </row>
    <row r="478" spans="2:12" x14ac:dyDescent="0.85">
      <c r="B478" s="46">
        <v>471</v>
      </c>
      <c r="C478" s="276"/>
      <c r="D478" s="283"/>
      <c r="E478" s="10"/>
      <c r="F478" s="10"/>
      <c r="G478" s="47">
        <v>1</v>
      </c>
      <c r="H478" s="72"/>
      <c r="I478" s="10"/>
      <c r="J478" s="46">
        <f t="shared" si="15"/>
        <v>1</v>
      </c>
      <c r="K478" s="46">
        <f>IFERROR(INDEX(TarrifTable,MATCH(Elements!E478,Constants!$V$4:$V$7,0),MATCH(Elements!F478,Constants!$W$3:$AA$3,0)),0)</f>
        <v>0</v>
      </c>
      <c r="L478" s="69">
        <f t="shared" si="16"/>
        <v>0</v>
      </c>
    </row>
    <row r="479" spans="2:12" x14ac:dyDescent="0.85">
      <c r="B479" s="48">
        <v>472</v>
      </c>
      <c r="C479" s="277"/>
      <c r="D479" s="284"/>
      <c r="E479" s="44"/>
      <c r="F479" s="44"/>
      <c r="G479" s="49">
        <v>1</v>
      </c>
      <c r="H479" s="73"/>
      <c r="I479" s="44"/>
      <c r="J479" s="48">
        <f t="shared" si="15"/>
        <v>1</v>
      </c>
      <c r="K479" s="48">
        <f>IFERROR(INDEX(TarrifTable,MATCH(Elements!E479,Constants!$V$4:$V$7,0),MATCH(Elements!F479,Constants!$W$3:$AA$3,0)),0)</f>
        <v>0</v>
      </c>
      <c r="L479" s="68">
        <f t="shared" si="16"/>
        <v>0</v>
      </c>
    </row>
    <row r="480" spans="2:12" x14ac:dyDescent="0.85">
      <c r="B480" s="46">
        <v>473</v>
      </c>
      <c r="C480" s="276"/>
      <c r="D480" s="283"/>
      <c r="E480" s="10"/>
      <c r="F480" s="10"/>
      <c r="G480" s="47">
        <v>1</v>
      </c>
      <c r="H480" s="72"/>
      <c r="I480" s="10"/>
      <c r="J480" s="46">
        <f t="shared" si="15"/>
        <v>1</v>
      </c>
      <c r="K480" s="46">
        <f>IFERROR(INDEX(TarrifTable,MATCH(Elements!E480,Constants!$V$4:$V$7,0),MATCH(Elements!F480,Constants!$W$3:$AA$3,0)),0)</f>
        <v>0</v>
      </c>
      <c r="L480" s="69">
        <f t="shared" si="16"/>
        <v>0</v>
      </c>
    </row>
    <row r="481" spans="2:12" x14ac:dyDescent="0.85">
      <c r="B481" s="48">
        <v>474</v>
      </c>
      <c r="C481" s="277"/>
      <c r="D481" s="284"/>
      <c r="E481" s="44"/>
      <c r="F481" s="44"/>
      <c r="G481" s="49">
        <v>1</v>
      </c>
      <c r="H481" s="73"/>
      <c r="I481" s="44"/>
      <c r="J481" s="48">
        <f t="shared" si="15"/>
        <v>1</v>
      </c>
      <c r="K481" s="48">
        <f>IFERROR(INDEX(TarrifTable,MATCH(Elements!E481,Constants!$V$4:$V$7,0),MATCH(Elements!F481,Constants!$W$3:$AA$3,0)),0)</f>
        <v>0</v>
      </c>
      <c r="L481" s="68">
        <f t="shared" si="16"/>
        <v>0</v>
      </c>
    </row>
    <row r="482" spans="2:12" x14ac:dyDescent="0.85">
      <c r="B482" s="46">
        <v>475</v>
      </c>
      <c r="C482" s="276"/>
      <c r="D482" s="283"/>
      <c r="E482" s="10"/>
      <c r="F482" s="10"/>
      <c r="G482" s="47">
        <v>1</v>
      </c>
      <c r="H482" s="72"/>
      <c r="I482" s="10"/>
      <c r="J482" s="46">
        <f t="shared" si="15"/>
        <v>1</v>
      </c>
      <c r="K482" s="46">
        <f>IFERROR(INDEX(TarrifTable,MATCH(Elements!E482,Constants!$V$4:$V$7,0),MATCH(Elements!F482,Constants!$W$3:$AA$3,0)),0)</f>
        <v>0</v>
      </c>
      <c r="L482" s="69">
        <f t="shared" si="16"/>
        <v>0</v>
      </c>
    </row>
    <row r="483" spans="2:12" x14ac:dyDescent="0.85">
      <c r="B483" s="48">
        <v>476</v>
      </c>
      <c r="C483" s="277"/>
      <c r="D483" s="284"/>
      <c r="E483" s="44"/>
      <c r="F483" s="44"/>
      <c r="G483" s="49">
        <v>1</v>
      </c>
      <c r="H483" s="73"/>
      <c r="I483" s="44"/>
      <c r="J483" s="48">
        <f t="shared" si="15"/>
        <v>1</v>
      </c>
      <c r="K483" s="48">
        <f>IFERROR(INDEX(TarrifTable,MATCH(Elements!E483,Constants!$V$4:$V$7,0),MATCH(Elements!F483,Constants!$W$3:$AA$3,0)),0)</f>
        <v>0</v>
      </c>
      <c r="L483" s="68">
        <f t="shared" si="16"/>
        <v>0</v>
      </c>
    </row>
    <row r="484" spans="2:12" x14ac:dyDescent="0.85">
      <c r="B484" s="46">
        <v>477</v>
      </c>
      <c r="C484" s="276"/>
      <c r="D484" s="283"/>
      <c r="E484" s="10"/>
      <c r="F484" s="10"/>
      <c r="G484" s="47">
        <v>1</v>
      </c>
      <c r="H484" s="72"/>
      <c r="I484" s="10"/>
      <c r="J484" s="46">
        <f t="shared" si="15"/>
        <v>1</v>
      </c>
      <c r="K484" s="46">
        <f>IFERROR(INDEX(TarrifTable,MATCH(Elements!E484,Constants!$V$4:$V$7,0),MATCH(Elements!F484,Constants!$W$3:$AA$3,0)),0)</f>
        <v>0</v>
      </c>
      <c r="L484" s="69">
        <f t="shared" si="16"/>
        <v>0</v>
      </c>
    </row>
    <row r="485" spans="2:12" x14ac:dyDescent="0.85">
      <c r="B485" s="48">
        <v>478</v>
      </c>
      <c r="C485" s="277"/>
      <c r="D485" s="284"/>
      <c r="E485" s="44"/>
      <c r="F485" s="44"/>
      <c r="G485" s="49">
        <v>1</v>
      </c>
      <c r="H485" s="73"/>
      <c r="I485" s="44"/>
      <c r="J485" s="48">
        <f t="shared" si="15"/>
        <v>1</v>
      </c>
      <c r="K485" s="48">
        <f>IFERROR(INDEX(TarrifTable,MATCH(Elements!E485,Constants!$V$4:$V$7,0),MATCH(Elements!F485,Constants!$W$3:$AA$3,0)),0)</f>
        <v>0</v>
      </c>
      <c r="L485" s="68">
        <f t="shared" si="16"/>
        <v>0</v>
      </c>
    </row>
    <row r="486" spans="2:12" x14ac:dyDescent="0.85">
      <c r="B486" s="46">
        <v>479</v>
      </c>
      <c r="C486" s="276"/>
      <c r="D486" s="283"/>
      <c r="E486" s="10"/>
      <c r="F486" s="10"/>
      <c r="G486" s="47">
        <v>1</v>
      </c>
      <c r="H486" s="72"/>
      <c r="I486" s="10"/>
      <c r="J486" s="46">
        <f t="shared" si="15"/>
        <v>1</v>
      </c>
      <c r="K486" s="46">
        <f>IFERROR(INDEX(TarrifTable,MATCH(Elements!E486,Constants!$V$4:$V$7,0),MATCH(Elements!F486,Constants!$W$3:$AA$3,0)),0)</f>
        <v>0</v>
      </c>
      <c r="L486" s="69">
        <f t="shared" si="16"/>
        <v>0</v>
      </c>
    </row>
    <row r="487" spans="2:12" x14ac:dyDescent="0.85">
      <c r="B487" s="48">
        <v>480</v>
      </c>
      <c r="C487" s="277"/>
      <c r="D487" s="284"/>
      <c r="E487" s="44"/>
      <c r="F487" s="44"/>
      <c r="G487" s="49">
        <v>1</v>
      </c>
      <c r="H487" s="73"/>
      <c r="I487" s="44"/>
      <c r="J487" s="48">
        <f t="shared" si="15"/>
        <v>1</v>
      </c>
      <c r="K487" s="48">
        <f>IFERROR(INDEX(TarrifTable,MATCH(Elements!E487,Constants!$V$4:$V$7,0),MATCH(Elements!F487,Constants!$W$3:$AA$3,0)),0)</f>
        <v>0</v>
      </c>
      <c r="L487" s="68">
        <f t="shared" si="16"/>
        <v>0</v>
      </c>
    </row>
    <row r="488" spans="2:12" x14ac:dyDescent="0.85">
      <c r="B488" s="46">
        <v>481</v>
      </c>
      <c r="C488" s="276"/>
      <c r="D488" s="283"/>
      <c r="E488" s="10"/>
      <c r="F488" s="10"/>
      <c r="G488" s="47">
        <v>1</v>
      </c>
      <c r="H488" s="72"/>
      <c r="I488" s="10"/>
      <c r="J488" s="46">
        <f t="shared" si="15"/>
        <v>1</v>
      </c>
      <c r="K488" s="46">
        <f>IFERROR(INDEX(TarrifTable,MATCH(Elements!E488,Constants!$V$4:$V$7,0),MATCH(Elements!F488,Constants!$W$3:$AA$3,0)),0)</f>
        <v>0</v>
      </c>
      <c r="L488" s="69">
        <f t="shared" si="16"/>
        <v>0</v>
      </c>
    </row>
    <row r="489" spans="2:12" x14ac:dyDescent="0.85">
      <c r="B489" s="48">
        <v>482</v>
      </c>
      <c r="C489" s="277"/>
      <c r="D489" s="284"/>
      <c r="E489" s="44"/>
      <c r="F489" s="44"/>
      <c r="G489" s="49">
        <v>1</v>
      </c>
      <c r="H489" s="73"/>
      <c r="I489" s="44"/>
      <c r="J489" s="48">
        <f t="shared" si="15"/>
        <v>1</v>
      </c>
      <c r="K489" s="48">
        <f>IFERROR(INDEX(TarrifTable,MATCH(Elements!E489,Constants!$V$4:$V$7,0),MATCH(Elements!F489,Constants!$W$3:$AA$3,0)),0)</f>
        <v>0</v>
      </c>
      <c r="L489" s="68">
        <f t="shared" si="16"/>
        <v>0</v>
      </c>
    </row>
    <row r="490" spans="2:12" x14ac:dyDescent="0.85">
      <c r="B490" s="46">
        <v>483</v>
      </c>
      <c r="C490" s="276"/>
      <c r="D490" s="283"/>
      <c r="E490" s="10"/>
      <c r="F490" s="10"/>
      <c r="G490" s="47">
        <v>1</v>
      </c>
      <c r="H490" s="72"/>
      <c r="I490" s="10"/>
      <c r="J490" s="46">
        <f t="shared" si="15"/>
        <v>1</v>
      </c>
      <c r="K490" s="46">
        <f>IFERROR(INDEX(TarrifTable,MATCH(Elements!E490,Constants!$V$4:$V$7,0),MATCH(Elements!F490,Constants!$W$3:$AA$3,0)),0)</f>
        <v>0</v>
      </c>
      <c r="L490" s="69">
        <f t="shared" si="16"/>
        <v>0</v>
      </c>
    </row>
    <row r="491" spans="2:12" x14ac:dyDescent="0.85">
      <c r="B491" s="48">
        <v>484</v>
      </c>
      <c r="C491" s="277"/>
      <c r="D491" s="284"/>
      <c r="E491" s="44"/>
      <c r="F491" s="44"/>
      <c r="G491" s="49">
        <v>1</v>
      </c>
      <c r="H491" s="73"/>
      <c r="I491" s="44"/>
      <c r="J491" s="48">
        <f t="shared" si="15"/>
        <v>1</v>
      </c>
      <c r="K491" s="48">
        <f>IFERROR(INDEX(TarrifTable,MATCH(Elements!E491,Constants!$V$4:$V$7,0),MATCH(Elements!F491,Constants!$W$3:$AA$3,0)),0)</f>
        <v>0</v>
      </c>
      <c r="L491" s="68">
        <f t="shared" si="16"/>
        <v>0</v>
      </c>
    </row>
    <row r="492" spans="2:12" x14ac:dyDescent="0.85">
      <c r="B492" s="46">
        <v>485</v>
      </c>
      <c r="C492" s="276"/>
      <c r="D492" s="283"/>
      <c r="E492" s="10"/>
      <c r="F492" s="10"/>
      <c r="G492" s="47">
        <v>1</v>
      </c>
      <c r="H492" s="72"/>
      <c r="I492" s="10"/>
      <c r="J492" s="46">
        <f t="shared" si="15"/>
        <v>1</v>
      </c>
      <c r="K492" s="46">
        <f>IFERROR(INDEX(TarrifTable,MATCH(Elements!E492,Constants!$V$4:$V$7,0),MATCH(Elements!F492,Constants!$W$3:$AA$3,0)),0)</f>
        <v>0</v>
      </c>
      <c r="L492" s="69">
        <f t="shared" si="16"/>
        <v>0</v>
      </c>
    </row>
    <row r="493" spans="2:12" x14ac:dyDescent="0.85">
      <c r="B493" s="48">
        <v>486</v>
      </c>
      <c r="C493" s="277"/>
      <c r="D493" s="284"/>
      <c r="E493" s="44"/>
      <c r="F493" s="44"/>
      <c r="G493" s="49">
        <v>1</v>
      </c>
      <c r="H493" s="73"/>
      <c r="I493" s="44"/>
      <c r="J493" s="48">
        <f t="shared" si="15"/>
        <v>1</v>
      </c>
      <c r="K493" s="48">
        <f>IFERROR(INDEX(TarrifTable,MATCH(Elements!E493,Constants!$V$4:$V$7,0),MATCH(Elements!F493,Constants!$W$3:$AA$3,0)),0)</f>
        <v>0</v>
      </c>
      <c r="L493" s="68">
        <f t="shared" si="16"/>
        <v>0</v>
      </c>
    </row>
    <row r="494" spans="2:12" x14ac:dyDescent="0.85">
      <c r="B494" s="46">
        <v>487</v>
      </c>
      <c r="C494" s="276"/>
      <c r="D494" s="283"/>
      <c r="E494" s="10"/>
      <c r="F494" s="10"/>
      <c r="G494" s="47">
        <v>1</v>
      </c>
      <c r="H494" s="72"/>
      <c r="I494" s="10"/>
      <c r="J494" s="46">
        <f t="shared" si="15"/>
        <v>1</v>
      </c>
      <c r="K494" s="46">
        <f>IFERROR(INDEX(TarrifTable,MATCH(Elements!E494,Constants!$V$4:$V$7,0),MATCH(Elements!F494,Constants!$W$3:$AA$3,0)),0)</f>
        <v>0</v>
      </c>
      <c r="L494" s="69">
        <f t="shared" si="16"/>
        <v>0</v>
      </c>
    </row>
    <row r="495" spans="2:12" x14ac:dyDescent="0.85">
      <c r="B495" s="48">
        <v>488</v>
      </c>
      <c r="C495" s="277"/>
      <c r="D495" s="284"/>
      <c r="E495" s="44"/>
      <c r="F495" s="44"/>
      <c r="G495" s="49">
        <v>1</v>
      </c>
      <c r="H495" s="73"/>
      <c r="I495" s="44"/>
      <c r="J495" s="48">
        <f t="shared" si="15"/>
        <v>1</v>
      </c>
      <c r="K495" s="48">
        <f>IFERROR(INDEX(TarrifTable,MATCH(Elements!E495,Constants!$V$4:$V$7,0),MATCH(Elements!F495,Constants!$W$3:$AA$3,0)),0)</f>
        <v>0</v>
      </c>
      <c r="L495" s="68">
        <f t="shared" si="16"/>
        <v>0</v>
      </c>
    </row>
    <row r="496" spans="2:12" x14ac:dyDescent="0.85">
      <c r="B496" s="46">
        <v>489</v>
      </c>
      <c r="C496" s="276"/>
      <c r="D496" s="283"/>
      <c r="E496" s="10"/>
      <c r="F496" s="10"/>
      <c r="G496" s="47">
        <v>1</v>
      </c>
      <c r="H496" s="72"/>
      <c r="I496" s="10"/>
      <c r="J496" s="46">
        <f t="shared" si="15"/>
        <v>1</v>
      </c>
      <c r="K496" s="46">
        <f>IFERROR(INDEX(TarrifTable,MATCH(Elements!E496,Constants!$V$4:$V$7,0),MATCH(Elements!F496,Constants!$W$3:$AA$3,0)),0)</f>
        <v>0</v>
      </c>
      <c r="L496" s="69">
        <f t="shared" si="16"/>
        <v>0</v>
      </c>
    </row>
    <row r="497" spans="2:12" x14ac:dyDescent="0.85">
      <c r="B497" s="48">
        <v>490</v>
      </c>
      <c r="C497" s="277"/>
      <c r="D497" s="284"/>
      <c r="E497" s="44"/>
      <c r="F497" s="44"/>
      <c r="G497" s="49">
        <v>1</v>
      </c>
      <c r="H497" s="73"/>
      <c r="I497" s="44"/>
      <c r="J497" s="48">
        <f t="shared" si="15"/>
        <v>1</v>
      </c>
      <c r="K497" s="48">
        <f>IFERROR(INDEX(TarrifTable,MATCH(Elements!E497,Constants!$V$4:$V$7,0),MATCH(Elements!F497,Constants!$W$3:$AA$3,0)),0)</f>
        <v>0</v>
      </c>
      <c r="L497" s="68">
        <f t="shared" si="16"/>
        <v>0</v>
      </c>
    </row>
    <row r="498" spans="2:12" x14ac:dyDescent="0.85">
      <c r="B498" s="46">
        <v>491</v>
      </c>
      <c r="C498" s="276"/>
      <c r="D498" s="283"/>
      <c r="E498" s="10"/>
      <c r="F498" s="10"/>
      <c r="G498" s="47">
        <v>1</v>
      </c>
      <c r="H498" s="72"/>
      <c r="I498" s="10"/>
      <c r="J498" s="46">
        <f t="shared" si="15"/>
        <v>1</v>
      </c>
      <c r="K498" s="46">
        <f>IFERROR(INDEX(TarrifTable,MATCH(Elements!E498,Constants!$V$4:$V$7,0),MATCH(Elements!F498,Constants!$W$3:$AA$3,0)),0)</f>
        <v>0</v>
      </c>
      <c r="L498" s="69">
        <f t="shared" si="16"/>
        <v>0</v>
      </c>
    </row>
    <row r="499" spans="2:12" x14ac:dyDescent="0.85">
      <c r="B499" s="48">
        <v>492</v>
      </c>
      <c r="C499" s="277"/>
      <c r="D499" s="284"/>
      <c r="E499" s="44"/>
      <c r="F499" s="44"/>
      <c r="G499" s="49">
        <v>1</v>
      </c>
      <c r="H499" s="73"/>
      <c r="I499" s="44"/>
      <c r="J499" s="48">
        <f t="shared" si="15"/>
        <v>1</v>
      </c>
      <c r="K499" s="48">
        <f>IFERROR(INDEX(TarrifTable,MATCH(Elements!E499,Constants!$V$4:$V$7,0),MATCH(Elements!F499,Constants!$W$3:$AA$3,0)),0)</f>
        <v>0</v>
      </c>
      <c r="L499" s="68">
        <f t="shared" si="16"/>
        <v>0</v>
      </c>
    </row>
    <row r="500" spans="2:12" x14ac:dyDescent="0.85">
      <c r="B500" s="46">
        <v>493</v>
      </c>
      <c r="C500" s="276"/>
      <c r="D500" s="283"/>
      <c r="E500" s="10"/>
      <c r="F500" s="10"/>
      <c r="G500" s="47">
        <v>1</v>
      </c>
      <c r="H500" s="72"/>
      <c r="I500" s="10"/>
      <c r="J500" s="46">
        <f t="shared" si="15"/>
        <v>1</v>
      </c>
      <c r="K500" s="46">
        <f>IFERROR(INDEX(TarrifTable,MATCH(Elements!E500,Constants!$V$4:$V$7,0),MATCH(Elements!F500,Constants!$W$3:$AA$3,0)),0)</f>
        <v>0</v>
      </c>
      <c r="L500" s="69">
        <f t="shared" si="16"/>
        <v>0</v>
      </c>
    </row>
    <row r="501" spans="2:12" x14ac:dyDescent="0.85">
      <c r="B501" s="48">
        <v>494</v>
      </c>
      <c r="C501" s="277"/>
      <c r="D501" s="284"/>
      <c r="E501" s="44"/>
      <c r="F501" s="44"/>
      <c r="G501" s="49">
        <v>1</v>
      </c>
      <c r="H501" s="73"/>
      <c r="I501" s="44"/>
      <c r="J501" s="48">
        <f t="shared" si="15"/>
        <v>1</v>
      </c>
      <c r="K501" s="48">
        <f>IFERROR(INDEX(TarrifTable,MATCH(Elements!E501,Constants!$V$4:$V$7,0),MATCH(Elements!F501,Constants!$W$3:$AA$3,0)),0)</f>
        <v>0</v>
      </c>
      <c r="L501" s="68">
        <f t="shared" si="16"/>
        <v>0</v>
      </c>
    </row>
    <row r="502" spans="2:12" x14ac:dyDescent="0.85">
      <c r="B502" s="46">
        <v>495</v>
      </c>
      <c r="C502" s="276"/>
      <c r="D502" s="283"/>
      <c r="E502" s="10"/>
      <c r="F502" s="10"/>
      <c r="G502" s="47">
        <v>1</v>
      </c>
      <c r="H502" s="72"/>
      <c r="I502" s="10"/>
      <c r="J502" s="46">
        <f t="shared" si="15"/>
        <v>1</v>
      </c>
      <c r="K502" s="46">
        <f>IFERROR(INDEX(TarrifTable,MATCH(Elements!E502,Constants!$V$4:$V$7,0),MATCH(Elements!F502,Constants!$W$3:$AA$3,0)),0)</f>
        <v>0</v>
      </c>
      <c r="L502" s="69">
        <f t="shared" si="16"/>
        <v>0</v>
      </c>
    </row>
    <row r="503" spans="2:12" x14ac:dyDescent="0.85">
      <c r="B503" s="48">
        <v>496</v>
      </c>
      <c r="C503" s="277"/>
      <c r="D503" s="284"/>
      <c r="E503" s="44"/>
      <c r="F503" s="44"/>
      <c r="G503" s="49">
        <v>1</v>
      </c>
      <c r="H503" s="73"/>
      <c r="I503" s="44"/>
      <c r="J503" s="48">
        <f t="shared" si="15"/>
        <v>1</v>
      </c>
      <c r="K503" s="48">
        <f>IFERROR(INDEX(TarrifTable,MATCH(Elements!E503,Constants!$V$4:$V$7,0),MATCH(Elements!F503,Constants!$W$3:$AA$3,0)),0)</f>
        <v>0</v>
      </c>
      <c r="L503" s="68">
        <f t="shared" si="16"/>
        <v>0</v>
      </c>
    </row>
    <row r="504" spans="2:12" x14ac:dyDescent="0.85">
      <c r="B504" s="46">
        <v>497</v>
      </c>
      <c r="C504" s="276"/>
      <c r="D504" s="283"/>
      <c r="E504" s="10"/>
      <c r="F504" s="10"/>
      <c r="G504" s="47">
        <v>1</v>
      </c>
      <c r="H504" s="72"/>
      <c r="I504" s="10"/>
      <c r="J504" s="46">
        <f t="shared" si="15"/>
        <v>1</v>
      </c>
      <c r="K504" s="46">
        <f>IFERROR(INDEX(TarrifTable,MATCH(Elements!E504,Constants!$V$4:$V$7,0),MATCH(Elements!F504,Constants!$W$3:$AA$3,0)),0)</f>
        <v>0</v>
      </c>
      <c r="L504" s="69">
        <f t="shared" si="16"/>
        <v>0</v>
      </c>
    </row>
    <row r="505" spans="2:12" x14ac:dyDescent="0.85">
      <c r="B505" s="48">
        <v>498</v>
      </c>
      <c r="C505" s="277"/>
      <c r="D505" s="284"/>
      <c r="E505" s="44"/>
      <c r="F505" s="44"/>
      <c r="G505" s="49">
        <v>1</v>
      </c>
      <c r="H505" s="73"/>
      <c r="I505" s="44"/>
      <c r="J505" s="48">
        <f t="shared" si="15"/>
        <v>1</v>
      </c>
      <c r="K505" s="48">
        <f>IFERROR(INDEX(TarrifTable,MATCH(Elements!E505,Constants!$V$4:$V$7,0),MATCH(Elements!F505,Constants!$W$3:$AA$3,0)),0)</f>
        <v>0</v>
      </c>
      <c r="L505" s="68">
        <f t="shared" si="16"/>
        <v>0</v>
      </c>
    </row>
    <row r="506" spans="2:12" x14ac:dyDescent="0.85">
      <c r="B506" s="46">
        <v>499</v>
      </c>
      <c r="C506" s="276"/>
      <c r="D506" s="283"/>
      <c r="E506" s="10"/>
      <c r="F506" s="10"/>
      <c r="G506" s="47">
        <v>1</v>
      </c>
      <c r="H506" s="72"/>
      <c r="I506" s="10"/>
      <c r="J506" s="46">
        <f t="shared" si="15"/>
        <v>1</v>
      </c>
      <c r="K506" s="46">
        <f>IFERROR(INDEX(TarrifTable,MATCH(Elements!E506,Constants!$V$4:$V$7,0),MATCH(Elements!F506,Constants!$W$3:$AA$3,0)),0)</f>
        <v>0</v>
      </c>
      <c r="L506" s="69">
        <f t="shared" si="16"/>
        <v>0</v>
      </c>
    </row>
    <row r="507" spans="2:12" x14ac:dyDescent="0.85">
      <c r="B507" s="48">
        <v>500</v>
      </c>
      <c r="C507" s="277"/>
      <c r="D507" s="284"/>
      <c r="E507" s="44"/>
      <c r="F507" s="44"/>
      <c r="G507" s="49">
        <v>1</v>
      </c>
      <c r="H507" s="73"/>
      <c r="I507" s="44"/>
      <c r="J507" s="48">
        <f t="shared" si="15"/>
        <v>1</v>
      </c>
      <c r="K507" s="48">
        <f>IFERROR(INDEX(TarrifTable,MATCH(Elements!E507,Constants!$V$4:$V$7,0),MATCH(Elements!F507,Constants!$W$3:$AA$3,0)),0)</f>
        <v>0</v>
      </c>
      <c r="L507" s="68">
        <f t="shared" si="16"/>
        <v>0</v>
      </c>
    </row>
    <row r="508" spans="2:12" x14ac:dyDescent="0.85">
      <c r="B508" s="46">
        <v>501</v>
      </c>
      <c r="C508" s="276"/>
      <c r="D508" s="283"/>
      <c r="E508" s="10"/>
      <c r="F508" s="10"/>
      <c r="G508" s="47">
        <v>1</v>
      </c>
      <c r="H508" s="72"/>
      <c r="I508" s="10"/>
      <c r="J508" s="46">
        <f t="shared" si="15"/>
        <v>1</v>
      </c>
      <c r="K508" s="46">
        <f>IFERROR(INDEX(TarrifTable,MATCH(Elements!E508,Constants!$V$4:$V$7,0),MATCH(Elements!F508,Constants!$W$3:$AA$3,0)),0)</f>
        <v>0</v>
      </c>
      <c r="L508" s="69">
        <f t="shared" si="16"/>
        <v>0</v>
      </c>
    </row>
    <row r="509" spans="2:12" x14ac:dyDescent="0.85">
      <c r="B509" s="48">
        <v>502</v>
      </c>
      <c r="C509" s="277"/>
      <c r="D509" s="284"/>
      <c r="E509" s="44"/>
      <c r="F509" s="44"/>
      <c r="G509" s="49">
        <v>1</v>
      </c>
      <c r="H509" s="73"/>
      <c r="I509" s="44"/>
      <c r="J509" s="48">
        <f t="shared" si="15"/>
        <v>1</v>
      </c>
      <c r="K509" s="48">
        <f>IFERROR(INDEX(TarrifTable,MATCH(Elements!E509,Constants!$V$4:$V$7,0),MATCH(Elements!F509,Constants!$W$3:$AA$3,0)),0)</f>
        <v>0</v>
      </c>
      <c r="L509" s="68">
        <f t="shared" si="16"/>
        <v>0</v>
      </c>
    </row>
    <row r="510" spans="2:12" x14ac:dyDescent="0.85">
      <c r="B510" s="46">
        <v>503</v>
      </c>
      <c r="C510" s="276"/>
      <c r="D510" s="283"/>
      <c r="E510" s="10"/>
      <c r="F510" s="10"/>
      <c r="G510" s="47">
        <v>1</v>
      </c>
      <c r="H510" s="72"/>
      <c r="I510" s="10"/>
      <c r="J510" s="46">
        <f t="shared" si="15"/>
        <v>1</v>
      </c>
      <c r="K510" s="46">
        <f>IFERROR(INDEX(TarrifTable,MATCH(Elements!E510,Constants!$V$4:$V$7,0),MATCH(Elements!F510,Constants!$W$3:$AA$3,0)),0)</f>
        <v>0</v>
      </c>
      <c r="L510" s="69">
        <f t="shared" si="16"/>
        <v>0</v>
      </c>
    </row>
    <row r="511" spans="2:12" x14ac:dyDescent="0.85">
      <c r="B511" s="48">
        <v>504</v>
      </c>
      <c r="C511" s="277"/>
      <c r="D511" s="284"/>
      <c r="E511" s="44"/>
      <c r="F511" s="44"/>
      <c r="G511" s="49">
        <v>1</v>
      </c>
      <c r="H511" s="73"/>
      <c r="I511" s="44"/>
      <c r="J511" s="48">
        <f t="shared" si="15"/>
        <v>1</v>
      </c>
      <c r="K511" s="48">
        <f>IFERROR(INDEX(TarrifTable,MATCH(Elements!E511,Constants!$V$4:$V$7,0),MATCH(Elements!F511,Constants!$W$3:$AA$3,0)),0)</f>
        <v>0</v>
      </c>
      <c r="L511" s="68">
        <f t="shared" si="16"/>
        <v>0</v>
      </c>
    </row>
    <row r="512" spans="2:12" x14ac:dyDescent="0.85">
      <c r="B512" s="46">
        <v>505</v>
      </c>
      <c r="C512" s="276"/>
      <c r="D512" s="283"/>
      <c r="E512" s="10"/>
      <c r="F512" s="10"/>
      <c r="G512" s="47">
        <v>1</v>
      </c>
      <c r="H512" s="72"/>
      <c r="I512" s="10"/>
      <c r="J512" s="46">
        <f t="shared" si="15"/>
        <v>1</v>
      </c>
      <c r="K512" s="46">
        <f>IFERROR(INDEX(TarrifTable,MATCH(Elements!E512,Constants!$V$4:$V$7,0),MATCH(Elements!F512,Constants!$W$3:$AA$3,0)),0)</f>
        <v>0</v>
      </c>
      <c r="L512" s="69">
        <f t="shared" si="16"/>
        <v>0</v>
      </c>
    </row>
    <row r="513" spans="2:12" x14ac:dyDescent="0.85">
      <c r="B513" s="48">
        <v>506</v>
      </c>
      <c r="C513" s="277"/>
      <c r="D513" s="284"/>
      <c r="E513" s="44"/>
      <c r="F513" s="44"/>
      <c r="G513" s="49">
        <v>1</v>
      </c>
      <c r="H513" s="73"/>
      <c r="I513" s="44"/>
      <c r="J513" s="48">
        <f t="shared" si="15"/>
        <v>1</v>
      </c>
      <c r="K513" s="48">
        <f>IFERROR(INDEX(TarrifTable,MATCH(Elements!E513,Constants!$V$4:$V$7,0),MATCH(Elements!F513,Constants!$W$3:$AA$3,0)),0)</f>
        <v>0</v>
      </c>
      <c r="L513" s="68">
        <f t="shared" si="16"/>
        <v>0</v>
      </c>
    </row>
    <row r="514" spans="2:12" x14ac:dyDescent="0.85">
      <c r="B514" s="46">
        <v>507</v>
      </c>
      <c r="C514" s="276"/>
      <c r="D514" s="283"/>
      <c r="E514" s="10"/>
      <c r="F514" s="10"/>
      <c r="G514" s="47">
        <v>1</v>
      </c>
      <c r="H514" s="72"/>
      <c r="I514" s="10"/>
      <c r="J514" s="46">
        <f t="shared" si="15"/>
        <v>1</v>
      </c>
      <c r="K514" s="46">
        <f>IFERROR(INDEX(TarrifTable,MATCH(Elements!E514,Constants!$V$4:$V$7,0),MATCH(Elements!F514,Constants!$W$3:$AA$3,0)),0)</f>
        <v>0</v>
      </c>
      <c r="L514" s="69">
        <f t="shared" si="16"/>
        <v>0</v>
      </c>
    </row>
    <row r="515" spans="2:12" x14ac:dyDescent="0.85">
      <c r="B515" s="48">
        <v>508</v>
      </c>
      <c r="C515" s="277"/>
      <c r="D515" s="284"/>
      <c r="E515" s="44"/>
      <c r="F515" s="44"/>
      <c r="G515" s="49">
        <v>1</v>
      </c>
      <c r="H515" s="73"/>
      <c r="I515" s="44"/>
      <c r="J515" s="48">
        <f t="shared" si="15"/>
        <v>1</v>
      </c>
      <c r="K515" s="48">
        <f>IFERROR(INDEX(TarrifTable,MATCH(Elements!E515,Constants!$V$4:$V$7,0),MATCH(Elements!F515,Constants!$W$3:$AA$3,0)),0)</f>
        <v>0</v>
      </c>
      <c r="L515" s="68">
        <f t="shared" si="16"/>
        <v>0</v>
      </c>
    </row>
    <row r="516" spans="2:12" x14ac:dyDescent="0.85">
      <c r="B516" s="46">
        <v>509</v>
      </c>
      <c r="C516" s="276"/>
      <c r="D516" s="283"/>
      <c r="E516" s="10"/>
      <c r="F516" s="10"/>
      <c r="G516" s="47">
        <v>1</v>
      </c>
      <c r="H516" s="72"/>
      <c r="I516" s="10"/>
      <c r="J516" s="46">
        <f t="shared" si="15"/>
        <v>1</v>
      </c>
      <c r="K516" s="46">
        <f>IFERROR(INDEX(TarrifTable,MATCH(Elements!E516,Constants!$V$4:$V$7,0),MATCH(Elements!F516,Constants!$W$3:$AA$3,0)),0)</f>
        <v>0</v>
      </c>
      <c r="L516" s="69">
        <f t="shared" si="16"/>
        <v>0</v>
      </c>
    </row>
    <row r="517" spans="2:12" x14ac:dyDescent="0.85">
      <c r="B517" s="48">
        <v>510</v>
      </c>
      <c r="C517" s="277"/>
      <c r="D517" s="284"/>
      <c r="E517" s="44"/>
      <c r="F517" s="44"/>
      <c r="G517" s="49">
        <v>1</v>
      </c>
      <c r="H517" s="73"/>
      <c r="I517" s="44"/>
      <c r="J517" s="48">
        <f t="shared" si="15"/>
        <v>1</v>
      </c>
      <c r="K517" s="48">
        <f>IFERROR(INDEX(TarrifTable,MATCH(Elements!E517,Constants!$V$4:$V$7,0),MATCH(Elements!F517,Constants!$W$3:$AA$3,0)),0)</f>
        <v>0</v>
      </c>
      <c r="L517" s="68">
        <f t="shared" si="16"/>
        <v>0</v>
      </c>
    </row>
    <row r="518" spans="2:12" x14ac:dyDescent="0.85">
      <c r="B518" s="46">
        <v>511</v>
      </c>
      <c r="C518" s="276"/>
      <c r="D518" s="283"/>
      <c r="E518" s="10"/>
      <c r="F518" s="10"/>
      <c r="G518" s="47">
        <v>1</v>
      </c>
      <c r="H518" s="72"/>
      <c r="I518" s="10"/>
      <c r="J518" s="46">
        <f t="shared" si="15"/>
        <v>1</v>
      </c>
      <c r="K518" s="46">
        <f>IFERROR(INDEX(TarrifTable,MATCH(Elements!E518,Constants!$V$4:$V$7,0),MATCH(Elements!F518,Constants!$W$3:$AA$3,0)),0)</f>
        <v>0</v>
      </c>
      <c r="L518" s="69">
        <f t="shared" si="16"/>
        <v>0</v>
      </c>
    </row>
    <row r="519" spans="2:12" x14ac:dyDescent="0.85">
      <c r="B519" s="48">
        <v>512</v>
      </c>
      <c r="C519" s="277"/>
      <c r="D519" s="284"/>
      <c r="E519" s="44"/>
      <c r="F519" s="44"/>
      <c r="G519" s="49">
        <v>1</v>
      </c>
      <c r="H519" s="73"/>
      <c r="I519" s="44"/>
      <c r="J519" s="48">
        <f t="shared" si="15"/>
        <v>1</v>
      </c>
      <c r="K519" s="48">
        <f>IFERROR(INDEX(TarrifTable,MATCH(Elements!E519,Constants!$V$4:$V$7,0),MATCH(Elements!F519,Constants!$W$3:$AA$3,0)),0)</f>
        <v>0</v>
      </c>
      <c r="L519" s="68">
        <f t="shared" si="16"/>
        <v>0</v>
      </c>
    </row>
    <row r="520" spans="2:12" x14ac:dyDescent="0.85">
      <c r="B520" s="46">
        <v>513</v>
      </c>
      <c r="C520" s="276"/>
      <c r="D520" s="283"/>
      <c r="E520" s="10"/>
      <c r="F520" s="10"/>
      <c r="G520" s="47">
        <v>1</v>
      </c>
      <c r="H520" s="72"/>
      <c r="I520" s="10"/>
      <c r="J520" s="46">
        <f t="shared" ref="J520:J583" si="17">IF(ISBLANK(H520),1,H520)</f>
        <v>1</v>
      </c>
      <c r="K520" s="46">
        <f>IFERROR(INDEX(TarrifTable,MATCH(Elements!E520,Constants!$V$4:$V$7,0),MATCH(Elements!F520,Constants!$W$3:$AA$3,0)),0)</f>
        <v>0</v>
      </c>
      <c r="L520" s="69">
        <f t="shared" ref="L520:L583" si="18">J520*G520*K520</f>
        <v>0</v>
      </c>
    </row>
    <row r="521" spans="2:12" x14ac:dyDescent="0.85">
      <c r="B521" s="48">
        <v>514</v>
      </c>
      <c r="C521" s="277"/>
      <c r="D521" s="284"/>
      <c r="E521" s="44"/>
      <c r="F521" s="44"/>
      <c r="G521" s="49">
        <v>1</v>
      </c>
      <c r="H521" s="73"/>
      <c r="I521" s="44"/>
      <c r="J521" s="48">
        <f t="shared" si="17"/>
        <v>1</v>
      </c>
      <c r="K521" s="48">
        <f>IFERROR(INDEX(TarrifTable,MATCH(Elements!E521,Constants!$V$4:$V$7,0),MATCH(Elements!F521,Constants!$W$3:$AA$3,0)),0)</f>
        <v>0</v>
      </c>
      <c r="L521" s="68">
        <f t="shared" si="18"/>
        <v>0</v>
      </c>
    </row>
    <row r="522" spans="2:12" x14ac:dyDescent="0.85">
      <c r="B522" s="46">
        <v>515</v>
      </c>
      <c r="C522" s="276"/>
      <c r="D522" s="283"/>
      <c r="E522" s="10"/>
      <c r="F522" s="10"/>
      <c r="G522" s="47">
        <v>1</v>
      </c>
      <c r="H522" s="72"/>
      <c r="I522" s="10"/>
      <c r="J522" s="46">
        <f t="shared" si="17"/>
        <v>1</v>
      </c>
      <c r="K522" s="46">
        <f>IFERROR(INDEX(TarrifTable,MATCH(Elements!E522,Constants!$V$4:$V$7,0),MATCH(Elements!F522,Constants!$W$3:$AA$3,0)),0)</f>
        <v>0</v>
      </c>
      <c r="L522" s="69">
        <f t="shared" si="18"/>
        <v>0</v>
      </c>
    </row>
    <row r="523" spans="2:12" x14ac:dyDescent="0.85">
      <c r="B523" s="48">
        <v>516</v>
      </c>
      <c r="C523" s="277"/>
      <c r="D523" s="284"/>
      <c r="E523" s="44"/>
      <c r="F523" s="44"/>
      <c r="G523" s="49">
        <v>1</v>
      </c>
      <c r="H523" s="73"/>
      <c r="I523" s="44"/>
      <c r="J523" s="48">
        <f t="shared" si="17"/>
        <v>1</v>
      </c>
      <c r="K523" s="48">
        <f>IFERROR(INDEX(TarrifTable,MATCH(Elements!E523,Constants!$V$4:$V$7,0),MATCH(Elements!F523,Constants!$W$3:$AA$3,0)),0)</f>
        <v>0</v>
      </c>
      <c r="L523" s="68">
        <f t="shared" si="18"/>
        <v>0</v>
      </c>
    </row>
    <row r="524" spans="2:12" x14ac:dyDescent="0.85">
      <c r="B524" s="46">
        <v>517</v>
      </c>
      <c r="C524" s="276"/>
      <c r="D524" s="283"/>
      <c r="E524" s="10"/>
      <c r="F524" s="10"/>
      <c r="G524" s="47">
        <v>1</v>
      </c>
      <c r="H524" s="72"/>
      <c r="I524" s="10"/>
      <c r="J524" s="46">
        <f t="shared" si="17"/>
        <v>1</v>
      </c>
      <c r="K524" s="46">
        <f>IFERROR(INDEX(TarrifTable,MATCH(Elements!E524,Constants!$V$4:$V$7,0),MATCH(Elements!F524,Constants!$W$3:$AA$3,0)),0)</f>
        <v>0</v>
      </c>
      <c r="L524" s="69">
        <f t="shared" si="18"/>
        <v>0</v>
      </c>
    </row>
    <row r="525" spans="2:12" x14ac:dyDescent="0.85">
      <c r="B525" s="48">
        <v>518</v>
      </c>
      <c r="C525" s="277"/>
      <c r="D525" s="284"/>
      <c r="E525" s="44"/>
      <c r="F525" s="44"/>
      <c r="G525" s="49">
        <v>1</v>
      </c>
      <c r="H525" s="73"/>
      <c r="I525" s="44"/>
      <c r="J525" s="48">
        <f t="shared" si="17"/>
        <v>1</v>
      </c>
      <c r="K525" s="48">
        <f>IFERROR(INDEX(TarrifTable,MATCH(Elements!E525,Constants!$V$4:$V$7,0),MATCH(Elements!F525,Constants!$W$3:$AA$3,0)),0)</f>
        <v>0</v>
      </c>
      <c r="L525" s="68">
        <f t="shared" si="18"/>
        <v>0</v>
      </c>
    </row>
    <row r="526" spans="2:12" x14ac:dyDescent="0.85">
      <c r="B526" s="46">
        <v>519</v>
      </c>
      <c r="C526" s="276"/>
      <c r="D526" s="283"/>
      <c r="E526" s="10"/>
      <c r="F526" s="10"/>
      <c r="G526" s="47">
        <v>1</v>
      </c>
      <c r="H526" s="72"/>
      <c r="I526" s="10"/>
      <c r="J526" s="46">
        <f t="shared" si="17"/>
        <v>1</v>
      </c>
      <c r="K526" s="46">
        <f>IFERROR(INDEX(TarrifTable,MATCH(Elements!E526,Constants!$V$4:$V$7,0),MATCH(Elements!F526,Constants!$W$3:$AA$3,0)),0)</f>
        <v>0</v>
      </c>
      <c r="L526" s="69">
        <f t="shared" si="18"/>
        <v>0</v>
      </c>
    </row>
    <row r="527" spans="2:12" x14ac:dyDescent="0.85">
      <c r="B527" s="48">
        <v>520</v>
      </c>
      <c r="C527" s="277"/>
      <c r="D527" s="284"/>
      <c r="E527" s="44"/>
      <c r="F527" s="44"/>
      <c r="G527" s="49">
        <v>1</v>
      </c>
      <c r="H527" s="73"/>
      <c r="I527" s="44"/>
      <c r="J527" s="48">
        <f t="shared" si="17"/>
        <v>1</v>
      </c>
      <c r="K527" s="48">
        <f>IFERROR(INDEX(TarrifTable,MATCH(Elements!E527,Constants!$V$4:$V$7,0),MATCH(Elements!F527,Constants!$W$3:$AA$3,0)),0)</f>
        <v>0</v>
      </c>
      <c r="L527" s="68">
        <f t="shared" si="18"/>
        <v>0</v>
      </c>
    </row>
    <row r="528" spans="2:12" x14ac:dyDescent="0.85">
      <c r="B528" s="46">
        <v>521</v>
      </c>
      <c r="C528" s="276"/>
      <c r="D528" s="283"/>
      <c r="E528" s="10"/>
      <c r="F528" s="10"/>
      <c r="G528" s="47">
        <v>1</v>
      </c>
      <c r="H528" s="72"/>
      <c r="I528" s="10"/>
      <c r="J528" s="46">
        <f t="shared" si="17"/>
        <v>1</v>
      </c>
      <c r="K528" s="46">
        <f>IFERROR(INDEX(TarrifTable,MATCH(Elements!E528,Constants!$V$4:$V$7,0),MATCH(Elements!F528,Constants!$W$3:$AA$3,0)),0)</f>
        <v>0</v>
      </c>
      <c r="L528" s="69">
        <f t="shared" si="18"/>
        <v>0</v>
      </c>
    </row>
    <row r="529" spans="2:12" x14ac:dyDescent="0.85">
      <c r="B529" s="48">
        <v>522</v>
      </c>
      <c r="C529" s="277"/>
      <c r="D529" s="284"/>
      <c r="E529" s="44"/>
      <c r="F529" s="44"/>
      <c r="G529" s="49">
        <v>1</v>
      </c>
      <c r="H529" s="73"/>
      <c r="I529" s="44"/>
      <c r="J529" s="48">
        <f t="shared" si="17"/>
        <v>1</v>
      </c>
      <c r="K529" s="48">
        <f>IFERROR(INDEX(TarrifTable,MATCH(Elements!E529,Constants!$V$4:$V$7,0),MATCH(Elements!F529,Constants!$W$3:$AA$3,0)),0)</f>
        <v>0</v>
      </c>
      <c r="L529" s="68">
        <f t="shared" si="18"/>
        <v>0</v>
      </c>
    </row>
    <row r="530" spans="2:12" x14ac:dyDescent="0.85">
      <c r="B530" s="46">
        <v>523</v>
      </c>
      <c r="C530" s="276"/>
      <c r="D530" s="283"/>
      <c r="E530" s="10"/>
      <c r="F530" s="10"/>
      <c r="G530" s="47">
        <v>1</v>
      </c>
      <c r="H530" s="72"/>
      <c r="I530" s="10"/>
      <c r="J530" s="46">
        <f t="shared" si="17"/>
        <v>1</v>
      </c>
      <c r="K530" s="46">
        <f>IFERROR(INDEX(TarrifTable,MATCH(Elements!E530,Constants!$V$4:$V$7,0),MATCH(Elements!F530,Constants!$W$3:$AA$3,0)),0)</f>
        <v>0</v>
      </c>
      <c r="L530" s="69">
        <f t="shared" si="18"/>
        <v>0</v>
      </c>
    </row>
    <row r="531" spans="2:12" x14ac:dyDescent="0.85">
      <c r="B531" s="48">
        <v>524</v>
      </c>
      <c r="C531" s="277"/>
      <c r="D531" s="284"/>
      <c r="E531" s="44"/>
      <c r="F531" s="44"/>
      <c r="G531" s="49">
        <v>1</v>
      </c>
      <c r="H531" s="73"/>
      <c r="I531" s="44"/>
      <c r="J531" s="48">
        <f t="shared" si="17"/>
        <v>1</v>
      </c>
      <c r="K531" s="48">
        <f>IFERROR(INDEX(TarrifTable,MATCH(Elements!E531,Constants!$V$4:$V$7,0),MATCH(Elements!F531,Constants!$W$3:$AA$3,0)),0)</f>
        <v>0</v>
      </c>
      <c r="L531" s="68">
        <f t="shared" si="18"/>
        <v>0</v>
      </c>
    </row>
    <row r="532" spans="2:12" x14ac:dyDescent="0.85">
      <c r="B532" s="46">
        <v>525</v>
      </c>
      <c r="C532" s="276"/>
      <c r="D532" s="283"/>
      <c r="E532" s="10"/>
      <c r="F532" s="10"/>
      <c r="G532" s="47">
        <v>1</v>
      </c>
      <c r="H532" s="72"/>
      <c r="I532" s="10"/>
      <c r="J532" s="46">
        <f t="shared" si="17"/>
        <v>1</v>
      </c>
      <c r="K532" s="46">
        <f>IFERROR(INDEX(TarrifTable,MATCH(Elements!E532,Constants!$V$4:$V$7,0),MATCH(Elements!F532,Constants!$W$3:$AA$3,0)),0)</f>
        <v>0</v>
      </c>
      <c r="L532" s="69">
        <f t="shared" si="18"/>
        <v>0</v>
      </c>
    </row>
    <row r="533" spans="2:12" x14ac:dyDescent="0.85">
      <c r="B533" s="48">
        <v>526</v>
      </c>
      <c r="C533" s="277"/>
      <c r="D533" s="284"/>
      <c r="E533" s="44"/>
      <c r="F533" s="44"/>
      <c r="G533" s="49">
        <v>1</v>
      </c>
      <c r="H533" s="73"/>
      <c r="I533" s="44"/>
      <c r="J533" s="48">
        <f t="shared" si="17"/>
        <v>1</v>
      </c>
      <c r="K533" s="48">
        <f>IFERROR(INDEX(TarrifTable,MATCH(Elements!E533,Constants!$V$4:$V$7,0),MATCH(Elements!F533,Constants!$W$3:$AA$3,0)),0)</f>
        <v>0</v>
      </c>
      <c r="L533" s="68">
        <f t="shared" si="18"/>
        <v>0</v>
      </c>
    </row>
    <row r="534" spans="2:12" x14ac:dyDescent="0.85">
      <c r="B534" s="46">
        <v>527</v>
      </c>
      <c r="C534" s="276"/>
      <c r="D534" s="283"/>
      <c r="E534" s="10"/>
      <c r="F534" s="10"/>
      <c r="G534" s="47">
        <v>1</v>
      </c>
      <c r="H534" s="72"/>
      <c r="I534" s="10"/>
      <c r="J534" s="46">
        <f t="shared" si="17"/>
        <v>1</v>
      </c>
      <c r="K534" s="46">
        <f>IFERROR(INDEX(TarrifTable,MATCH(Elements!E534,Constants!$V$4:$V$7,0),MATCH(Elements!F534,Constants!$W$3:$AA$3,0)),0)</f>
        <v>0</v>
      </c>
      <c r="L534" s="69">
        <f t="shared" si="18"/>
        <v>0</v>
      </c>
    </row>
    <row r="535" spans="2:12" x14ac:dyDescent="0.85">
      <c r="B535" s="48">
        <v>528</v>
      </c>
      <c r="C535" s="277"/>
      <c r="D535" s="284"/>
      <c r="E535" s="44"/>
      <c r="F535" s="44"/>
      <c r="G535" s="49">
        <v>1</v>
      </c>
      <c r="H535" s="73"/>
      <c r="I535" s="44"/>
      <c r="J535" s="48">
        <f t="shared" si="17"/>
        <v>1</v>
      </c>
      <c r="K535" s="48">
        <f>IFERROR(INDEX(TarrifTable,MATCH(Elements!E535,Constants!$V$4:$V$7,0),MATCH(Elements!F535,Constants!$W$3:$AA$3,0)),0)</f>
        <v>0</v>
      </c>
      <c r="L535" s="68">
        <f t="shared" si="18"/>
        <v>0</v>
      </c>
    </row>
    <row r="536" spans="2:12" x14ac:dyDescent="0.85">
      <c r="B536" s="46">
        <v>529</v>
      </c>
      <c r="C536" s="276"/>
      <c r="D536" s="283"/>
      <c r="E536" s="10"/>
      <c r="F536" s="10"/>
      <c r="G536" s="47">
        <v>1</v>
      </c>
      <c r="H536" s="72"/>
      <c r="I536" s="10"/>
      <c r="J536" s="46">
        <f t="shared" si="17"/>
        <v>1</v>
      </c>
      <c r="K536" s="46">
        <f>IFERROR(INDEX(TarrifTable,MATCH(Elements!E536,Constants!$V$4:$V$7,0),MATCH(Elements!F536,Constants!$W$3:$AA$3,0)),0)</f>
        <v>0</v>
      </c>
      <c r="L536" s="69">
        <f t="shared" si="18"/>
        <v>0</v>
      </c>
    </row>
    <row r="537" spans="2:12" x14ac:dyDescent="0.85">
      <c r="B537" s="48">
        <v>530</v>
      </c>
      <c r="C537" s="277"/>
      <c r="D537" s="284"/>
      <c r="E537" s="44"/>
      <c r="F537" s="44"/>
      <c r="G537" s="49">
        <v>1</v>
      </c>
      <c r="H537" s="73"/>
      <c r="I537" s="44"/>
      <c r="J537" s="48">
        <f t="shared" si="17"/>
        <v>1</v>
      </c>
      <c r="K537" s="48">
        <f>IFERROR(INDEX(TarrifTable,MATCH(Elements!E537,Constants!$V$4:$V$7,0),MATCH(Elements!F537,Constants!$W$3:$AA$3,0)),0)</f>
        <v>0</v>
      </c>
      <c r="L537" s="68">
        <f t="shared" si="18"/>
        <v>0</v>
      </c>
    </row>
    <row r="538" spans="2:12" x14ac:dyDescent="0.85">
      <c r="B538" s="46">
        <v>531</v>
      </c>
      <c r="C538" s="276"/>
      <c r="D538" s="283"/>
      <c r="E538" s="10"/>
      <c r="F538" s="10"/>
      <c r="G538" s="47">
        <v>1</v>
      </c>
      <c r="H538" s="72"/>
      <c r="I538" s="10"/>
      <c r="J538" s="46">
        <f t="shared" si="17"/>
        <v>1</v>
      </c>
      <c r="K538" s="46">
        <f>IFERROR(INDEX(TarrifTable,MATCH(Elements!E538,Constants!$V$4:$V$7,0),MATCH(Elements!F538,Constants!$W$3:$AA$3,0)),0)</f>
        <v>0</v>
      </c>
      <c r="L538" s="69">
        <f t="shared" si="18"/>
        <v>0</v>
      </c>
    </row>
    <row r="539" spans="2:12" x14ac:dyDescent="0.85">
      <c r="B539" s="48">
        <v>532</v>
      </c>
      <c r="C539" s="277"/>
      <c r="D539" s="284"/>
      <c r="E539" s="44"/>
      <c r="F539" s="44"/>
      <c r="G539" s="49">
        <v>1</v>
      </c>
      <c r="H539" s="73"/>
      <c r="I539" s="44"/>
      <c r="J539" s="48">
        <f t="shared" si="17"/>
        <v>1</v>
      </c>
      <c r="K539" s="48">
        <f>IFERROR(INDEX(TarrifTable,MATCH(Elements!E539,Constants!$V$4:$V$7,0),MATCH(Elements!F539,Constants!$W$3:$AA$3,0)),0)</f>
        <v>0</v>
      </c>
      <c r="L539" s="68">
        <f t="shared" si="18"/>
        <v>0</v>
      </c>
    </row>
    <row r="540" spans="2:12" x14ac:dyDescent="0.85">
      <c r="B540" s="46">
        <v>533</v>
      </c>
      <c r="C540" s="276"/>
      <c r="D540" s="283"/>
      <c r="E540" s="10"/>
      <c r="F540" s="10"/>
      <c r="G540" s="47">
        <v>1</v>
      </c>
      <c r="H540" s="72"/>
      <c r="I540" s="10"/>
      <c r="J540" s="46">
        <f t="shared" si="17"/>
        <v>1</v>
      </c>
      <c r="K540" s="46">
        <f>IFERROR(INDEX(TarrifTable,MATCH(Elements!E540,Constants!$V$4:$V$7,0),MATCH(Elements!F540,Constants!$W$3:$AA$3,0)),0)</f>
        <v>0</v>
      </c>
      <c r="L540" s="69">
        <f t="shared" si="18"/>
        <v>0</v>
      </c>
    </row>
    <row r="541" spans="2:12" x14ac:dyDescent="0.85">
      <c r="B541" s="48">
        <v>534</v>
      </c>
      <c r="C541" s="277"/>
      <c r="D541" s="284"/>
      <c r="E541" s="44"/>
      <c r="F541" s="44"/>
      <c r="G541" s="49">
        <v>1</v>
      </c>
      <c r="H541" s="73"/>
      <c r="I541" s="44"/>
      <c r="J541" s="48">
        <f t="shared" si="17"/>
        <v>1</v>
      </c>
      <c r="K541" s="48">
        <f>IFERROR(INDEX(TarrifTable,MATCH(Elements!E541,Constants!$V$4:$V$7,0),MATCH(Elements!F541,Constants!$W$3:$AA$3,0)),0)</f>
        <v>0</v>
      </c>
      <c r="L541" s="68">
        <f t="shared" si="18"/>
        <v>0</v>
      </c>
    </row>
    <row r="542" spans="2:12" x14ac:dyDescent="0.85">
      <c r="B542" s="46">
        <v>535</v>
      </c>
      <c r="C542" s="276"/>
      <c r="D542" s="283"/>
      <c r="E542" s="10"/>
      <c r="F542" s="10"/>
      <c r="G542" s="47">
        <v>1</v>
      </c>
      <c r="H542" s="72"/>
      <c r="I542" s="10"/>
      <c r="J542" s="46">
        <f t="shared" si="17"/>
        <v>1</v>
      </c>
      <c r="K542" s="46">
        <f>IFERROR(INDEX(TarrifTable,MATCH(Elements!E542,Constants!$V$4:$V$7,0),MATCH(Elements!F542,Constants!$W$3:$AA$3,0)),0)</f>
        <v>0</v>
      </c>
      <c r="L542" s="69">
        <f t="shared" si="18"/>
        <v>0</v>
      </c>
    </row>
    <row r="543" spans="2:12" x14ac:dyDescent="0.85">
      <c r="B543" s="48">
        <v>536</v>
      </c>
      <c r="C543" s="277"/>
      <c r="D543" s="284"/>
      <c r="E543" s="44"/>
      <c r="F543" s="44"/>
      <c r="G543" s="49">
        <v>1</v>
      </c>
      <c r="H543" s="73"/>
      <c r="I543" s="44"/>
      <c r="J543" s="48">
        <f t="shared" si="17"/>
        <v>1</v>
      </c>
      <c r="K543" s="48">
        <f>IFERROR(INDEX(TarrifTable,MATCH(Elements!E543,Constants!$V$4:$V$7,0),MATCH(Elements!F543,Constants!$W$3:$AA$3,0)),0)</f>
        <v>0</v>
      </c>
      <c r="L543" s="68">
        <f t="shared" si="18"/>
        <v>0</v>
      </c>
    </row>
    <row r="544" spans="2:12" x14ac:dyDescent="0.85">
      <c r="B544" s="46">
        <v>537</v>
      </c>
      <c r="C544" s="276"/>
      <c r="D544" s="283"/>
      <c r="E544" s="10"/>
      <c r="F544" s="10"/>
      <c r="G544" s="47">
        <v>1</v>
      </c>
      <c r="H544" s="72"/>
      <c r="I544" s="10"/>
      <c r="J544" s="46">
        <f t="shared" si="17"/>
        <v>1</v>
      </c>
      <c r="K544" s="46">
        <f>IFERROR(INDEX(TarrifTable,MATCH(Elements!E544,Constants!$V$4:$V$7,0),MATCH(Elements!F544,Constants!$W$3:$AA$3,0)),0)</f>
        <v>0</v>
      </c>
      <c r="L544" s="69">
        <f t="shared" si="18"/>
        <v>0</v>
      </c>
    </row>
    <row r="545" spans="2:12" x14ac:dyDescent="0.85">
      <c r="B545" s="48">
        <v>538</v>
      </c>
      <c r="C545" s="277"/>
      <c r="D545" s="284"/>
      <c r="E545" s="44"/>
      <c r="F545" s="44"/>
      <c r="G545" s="49">
        <v>1</v>
      </c>
      <c r="H545" s="73"/>
      <c r="I545" s="44"/>
      <c r="J545" s="48">
        <f t="shared" si="17"/>
        <v>1</v>
      </c>
      <c r="K545" s="48">
        <f>IFERROR(INDEX(TarrifTable,MATCH(Elements!E545,Constants!$V$4:$V$7,0),MATCH(Elements!F545,Constants!$W$3:$AA$3,0)),0)</f>
        <v>0</v>
      </c>
      <c r="L545" s="68">
        <f t="shared" si="18"/>
        <v>0</v>
      </c>
    </row>
    <row r="546" spans="2:12" x14ac:dyDescent="0.85">
      <c r="B546" s="46">
        <v>539</v>
      </c>
      <c r="C546" s="276"/>
      <c r="D546" s="283"/>
      <c r="E546" s="10"/>
      <c r="F546" s="10"/>
      <c r="G546" s="47">
        <v>1</v>
      </c>
      <c r="H546" s="72"/>
      <c r="I546" s="10"/>
      <c r="J546" s="46">
        <f t="shared" si="17"/>
        <v>1</v>
      </c>
      <c r="K546" s="46">
        <f>IFERROR(INDEX(TarrifTable,MATCH(Elements!E546,Constants!$V$4:$V$7,0),MATCH(Elements!F546,Constants!$W$3:$AA$3,0)),0)</f>
        <v>0</v>
      </c>
      <c r="L546" s="69">
        <f t="shared" si="18"/>
        <v>0</v>
      </c>
    </row>
    <row r="547" spans="2:12" x14ac:dyDescent="0.85">
      <c r="B547" s="48">
        <v>540</v>
      </c>
      <c r="C547" s="277"/>
      <c r="D547" s="284"/>
      <c r="E547" s="44"/>
      <c r="F547" s="44"/>
      <c r="G547" s="49">
        <v>1</v>
      </c>
      <c r="H547" s="73"/>
      <c r="I547" s="44"/>
      <c r="J547" s="48">
        <f t="shared" si="17"/>
        <v>1</v>
      </c>
      <c r="K547" s="48">
        <f>IFERROR(INDEX(TarrifTable,MATCH(Elements!E547,Constants!$V$4:$V$7,0),MATCH(Elements!F547,Constants!$W$3:$AA$3,0)),0)</f>
        <v>0</v>
      </c>
      <c r="L547" s="68">
        <f t="shared" si="18"/>
        <v>0</v>
      </c>
    </row>
    <row r="548" spans="2:12" x14ac:dyDescent="0.85">
      <c r="B548" s="46">
        <v>541</v>
      </c>
      <c r="C548" s="276"/>
      <c r="D548" s="283"/>
      <c r="E548" s="10"/>
      <c r="F548" s="10"/>
      <c r="G548" s="47">
        <v>1</v>
      </c>
      <c r="H548" s="72"/>
      <c r="I548" s="10"/>
      <c r="J548" s="46">
        <f t="shared" si="17"/>
        <v>1</v>
      </c>
      <c r="K548" s="46">
        <f>IFERROR(INDEX(TarrifTable,MATCH(Elements!E548,Constants!$V$4:$V$7,0),MATCH(Elements!F548,Constants!$W$3:$AA$3,0)),0)</f>
        <v>0</v>
      </c>
      <c r="L548" s="69">
        <f t="shared" si="18"/>
        <v>0</v>
      </c>
    </row>
    <row r="549" spans="2:12" x14ac:dyDescent="0.85">
      <c r="B549" s="48">
        <v>542</v>
      </c>
      <c r="C549" s="277"/>
      <c r="D549" s="284"/>
      <c r="E549" s="44"/>
      <c r="F549" s="44"/>
      <c r="G549" s="49">
        <v>1</v>
      </c>
      <c r="H549" s="73"/>
      <c r="I549" s="44"/>
      <c r="J549" s="48">
        <f t="shared" si="17"/>
        <v>1</v>
      </c>
      <c r="K549" s="48">
        <f>IFERROR(INDEX(TarrifTable,MATCH(Elements!E549,Constants!$V$4:$V$7,0),MATCH(Elements!F549,Constants!$W$3:$AA$3,0)),0)</f>
        <v>0</v>
      </c>
      <c r="L549" s="68">
        <f t="shared" si="18"/>
        <v>0</v>
      </c>
    </row>
    <row r="550" spans="2:12" x14ac:dyDescent="0.85">
      <c r="B550" s="46">
        <v>543</v>
      </c>
      <c r="C550" s="276"/>
      <c r="D550" s="283"/>
      <c r="E550" s="10"/>
      <c r="F550" s="10"/>
      <c r="G550" s="47">
        <v>1</v>
      </c>
      <c r="H550" s="72"/>
      <c r="I550" s="10"/>
      <c r="J550" s="46">
        <f t="shared" si="17"/>
        <v>1</v>
      </c>
      <c r="K550" s="46">
        <f>IFERROR(INDEX(TarrifTable,MATCH(Elements!E550,Constants!$V$4:$V$7,0),MATCH(Elements!F550,Constants!$W$3:$AA$3,0)),0)</f>
        <v>0</v>
      </c>
      <c r="L550" s="69">
        <f t="shared" si="18"/>
        <v>0</v>
      </c>
    </row>
    <row r="551" spans="2:12" x14ac:dyDescent="0.85">
      <c r="B551" s="48">
        <v>544</v>
      </c>
      <c r="C551" s="277"/>
      <c r="D551" s="284"/>
      <c r="E551" s="44"/>
      <c r="F551" s="44"/>
      <c r="G551" s="49">
        <v>1</v>
      </c>
      <c r="H551" s="73"/>
      <c r="I551" s="44"/>
      <c r="J551" s="48">
        <f t="shared" si="17"/>
        <v>1</v>
      </c>
      <c r="K551" s="48">
        <f>IFERROR(INDEX(TarrifTable,MATCH(Elements!E551,Constants!$V$4:$V$7,0),MATCH(Elements!F551,Constants!$W$3:$AA$3,0)),0)</f>
        <v>0</v>
      </c>
      <c r="L551" s="68">
        <f t="shared" si="18"/>
        <v>0</v>
      </c>
    </row>
    <row r="552" spans="2:12" x14ac:dyDescent="0.85">
      <c r="B552" s="46">
        <v>545</v>
      </c>
      <c r="C552" s="276"/>
      <c r="D552" s="283"/>
      <c r="E552" s="10"/>
      <c r="F552" s="10"/>
      <c r="G552" s="47">
        <v>1</v>
      </c>
      <c r="H552" s="72"/>
      <c r="I552" s="10"/>
      <c r="J552" s="46">
        <f t="shared" si="17"/>
        <v>1</v>
      </c>
      <c r="K552" s="46">
        <f>IFERROR(INDEX(TarrifTable,MATCH(Elements!E552,Constants!$V$4:$V$7,0),MATCH(Elements!F552,Constants!$W$3:$AA$3,0)),0)</f>
        <v>0</v>
      </c>
      <c r="L552" s="69">
        <f t="shared" si="18"/>
        <v>0</v>
      </c>
    </row>
    <row r="553" spans="2:12" x14ac:dyDescent="0.85">
      <c r="B553" s="48">
        <v>546</v>
      </c>
      <c r="C553" s="277"/>
      <c r="D553" s="284"/>
      <c r="E553" s="44"/>
      <c r="F553" s="44"/>
      <c r="G553" s="49">
        <v>1</v>
      </c>
      <c r="H553" s="73"/>
      <c r="I553" s="44"/>
      <c r="J553" s="48">
        <f t="shared" si="17"/>
        <v>1</v>
      </c>
      <c r="K553" s="48">
        <f>IFERROR(INDEX(TarrifTable,MATCH(Elements!E553,Constants!$V$4:$V$7,0),MATCH(Elements!F553,Constants!$W$3:$AA$3,0)),0)</f>
        <v>0</v>
      </c>
      <c r="L553" s="68">
        <f t="shared" si="18"/>
        <v>0</v>
      </c>
    </row>
    <row r="554" spans="2:12" x14ac:dyDescent="0.85">
      <c r="B554" s="46">
        <v>547</v>
      </c>
      <c r="C554" s="276"/>
      <c r="D554" s="283"/>
      <c r="E554" s="10"/>
      <c r="F554" s="10"/>
      <c r="G554" s="47">
        <v>1</v>
      </c>
      <c r="H554" s="72"/>
      <c r="I554" s="10"/>
      <c r="J554" s="46">
        <f t="shared" si="17"/>
        <v>1</v>
      </c>
      <c r="K554" s="46">
        <f>IFERROR(INDEX(TarrifTable,MATCH(Elements!E554,Constants!$V$4:$V$7,0),MATCH(Elements!F554,Constants!$W$3:$AA$3,0)),0)</f>
        <v>0</v>
      </c>
      <c r="L554" s="69">
        <f t="shared" si="18"/>
        <v>0</v>
      </c>
    </row>
    <row r="555" spans="2:12" x14ac:dyDescent="0.85">
      <c r="B555" s="48">
        <v>548</v>
      </c>
      <c r="C555" s="277"/>
      <c r="D555" s="284"/>
      <c r="E555" s="44"/>
      <c r="F555" s="44"/>
      <c r="G555" s="49">
        <v>1</v>
      </c>
      <c r="H555" s="73"/>
      <c r="I555" s="44"/>
      <c r="J555" s="48">
        <f t="shared" si="17"/>
        <v>1</v>
      </c>
      <c r="K555" s="48">
        <f>IFERROR(INDEX(TarrifTable,MATCH(Elements!E555,Constants!$V$4:$V$7,0),MATCH(Elements!F555,Constants!$W$3:$AA$3,0)),0)</f>
        <v>0</v>
      </c>
      <c r="L555" s="68">
        <f t="shared" si="18"/>
        <v>0</v>
      </c>
    </row>
    <row r="556" spans="2:12" x14ac:dyDescent="0.85">
      <c r="B556" s="46">
        <v>549</v>
      </c>
      <c r="C556" s="276"/>
      <c r="D556" s="283"/>
      <c r="E556" s="10"/>
      <c r="F556" s="10"/>
      <c r="G556" s="47">
        <v>1</v>
      </c>
      <c r="H556" s="72"/>
      <c r="I556" s="10"/>
      <c r="J556" s="46">
        <f t="shared" si="17"/>
        <v>1</v>
      </c>
      <c r="K556" s="46">
        <f>IFERROR(INDEX(TarrifTable,MATCH(Elements!E556,Constants!$V$4:$V$7,0),MATCH(Elements!F556,Constants!$W$3:$AA$3,0)),0)</f>
        <v>0</v>
      </c>
      <c r="L556" s="69">
        <f t="shared" si="18"/>
        <v>0</v>
      </c>
    </row>
    <row r="557" spans="2:12" x14ac:dyDescent="0.85">
      <c r="B557" s="48">
        <v>550</v>
      </c>
      <c r="C557" s="277"/>
      <c r="D557" s="284"/>
      <c r="E557" s="44"/>
      <c r="F557" s="44"/>
      <c r="G557" s="49">
        <v>1</v>
      </c>
      <c r="H557" s="73"/>
      <c r="I557" s="44"/>
      <c r="J557" s="48">
        <f t="shared" si="17"/>
        <v>1</v>
      </c>
      <c r="K557" s="48">
        <f>IFERROR(INDEX(TarrifTable,MATCH(Elements!E557,Constants!$V$4:$V$7,0),MATCH(Elements!F557,Constants!$W$3:$AA$3,0)),0)</f>
        <v>0</v>
      </c>
      <c r="L557" s="68">
        <f t="shared" si="18"/>
        <v>0</v>
      </c>
    </row>
    <row r="558" spans="2:12" x14ac:dyDescent="0.85">
      <c r="B558" s="46">
        <v>551</v>
      </c>
      <c r="C558" s="276"/>
      <c r="D558" s="283"/>
      <c r="E558" s="10"/>
      <c r="F558" s="10"/>
      <c r="G558" s="47">
        <v>1</v>
      </c>
      <c r="H558" s="72"/>
      <c r="I558" s="10"/>
      <c r="J558" s="46">
        <f t="shared" si="17"/>
        <v>1</v>
      </c>
      <c r="K558" s="46">
        <f>IFERROR(INDEX(TarrifTable,MATCH(Elements!E558,Constants!$V$4:$V$7,0),MATCH(Elements!F558,Constants!$W$3:$AA$3,0)),0)</f>
        <v>0</v>
      </c>
      <c r="L558" s="69">
        <f t="shared" si="18"/>
        <v>0</v>
      </c>
    </row>
    <row r="559" spans="2:12" x14ac:dyDescent="0.85">
      <c r="B559" s="48">
        <v>552</v>
      </c>
      <c r="C559" s="277"/>
      <c r="D559" s="284"/>
      <c r="E559" s="44"/>
      <c r="F559" s="44"/>
      <c r="G559" s="49">
        <v>1</v>
      </c>
      <c r="H559" s="73"/>
      <c r="I559" s="44"/>
      <c r="J559" s="48">
        <f t="shared" si="17"/>
        <v>1</v>
      </c>
      <c r="K559" s="48">
        <f>IFERROR(INDEX(TarrifTable,MATCH(Elements!E559,Constants!$V$4:$V$7,0),MATCH(Elements!F559,Constants!$W$3:$AA$3,0)),0)</f>
        <v>0</v>
      </c>
      <c r="L559" s="68">
        <f t="shared" si="18"/>
        <v>0</v>
      </c>
    </row>
    <row r="560" spans="2:12" x14ac:dyDescent="0.85">
      <c r="B560" s="46">
        <v>553</v>
      </c>
      <c r="C560" s="276"/>
      <c r="D560" s="283"/>
      <c r="E560" s="10"/>
      <c r="F560" s="10"/>
      <c r="G560" s="47">
        <v>1</v>
      </c>
      <c r="H560" s="72"/>
      <c r="I560" s="10"/>
      <c r="J560" s="46">
        <f t="shared" si="17"/>
        <v>1</v>
      </c>
      <c r="K560" s="46">
        <f>IFERROR(INDEX(TarrifTable,MATCH(Elements!E560,Constants!$V$4:$V$7,0),MATCH(Elements!F560,Constants!$W$3:$AA$3,0)),0)</f>
        <v>0</v>
      </c>
      <c r="L560" s="69">
        <f t="shared" si="18"/>
        <v>0</v>
      </c>
    </row>
    <row r="561" spans="2:12" x14ac:dyDescent="0.85">
      <c r="B561" s="48">
        <v>554</v>
      </c>
      <c r="C561" s="277"/>
      <c r="D561" s="284"/>
      <c r="E561" s="44"/>
      <c r="F561" s="44"/>
      <c r="G561" s="49">
        <v>1</v>
      </c>
      <c r="H561" s="73"/>
      <c r="I561" s="44"/>
      <c r="J561" s="48">
        <f t="shared" si="17"/>
        <v>1</v>
      </c>
      <c r="K561" s="48">
        <f>IFERROR(INDEX(TarrifTable,MATCH(Elements!E561,Constants!$V$4:$V$7,0),MATCH(Elements!F561,Constants!$W$3:$AA$3,0)),0)</f>
        <v>0</v>
      </c>
      <c r="L561" s="68">
        <f t="shared" si="18"/>
        <v>0</v>
      </c>
    </row>
    <row r="562" spans="2:12" x14ac:dyDescent="0.85">
      <c r="B562" s="46">
        <v>555</v>
      </c>
      <c r="C562" s="276"/>
      <c r="D562" s="283"/>
      <c r="E562" s="10"/>
      <c r="F562" s="10"/>
      <c r="G562" s="47">
        <v>1</v>
      </c>
      <c r="H562" s="72"/>
      <c r="I562" s="10"/>
      <c r="J562" s="46">
        <f t="shared" si="17"/>
        <v>1</v>
      </c>
      <c r="K562" s="46">
        <f>IFERROR(INDEX(TarrifTable,MATCH(Elements!E562,Constants!$V$4:$V$7,0),MATCH(Elements!F562,Constants!$W$3:$AA$3,0)),0)</f>
        <v>0</v>
      </c>
      <c r="L562" s="69">
        <f t="shared" si="18"/>
        <v>0</v>
      </c>
    </row>
    <row r="563" spans="2:12" x14ac:dyDescent="0.85">
      <c r="B563" s="48">
        <v>556</v>
      </c>
      <c r="C563" s="277"/>
      <c r="D563" s="284"/>
      <c r="E563" s="44"/>
      <c r="F563" s="44"/>
      <c r="G563" s="49">
        <v>1</v>
      </c>
      <c r="H563" s="73"/>
      <c r="I563" s="44"/>
      <c r="J563" s="48">
        <f t="shared" si="17"/>
        <v>1</v>
      </c>
      <c r="K563" s="48">
        <f>IFERROR(INDEX(TarrifTable,MATCH(Elements!E563,Constants!$V$4:$V$7,0),MATCH(Elements!F563,Constants!$W$3:$AA$3,0)),0)</f>
        <v>0</v>
      </c>
      <c r="L563" s="68">
        <f t="shared" si="18"/>
        <v>0</v>
      </c>
    </row>
    <row r="564" spans="2:12" x14ac:dyDescent="0.85">
      <c r="B564" s="46">
        <v>557</v>
      </c>
      <c r="C564" s="276"/>
      <c r="D564" s="283"/>
      <c r="E564" s="10"/>
      <c r="F564" s="10"/>
      <c r="G564" s="47">
        <v>1</v>
      </c>
      <c r="H564" s="72"/>
      <c r="I564" s="10"/>
      <c r="J564" s="46">
        <f t="shared" si="17"/>
        <v>1</v>
      </c>
      <c r="K564" s="46">
        <f>IFERROR(INDEX(TarrifTable,MATCH(Elements!E564,Constants!$V$4:$V$7,0),MATCH(Elements!F564,Constants!$W$3:$AA$3,0)),0)</f>
        <v>0</v>
      </c>
      <c r="L564" s="69">
        <f t="shared" si="18"/>
        <v>0</v>
      </c>
    </row>
    <row r="565" spans="2:12" x14ac:dyDescent="0.85">
      <c r="B565" s="48">
        <v>558</v>
      </c>
      <c r="C565" s="277"/>
      <c r="D565" s="284"/>
      <c r="E565" s="44"/>
      <c r="F565" s="44"/>
      <c r="G565" s="49">
        <v>1</v>
      </c>
      <c r="H565" s="73"/>
      <c r="I565" s="44"/>
      <c r="J565" s="48">
        <f t="shared" si="17"/>
        <v>1</v>
      </c>
      <c r="K565" s="48">
        <f>IFERROR(INDEX(TarrifTable,MATCH(Elements!E565,Constants!$V$4:$V$7,0),MATCH(Elements!F565,Constants!$W$3:$AA$3,0)),0)</f>
        <v>0</v>
      </c>
      <c r="L565" s="68">
        <f t="shared" si="18"/>
        <v>0</v>
      </c>
    </row>
    <row r="566" spans="2:12" x14ac:dyDescent="0.85">
      <c r="B566" s="46">
        <v>559</v>
      </c>
      <c r="C566" s="276"/>
      <c r="D566" s="283"/>
      <c r="E566" s="10"/>
      <c r="F566" s="10"/>
      <c r="G566" s="47">
        <v>1</v>
      </c>
      <c r="H566" s="72"/>
      <c r="I566" s="10"/>
      <c r="J566" s="46">
        <f t="shared" si="17"/>
        <v>1</v>
      </c>
      <c r="K566" s="46">
        <f>IFERROR(INDEX(TarrifTable,MATCH(Elements!E566,Constants!$V$4:$V$7,0),MATCH(Elements!F566,Constants!$W$3:$AA$3,0)),0)</f>
        <v>0</v>
      </c>
      <c r="L566" s="69">
        <f t="shared" si="18"/>
        <v>0</v>
      </c>
    </row>
    <row r="567" spans="2:12" x14ac:dyDescent="0.85">
      <c r="B567" s="48">
        <v>560</v>
      </c>
      <c r="C567" s="277"/>
      <c r="D567" s="284"/>
      <c r="E567" s="44"/>
      <c r="F567" s="44"/>
      <c r="G567" s="49">
        <v>1</v>
      </c>
      <c r="H567" s="73"/>
      <c r="I567" s="44"/>
      <c r="J567" s="48">
        <f t="shared" si="17"/>
        <v>1</v>
      </c>
      <c r="K567" s="48">
        <f>IFERROR(INDEX(TarrifTable,MATCH(Elements!E567,Constants!$V$4:$V$7,0),MATCH(Elements!F567,Constants!$W$3:$AA$3,0)),0)</f>
        <v>0</v>
      </c>
      <c r="L567" s="68">
        <f t="shared" si="18"/>
        <v>0</v>
      </c>
    </row>
    <row r="568" spans="2:12" x14ac:dyDescent="0.85">
      <c r="B568" s="46">
        <v>561</v>
      </c>
      <c r="C568" s="276"/>
      <c r="D568" s="283"/>
      <c r="E568" s="10"/>
      <c r="F568" s="10"/>
      <c r="G568" s="47">
        <v>1</v>
      </c>
      <c r="H568" s="72"/>
      <c r="I568" s="10"/>
      <c r="J568" s="46">
        <f t="shared" si="17"/>
        <v>1</v>
      </c>
      <c r="K568" s="46">
        <f>IFERROR(INDEX(TarrifTable,MATCH(Elements!E568,Constants!$V$4:$V$7,0),MATCH(Elements!F568,Constants!$W$3:$AA$3,0)),0)</f>
        <v>0</v>
      </c>
      <c r="L568" s="69">
        <f t="shared" si="18"/>
        <v>0</v>
      </c>
    </row>
    <row r="569" spans="2:12" x14ac:dyDescent="0.85">
      <c r="B569" s="48">
        <v>562</v>
      </c>
      <c r="C569" s="277"/>
      <c r="D569" s="284"/>
      <c r="E569" s="44"/>
      <c r="F569" s="44"/>
      <c r="G569" s="49">
        <v>1</v>
      </c>
      <c r="H569" s="73"/>
      <c r="I569" s="44"/>
      <c r="J569" s="48">
        <f t="shared" si="17"/>
        <v>1</v>
      </c>
      <c r="K569" s="48">
        <f>IFERROR(INDEX(TarrifTable,MATCH(Elements!E569,Constants!$V$4:$V$7,0),MATCH(Elements!F569,Constants!$W$3:$AA$3,0)),0)</f>
        <v>0</v>
      </c>
      <c r="L569" s="68">
        <f t="shared" si="18"/>
        <v>0</v>
      </c>
    </row>
    <row r="570" spans="2:12" x14ac:dyDescent="0.85">
      <c r="B570" s="46">
        <v>563</v>
      </c>
      <c r="C570" s="276"/>
      <c r="D570" s="283"/>
      <c r="E570" s="10"/>
      <c r="F570" s="10"/>
      <c r="G570" s="47">
        <v>1</v>
      </c>
      <c r="H570" s="72"/>
      <c r="I570" s="10"/>
      <c r="J570" s="46">
        <f t="shared" si="17"/>
        <v>1</v>
      </c>
      <c r="K570" s="46">
        <f>IFERROR(INDEX(TarrifTable,MATCH(Elements!E570,Constants!$V$4:$V$7,0),MATCH(Elements!F570,Constants!$W$3:$AA$3,0)),0)</f>
        <v>0</v>
      </c>
      <c r="L570" s="69">
        <f t="shared" si="18"/>
        <v>0</v>
      </c>
    </row>
    <row r="571" spans="2:12" x14ac:dyDescent="0.85">
      <c r="B571" s="48">
        <v>564</v>
      </c>
      <c r="C571" s="277"/>
      <c r="D571" s="284"/>
      <c r="E571" s="44"/>
      <c r="F571" s="44"/>
      <c r="G571" s="49">
        <v>1</v>
      </c>
      <c r="H571" s="73"/>
      <c r="I571" s="44"/>
      <c r="J571" s="48">
        <f t="shared" si="17"/>
        <v>1</v>
      </c>
      <c r="K571" s="48">
        <f>IFERROR(INDEX(TarrifTable,MATCH(Elements!E571,Constants!$V$4:$V$7,0),MATCH(Elements!F571,Constants!$W$3:$AA$3,0)),0)</f>
        <v>0</v>
      </c>
      <c r="L571" s="68">
        <f t="shared" si="18"/>
        <v>0</v>
      </c>
    </row>
    <row r="572" spans="2:12" x14ac:dyDescent="0.85">
      <c r="B572" s="46">
        <v>565</v>
      </c>
      <c r="C572" s="276"/>
      <c r="D572" s="283"/>
      <c r="E572" s="10"/>
      <c r="F572" s="10"/>
      <c r="G572" s="47">
        <v>1</v>
      </c>
      <c r="H572" s="72"/>
      <c r="I572" s="10"/>
      <c r="J572" s="46">
        <f t="shared" si="17"/>
        <v>1</v>
      </c>
      <c r="K572" s="46">
        <f>IFERROR(INDEX(TarrifTable,MATCH(Elements!E572,Constants!$V$4:$V$7,0),MATCH(Elements!F572,Constants!$W$3:$AA$3,0)),0)</f>
        <v>0</v>
      </c>
      <c r="L572" s="69">
        <f t="shared" si="18"/>
        <v>0</v>
      </c>
    </row>
    <row r="573" spans="2:12" x14ac:dyDescent="0.85">
      <c r="B573" s="48">
        <v>566</v>
      </c>
      <c r="C573" s="277"/>
      <c r="D573" s="284"/>
      <c r="E573" s="44"/>
      <c r="F573" s="44"/>
      <c r="G573" s="49">
        <v>1</v>
      </c>
      <c r="H573" s="73"/>
      <c r="I573" s="44"/>
      <c r="J573" s="48">
        <f t="shared" si="17"/>
        <v>1</v>
      </c>
      <c r="K573" s="48">
        <f>IFERROR(INDEX(TarrifTable,MATCH(Elements!E573,Constants!$V$4:$V$7,0),MATCH(Elements!F573,Constants!$W$3:$AA$3,0)),0)</f>
        <v>0</v>
      </c>
      <c r="L573" s="68">
        <f t="shared" si="18"/>
        <v>0</v>
      </c>
    </row>
    <row r="574" spans="2:12" x14ac:dyDescent="0.85">
      <c r="B574" s="46">
        <v>567</v>
      </c>
      <c r="C574" s="276"/>
      <c r="D574" s="283"/>
      <c r="E574" s="10"/>
      <c r="F574" s="10"/>
      <c r="G574" s="47">
        <v>1</v>
      </c>
      <c r="H574" s="72"/>
      <c r="I574" s="10"/>
      <c r="J574" s="46">
        <f t="shared" si="17"/>
        <v>1</v>
      </c>
      <c r="K574" s="46">
        <f>IFERROR(INDEX(TarrifTable,MATCH(Elements!E574,Constants!$V$4:$V$7,0),MATCH(Elements!F574,Constants!$W$3:$AA$3,0)),0)</f>
        <v>0</v>
      </c>
      <c r="L574" s="69">
        <f t="shared" si="18"/>
        <v>0</v>
      </c>
    </row>
    <row r="575" spans="2:12" x14ac:dyDescent="0.85">
      <c r="B575" s="48">
        <v>568</v>
      </c>
      <c r="C575" s="277"/>
      <c r="D575" s="284"/>
      <c r="E575" s="44"/>
      <c r="F575" s="44"/>
      <c r="G575" s="49">
        <v>1</v>
      </c>
      <c r="H575" s="73"/>
      <c r="I575" s="44"/>
      <c r="J575" s="48">
        <f t="shared" si="17"/>
        <v>1</v>
      </c>
      <c r="K575" s="48">
        <f>IFERROR(INDEX(TarrifTable,MATCH(Elements!E575,Constants!$V$4:$V$7,0),MATCH(Elements!F575,Constants!$W$3:$AA$3,0)),0)</f>
        <v>0</v>
      </c>
      <c r="L575" s="68">
        <f t="shared" si="18"/>
        <v>0</v>
      </c>
    </row>
    <row r="576" spans="2:12" x14ac:dyDescent="0.85">
      <c r="B576" s="46">
        <v>569</v>
      </c>
      <c r="C576" s="276"/>
      <c r="D576" s="283"/>
      <c r="E576" s="10"/>
      <c r="F576" s="10"/>
      <c r="G576" s="47">
        <v>1</v>
      </c>
      <c r="H576" s="72"/>
      <c r="I576" s="10"/>
      <c r="J576" s="46">
        <f t="shared" si="17"/>
        <v>1</v>
      </c>
      <c r="K576" s="46">
        <f>IFERROR(INDEX(TarrifTable,MATCH(Elements!E576,Constants!$V$4:$V$7,0),MATCH(Elements!F576,Constants!$W$3:$AA$3,0)),0)</f>
        <v>0</v>
      </c>
      <c r="L576" s="69">
        <f t="shared" si="18"/>
        <v>0</v>
      </c>
    </row>
    <row r="577" spans="2:12" x14ac:dyDescent="0.85">
      <c r="B577" s="48">
        <v>570</v>
      </c>
      <c r="C577" s="277"/>
      <c r="D577" s="284"/>
      <c r="E577" s="44"/>
      <c r="F577" s="44"/>
      <c r="G577" s="49">
        <v>1</v>
      </c>
      <c r="H577" s="73"/>
      <c r="I577" s="44"/>
      <c r="J577" s="48">
        <f t="shared" si="17"/>
        <v>1</v>
      </c>
      <c r="K577" s="48">
        <f>IFERROR(INDEX(TarrifTable,MATCH(Elements!E577,Constants!$V$4:$V$7,0),MATCH(Elements!F577,Constants!$W$3:$AA$3,0)),0)</f>
        <v>0</v>
      </c>
      <c r="L577" s="68">
        <f t="shared" si="18"/>
        <v>0</v>
      </c>
    </row>
    <row r="578" spans="2:12" x14ac:dyDescent="0.85">
      <c r="B578" s="46">
        <v>571</v>
      </c>
      <c r="C578" s="276"/>
      <c r="D578" s="283"/>
      <c r="E578" s="10"/>
      <c r="F578" s="10"/>
      <c r="G578" s="47">
        <v>1</v>
      </c>
      <c r="H578" s="72"/>
      <c r="I578" s="10"/>
      <c r="J578" s="46">
        <f t="shared" si="17"/>
        <v>1</v>
      </c>
      <c r="K578" s="46">
        <f>IFERROR(INDEX(TarrifTable,MATCH(Elements!E578,Constants!$V$4:$V$7,0),MATCH(Elements!F578,Constants!$W$3:$AA$3,0)),0)</f>
        <v>0</v>
      </c>
      <c r="L578" s="69">
        <f t="shared" si="18"/>
        <v>0</v>
      </c>
    </row>
    <row r="579" spans="2:12" x14ac:dyDescent="0.85">
      <c r="B579" s="48">
        <v>572</v>
      </c>
      <c r="C579" s="277"/>
      <c r="D579" s="284"/>
      <c r="E579" s="44"/>
      <c r="F579" s="44"/>
      <c r="G579" s="49">
        <v>1</v>
      </c>
      <c r="H579" s="73"/>
      <c r="I579" s="44"/>
      <c r="J579" s="48">
        <f t="shared" si="17"/>
        <v>1</v>
      </c>
      <c r="K579" s="48">
        <f>IFERROR(INDEX(TarrifTable,MATCH(Elements!E579,Constants!$V$4:$V$7,0),MATCH(Elements!F579,Constants!$W$3:$AA$3,0)),0)</f>
        <v>0</v>
      </c>
      <c r="L579" s="68">
        <f t="shared" si="18"/>
        <v>0</v>
      </c>
    </row>
    <row r="580" spans="2:12" x14ac:dyDescent="0.85">
      <c r="B580" s="46">
        <v>573</v>
      </c>
      <c r="C580" s="276"/>
      <c r="D580" s="283"/>
      <c r="E580" s="10"/>
      <c r="F580" s="10"/>
      <c r="G580" s="47">
        <v>1</v>
      </c>
      <c r="H580" s="72"/>
      <c r="I580" s="10"/>
      <c r="J580" s="46">
        <f t="shared" si="17"/>
        <v>1</v>
      </c>
      <c r="K580" s="46">
        <f>IFERROR(INDEX(TarrifTable,MATCH(Elements!E580,Constants!$V$4:$V$7,0),MATCH(Elements!F580,Constants!$W$3:$AA$3,0)),0)</f>
        <v>0</v>
      </c>
      <c r="L580" s="69">
        <f t="shared" si="18"/>
        <v>0</v>
      </c>
    </row>
    <row r="581" spans="2:12" x14ac:dyDescent="0.85">
      <c r="B581" s="48">
        <v>574</v>
      </c>
      <c r="C581" s="277"/>
      <c r="D581" s="284"/>
      <c r="E581" s="44"/>
      <c r="F581" s="44"/>
      <c r="G581" s="49">
        <v>1</v>
      </c>
      <c r="H581" s="73"/>
      <c r="I581" s="44"/>
      <c r="J581" s="48">
        <f t="shared" si="17"/>
        <v>1</v>
      </c>
      <c r="K581" s="48">
        <f>IFERROR(INDEX(TarrifTable,MATCH(Elements!E581,Constants!$V$4:$V$7,0),MATCH(Elements!F581,Constants!$W$3:$AA$3,0)),0)</f>
        <v>0</v>
      </c>
      <c r="L581" s="68">
        <f t="shared" si="18"/>
        <v>0</v>
      </c>
    </row>
    <row r="582" spans="2:12" x14ac:dyDescent="0.85">
      <c r="B582" s="46">
        <v>575</v>
      </c>
      <c r="C582" s="276"/>
      <c r="D582" s="283"/>
      <c r="E582" s="10"/>
      <c r="F582" s="10"/>
      <c r="G582" s="47">
        <v>1</v>
      </c>
      <c r="H582" s="72"/>
      <c r="I582" s="10"/>
      <c r="J582" s="46">
        <f t="shared" si="17"/>
        <v>1</v>
      </c>
      <c r="K582" s="46">
        <f>IFERROR(INDEX(TarrifTable,MATCH(Elements!E582,Constants!$V$4:$V$7,0),MATCH(Elements!F582,Constants!$W$3:$AA$3,0)),0)</f>
        <v>0</v>
      </c>
      <c r="L582" s="69">
        <f t="shared" si="18"/>
        <v>0</v>
      </c>
    </row>
    <row r="583" spans="2:12" x14ac:dyDescent="0.85">
      <c r="B583" s="48">
        <v>576</v>
      </c>
      <c r="C583" s="277"/>
      <c r="D583" s="284"/>
      <c r="E583" s="44"/>
      <c r="F583" s="44"/>
      <c r="G583" s="49">
        <v>1</v>
      </c>
      <c r="H583" s="73"/>
      <c r="I583" s="44"/>
      <c r="J583" s="48">
        <f t="shared" si="17"/>
        <v>1</v>
      </c>
      <c r="K583" s="48">
        <f>IFERROR(INDEX(TarrifTable,MATCH(Elements!E583,Constants!$V$4:$V$7,0),MATCH(Elements!F583,Constants!$W$3:$AA$3,0)),0)</f>
        <v>0</v>
      </c>
      <c r="L583" s="68">
        <f t="shared" si="18"/>
        <v>0</v>
      </c>
    </row>
    <row r="584" spans="2:12" x14ac:dyDescent="0.85">
      <c r="B584" s="46">
        <v>577</v>
      </c>
      <c r="C584" s="276"/>
      <c r="D584" s="283"/>
      <c r="E584" s="10"/>
      <c r="F584" s="10"/>
      <c r="G584" s="47">
        <v>1</v>
      </c>
      <c r="H584" s="72"/>
      <c r="I584" s="10"/>
      <c r="J584" s="46">
        <f t="shared" ref="J584:J647" si="19">IF(ISBLANK(H584),1,H584)</f>
        <v>1</v>
      </c>
      <c r="K584" s="46">
        <f>IFERROR(INDEX(TarrifTable,MATCH(Elements!E584,Constants!$V$4:$V$7,0),MATCH(Elements!F584,Constants!$W$3:$AA$3,0)),0)</f>
        <v>0</v>
      </c>
      <c r="L584" s="69">
        <f t="shared" ref="L584:L647" si="20">J584*G584*K584</f>
        <v>0</v>
      </c>
    </row>
    <row r="585" spans="2:12" x14ac:dyDescent="0.85">
      <c r="B585" s="48">
        <v>578</v>
      </c>
      <c r="C585" s="277"/>
      <c r="D585" s="284"/>
      <c r="E585" s="44"/>
      <c r="F585" s="44"/>
      <c r="G585" s="49">
        <v>1</v>
      </c>
      <c r="H585" s="73"/>
      <c r="I585" s="44"/>
      <c r="J585" s="48">
        <f t="shared" si="19"/>
        <v>1</v>
      </c>
      <c r="K585" s="48">
        <f>IFERROR(INDEX(TarrifTable,MATCH(Elements!E585,Constants!$V$4:$V$7,0),MATCH(Elements!F585,Constants!$W$3:$AA$3,0)),0)</f>
        <v>0</v>
      </c>
      <c r="L585" s="68">
        <f t="shared" si="20"/>
        <v>0</v>
      </c>
    </row>
    <row r="586" spans="2:12" x14ac:dyDescent="0.85">
      <c r="B586" s="46">
        <v>579</v>
      </c>
      <c r="C586" s="276"/>
      <c r="D586" s="283"/>
      <c r="E586" s="10"/>
      <c r="F586" s="10"/>
      <c r="G586" s="47">
        <v>1</v>
      </c>
      <c r="H586" s="72"/>
      <c r="I586" s="10"/>
      <c r="J586" s="46">
        <f t="shared" si="19"/>
        <v>1</v>
      </c>
      <c r="K586" s="46">
        <f>IFERROR(INDEX(TarrifTable,MATCH(Elements!E586,Constants!$V$4:$V$7,0),MATCH(Elements!F586,Constants!$W$3:$AA$3,0)),0)</f>
        <v>0</v>
      </c>
      <c r="L586" s="69">
        <f t="shared" si="20"/>
        <v>0</v>
      </c>
    </row>
    <row r="587" spans="2:12" x14ac:dyDescent="0.85">
      <c r="B587" s="48">
        <v>580</v>
      </c>
      <c r="C587" s="277"/>
      <c r="D587" s="284"/>
      <c r="E587" s="44"/>
      <c r="F587" s="44"/>
      <c r="G587" s="49">
        <v>1</v>
      </c>
      <c r="H587" s="73"/>
      <c r="I587" s="44"/>
      <c r="J587" s="48">
        <f t="shared" si="19"/>
        <v>1</v>
      </c>
      <c r="K587" s="48">
        <f>IFERROR(INDEX(TarrifTable,MATCH(Elements!E587,Constants!$V$4:$V$7,0),MATCH(Elements!F587,Constants!$W$3:$AA$3,0)),0)</f>
        <v>0</v>
      </c>
      <c r="L587" s="68">
        <f t="shared" si="20"/>
        <v>0</v>
      </c>
    </row>
    <row r="588" spans="2:12" x14ac:dyDescent="0.85">
      <c r="B588" s="46">
        <v>581</v>
      </c>
      <c r="C588" s="276"/>
      <c r="D588" s="283"/>
      <c r="E588" s="10"/>
      <c r="F588" s="10"/>
      <c r="G588" s="47">
        <v>1</v>
      </c>
      <c r="H588" s="72"/>
      <c r="I588" s="10"/>
      <c r="J588" s="46">
        <f t="shared" si="19"/>
        <v>1</v>
      </c>
      <c r="K588" s="46">
        <f>IFERROR(INDEX(TarrifTable,MATCH(Elements!E588,Constants!$V$4:$V$7,0),MATCH(Elements!F588,Constants!$W$3:$AA$3,0)),0)</f>
        <v>0</v>
      </c>
      <c r="L588" s="69">
        <f t="shared" si="20"/>
        <v>0</v>
      </c>
    </row>
    <row r="589" spans="2:12" x14ac:dyDescent="0.85">
      <c r="B589" s="48">
        <v>582</v>
      </c>
      <c r="C589" s="277"/>
      <c r="D589" s="284"/>
      <c r="E589" s="44"/>
      <c r="F589" s="44"/>
      <c r="G589" s="49">
        <v>1</v>
      </c>
      <c r="H589" s="73"/>
      <c r="I589" s="44"/>
      <c r="J589" s="48">
        <f t="shared" si="19"/>
        <v>1</v>
      </c>
      <c r="K589" s="48">
        <f>IFERROR(INDEX(TarrifTable,MATCH(Elements!E589,Constants!$V$4:$V$7,0),MATCH(Elements!F589,Constants!$W$3:$AA$3,0)),0)</f>
        <v>0</v>
      </c>
      <c r="L589" s="68">
        <f t="shared" si="20"/>
        <v>0</v>
      </c>
    </row>
    <row r="590" spans="2:12" x14ac:dyDescent="0.85">
      <c r="B590" s="46">
        <v>583</v>
      </c>
      <c r="C590" s="276"/>
      <c r="D590" s="283"/>
      <c r="E590" s="10"/>
      <c r="F590" s="10"/>
      <c r="G590" s="47">
        <v>1</v>
      </c>
      <c r="H590" s="72"/>
      <c r="I590" s="10"/>
      <c r="J590" s="46">
        <f t="shared" si="19"/>
        <v>1</v>
      </c>
      <c r="K590" s="46">
        <f>IFERROR(INDEX(TarrifTable,MATCH(Elements!E590,Constants!$V$4:$V$7,0),MATCH(Elements!F590,Constants!$W$3:$AA$3,0)),0)</f>
        <v>0</v>
      </c>
      <c r="L590" s="69">
        <f t="shared" si="20"/>
        <v>0</v>
      </c>
    </row>
    <row r="591" spans="2:12" x14ac:dyDescent="0.85">
      <c r="B591" s="48">
        <v>584</v>
      </c>
      <c r="C591" s="277"/>
      <c r="D591" s="284"/>
      <c r="E591" s="44"/>
      <c r="F591" s="44"/>
      <c r="G591" s="49">
        <v>1</v>
      </c>
      <c r="H591" s="73"/>
      <c r="I591" s="44"/>
      <c r="J591" s="48">
        <f t="shared" si="19"/>
        <v>1</v>
      </c>
      <c r="K591" s="48">
        <f>IFERROR(INDEX(TarrifTable,MATCH(Elements!E591,Constants!$V$4:$V$7,0),MATCH(Elements!F591,Constants!$W$3:$AA$3,0)),0)</f>
        <v>0</v>
      </c>
      <c r="L591" s="68">
        <f t="shared" si="20"/>
        <v>0</v>
      </c>
    </row>
    <row r="592" spans="2:12" x14ac:dyDescent="0.85">
      <c r="B592" s="46">
        <v>585</v>
      </c>
      <c r="C592" s="276"/>
      <c r="D592" s="283"/>
      <c r="E592" s="10"/>
      <c r="F592" s="10"/>
      <c r="G592" s="47">
        <v>1</v>
      </c>
      <c r="H592" s="72"/>
      <c r="I592" s="10"/>
      <c r="J592" s="46">
        <f t="shared" si="19"/>
        <v>1</v>
      </c>
      <c r="K592" s="46">
        <f>IFERROR(INDEX(TarrifTable,MATCH(Elements!E592,Constants!$V$4:$V$7,0),MATCH(Elements!F592,Constants!$W$3:$AA$3,0)),0)</f>
        <v>0</v>
      </c>
      <c r="L592" s="69">
        <f t="shared" si="20"/>
        <v>0</v>
      </c>
    </row>
    <row r="593" spans="2:12" x14ac:dyDescent="0.85">
      <c r="B593" s="48">
        <v>586</v>
      </c>
      <c r="C593" s="277"/>
      <c r="D593" s="284"/>
      <c r="E593" s="44"/>
      <c r="F593" s="44"/>
      <c r="G593" s="49">
        <v>1</v>
      </c>
      <c r="H593" s="73"/>
      <c r="I593" s="44"/>
      <c r="J593" s="48">
        <f t="shared" si="19"/>
        <v>1</v>
      </c>
      <c r="K593" s="48">
        <f>IFERROR(INDEX(TarrifTable,MATCH(Elements!E593,Constants!$V$4:$V$7,0),MATCH(Elements!F593,Constants!$W$3:$AA$3,0)),0)</f>
        <v>0</v>
      </c>
      <c r="L593" s="68">
        <f t="shared" si="20"/>
        <v>0</v>
      </c>
    </row>
    <row r="594" spans="2:12" x14ac:dyDescent="0.85">
      <c r="B594" s="46">
        <v>587</v>
      </c>
      <c r="C594" s="276"/>
      <c r="D594" s="283"/>
      <c r="E594" s="10"/>
      <c r="F594" s="10"/>
      <c r="G594" s="47">
        <v>1</v>
      </c>
      <c r="H594" s="72"/>
      <c r="I594" s="10"/>
      <c r="J594" s="46">
        <f t="shared" si="19"/>
        <v>1</v>
      </c>
      <c r="K594" s="46">
        <f>IFERROR(INDEX(TarrifTable,MATCH(Elements!E594,Constants!$V$4:$V$7,0),MATCH(Elements!F594,Constants!$W$3:$AA$3,0)),0)</f>
        <v>0</v>
      </c>
      <c r="L594" s="69">
        <f t="shared" si="20"/>
        <v>0</v>
      </c>
    </row>
    <row r="595" spans="2:12" x14ac:dyDescent="0.85">
      <c r="B595" s="48">
        <v>588</v>
      </c>
      <c r="C595" s="277"/>
      <c r="D595" s="284"/>
      <c r="E595" s="44"/>
      <c r="F595" s="44"/>
      <c r="G595" s="49">
        <v>1</v>
      </c>
      <c r="H595" s="73"/>
      <c r="I595" s="44"/>
      <c r="J595" s="48">
        <f t="shared" si="19"/>
        <v>1</v>
      </c>
      <c r="K595" s="48">
        <f>IFERROR(INDEX(TarrifTable,MATCH(Elements!E595,Constants!$V$4:$V$7,0),MATCH(Elements!F595,Constants!$W$3:$AA$3,0)),0)</f>
        <v>0</v>
      </c>
      <c r="L595" s="68">
        <f t="shared" si="20"/>
        <v>0</v>
      </c>
    </row>
    <row r="596" spans="2:12" x14ac:dyDescent="0.85">
      <c r="B596" s="46">
        <v>589</v>
      </c>
      <c r="C596" s="276"/>
      <c r="D596" s="283"/>
      <c r="E596" s="10"/>
      <c r="F596" s="10"/>
      <c r="G596" s="47">
        <v>1</v>
      </c>
      <c r="H596" s="72"/>
      <c r="I596" s="10"/>
      <c r="J596" s="46">
        <f t="shared" si="19"/>
        <v>1</v>
      </c>
      <c r="K596" s="46">
        <f>IFERROR(INDEX(TarrifTable,MATCH(Elements!E596,Constants!$V$4:$V$7,0),MATCH(Elements!F596,Constants!$W$3:$AA$3,0)),0)</f>
        <v>0</v>
      </c>
      <c r="L596" s="69">
        <f t="shared" si="20"/>
        <v>0</v>
      </c>
    </row>
    <row r="597" spans="2:12" x14ac:dyDescent="0.85">
      <c r="B597" s="48">
        <v>590</v>
      </c>
      <c r="C597" s="277"/>
      <c r="D597" s="284"/>
      <c r="E597" s="44"/>
      <c r="F597" s="44"/>
      <c r="G597" s="49">
        <v>1</v>
      </c>
      <c r="H597" s="73"/>
      <c r="I597" s="44"/>
      <c r="J597" s="48">
        <f t="shared" si="19"/>
        <v>1</v>
      </c>
      <c r="K597" s="48">
        <f>IFERROR(INDEX(TarrifTable,MATCH(Elements!E597,Constants!$V$4:$V$7,0),MATCH(Elements!F597,Constants!$W$3:$AA$3,0)),0)</f>
        <v>0</v>
      </c>
      <c r="L597" s="68">
        <f t="shared" si="20"/>
        <v>0</v>
      </c>
    </row>
    <row r="598" spans="2:12" x14ac:dyDescent="0.85">
      <c r="B598" s="46">
        <v>591</v>
      </c>
      <c r="C598" s="276"/>
      <c r="D598" s="283"/>
      <c r="E598" s="10"/>
      <c r="F598" s="10"/>
      <c r="G598" s="47">
        <v>1</v>
      </c>
      <c r="H598" s="72"/>
      <c r="I598" s="10"/>
      <c r="J598" s="46">
        <f t="shared" si="19"/>
        <v>1</v>
      </c>
      <c r="K598" s="46">
        <f>IFERROR(INDEX(TarrifTable,MATCH(Elements!E598,Constants!$V$4:$V$7,0),MATCH(Elements!F598,Constants!$W$3:$AA$3,0)),0)</f>
        <v>0</v>
      </c>
      <c r="L598" s="69">
        <f t="shared" si="20"/>
        <v>0</v>
      </c>
    </row>
    <row r="599" spans="2:12" x14ac:dyDescent="0.85">
      <c r="B599" s="48">
        <v>592</v>
      </c>
      <c r="C599" s="277"/>
      <c r="D599" s="284"/>
      <c r="E599" s="44"/>
      <c r="F599" s="44"/>
      <c r="G599" s="49">
        <v>1</v>
      </c>
      <c r="H599" s="73"/>
      <c r="I599" s="44"/>
      <c r="J599" s="48">
        <f t="shared" si="19"/>
        <v>1</v>
      </c>
      <c r="K599" s="48">
        <f>IFERROR(INDEX(TarrifTable,MATCH(Elements!E599,Constants!$V$4:$V$7,0),MATCH(Elements!F599,Constants!$W$3:$AA$3,0)),0)</f>
        <v>0</v>
      </c>
      <c r="L599" s="68">
        <f t="shared" si="20"/>
        <v>0</v>
      </c>
    </row>
    <row r="600" spans="2:12" x14ac:dyDescent="0.85">
      <c r="B600" s="46">
        <v>593</v>
      </c>
      <c r="C600" s="276"/>
      <c r="D600" s="283"/>
      <c r="E600" s="10"/>
      <c r="F600" s="10"/>
      <c r="G600" s="47">
        <v>1</v>
      </c>
      <c r="H600" s="72"/>
      <c r="I600" s="10"/>
      <c r="J600" s="46">
        <f t="shared" si="19"/>
        <v>1</v>
      </c>
      <c r="K600" s="46">
        <f>IFERROR(INDEX(TarrifTable,MATCH(Elements!E600,Constants!$V$4:$V$7,0),MATCH(Elements!F600,Constants!$W$3:$AA$3,0)),0)</f>
        <v>0</v>
      </c>
      <c r="L600" s="69">
        <f t="shared" si="20"/>
        <v>0</v>
      </c>
    </row>
    <row r="601" spans="2:12" x14ac:dyDescent="0.85">
      <c r="B601" s="48">
        <v>594</v>
      </c>
      <c r="C601" s="277"/>
      <c r="D601" s="284"/>
      <c r="E601" s="44"/>
      <c r="F601" s="44"/>
      <c r="G601" s="49">
        <v>1</v>
      </c>
      <c r="H601" s="73"/>
      <c r="I601" s="44"/>
      <c r="J601" s="48">
        <f t="shared" si="19"/>
        <v>1</v>
      </c>
      <c r="K601" s="48">
        <f>IFERROR(INDEX(TarrifTable,MATCH(Elements!E601,Constants!$V$4:$V$7,0),MATCH(Elements!F601,Constants!$W$3:$AA$3,0)),0)</f>
        <v>0</v>
      </c>
      <c r="L601" s="68">
        <f t="shared" si="20"/>
        <v>0</v>
      </c>
    </row>
    <row r="602" spans="2:12" x14ac:dyDescent="0.85">
      <c r="B602" s="46">
        <v>595</v>
      </c>
      <c r="C602" s="276"/>
      <c r="D602" s="283"/>
      <c r="E602" s="10"/>
      <c r="F602" s="10"/>
      <c r="G602" s="47">
        <v>1</v>
      </c>
      <c r="H602" s="72"/>
      <c r="I602" s="10"/>
      <c r="J602" s="46">
        <f t="shared" si="19"/>
        <v>1</v>
      </c>
      <c r="K602" s="46">
        <f>IFERROR(INDEX(TarrifTable,MATCH(Elements!E602,Constants!$V$4:$V$7,0),MATCH(Elements!F602,Constants!$W$3:$AA$3,0)),0)</f>
        <v>0</v>
      </c>
      <c r="L602" s="69">
        <f t="shared" si="20"/>
        <v>0</v>
      </c>
    </row>
    <row r="603" spans="2:12" x14ac:dyDescent="0.85">
      <c r="B603" s="48">
        <v>596</v>
      </c>
      <c r="C603" s="277"/>
      <c r="D603" s="284"/>
      <c r="E603" s="44"/>
      <c r="F603" s="44"/>
      <c r="G603" s="49">
        <v>1</v>
      </c>
      <c r="H603" s="73"/>
      <c r="I603" s="44"/>
      <c r="J603" s="48">
        <f t="shared" si="19"/>
        <v>1</v>
      </c>
      <c r="K603" s="48">
        <f>IFERROR(INDEX(TarrifTable,MATCH(Elements!E603,Constants!$V$4:$V$7,0),MATCH(Elements!F603,Constants!$W$3:$AA$3,0)),0)</f>
        <v>0</v>
      </c>
      <c r="L603" s="68">
        <f t="shared" si="20"/>
        <v>0</v>
      </c>
    </row>
    <row r="604" spans="2:12" x14ac:dyDescent="0.85">
      <c r="B604" s="46">
        <v>597</v>
      </c>
      <c r="C604" s="276"/>
      <c r="D604" s="283"/>
      <c r="E604" s="10"/>
      <c r="F604" s="10"/>
      <c r="G604" s="47">
        <v>1</v>
      </c>
      <c r="H604" s="72"/>
      <c r="I604" s="10"/>
      <c r="J604" s="46">
        <f t="shared" si="19"/>
        <v>1</v>
      </c>
      <c r="K604" s="46">
        <f>IFERROR(INDEX(TarrifTable,MATCH(Elements!E604,Constants!$V$4:$V$7,0),MATCH(Elements!F604,Constants!$W$3:$AA$3,0)),0)</f>
        <v>0</v>
      </c>
      <c r="L604" s="69">
        <f t="shared" si="20"/>
        <v>0</v>
      </c>
    </row>
    <row r="605" spans="2:12" x14ac:dyDescent="0.85">
      <c r="B605" s="48">
        <v>598</v>
      </c>
      <c r="C605" s="277"/>
      <c r="D605" s="284"/>
      <c r="E605" s="44"/>
      <c r="F605" s="44"/>
      <c r="G605" s="49">
        <v>1</v>
      </c>
      <c r="H605" s="73"/>
      <c r="I605" s="44"/>
      <c r="J605" s="48">
        <f t="shared" si="19"/>
        <v>1</v>
      </c>
      <c r="K605" s="48">
        <f>IFERROR(INDEX(TarrifTable,MATCH(Elements!E605,Constants!$V$4:$V$7,0),MATCH(Elements!F605,Constants!$W$3:$AA$3,0)),0)</f>
        <v>0</v>
      </c>
      <c r="L605" s="68">
        <f t="shared" si="20"/>
        <v>0</v>
      </c>
    </row>
    <row r="606" spans="2:12" x14ac:dyDescent="0.85">
      <c r="B606" s="46">
        <v>599</v>
      </c>
      <c r="C606" s="276"/>
      <c r="D606" s="283"/>
      <c r="E606" s="10"/>
      <c r="F606" s="10"/>
      <c r="G606" s="47">
        <v>1</v>
      </c>
      <c r="H606" s="72"/>
      <c r="I606" s="10"/>
      <c r="J606" s="46">
        <f t="shared" si="19"/>
        <v>1</v>
      </c>
      <c r="K606" s="46">
        <f>IFERROR(INDEX(TarrifTable,MATCH(Elements!E606,Constants!$V$4:$V$7,0),MATCH(Elements!F606,Constants!$W$3:$AA$3,0)),0)</f>
        <v>0</v>
      </c>
      <c r="L606" s="69">
        <f t="shared" si="20"/>
        <v>0</v>
      </c>
    </row>
    <row r="607" spans="2:12" x14ac:dyDescent="0.85">
      <c r="B607" s="48">
        <v>600</v>
      </c>
      <c r="C607" s="277"/>
      <c r="D607" s="284"/>
      <c r="E607" s="44"/>
      <c r="F607" s="44"/>
      <c r="G607" s="49">
        <v>1</v>
      </c>
      <c r="H607" s="73"/>
      <c r="I607" s="44"/>
      <c r="J607" s="48">
        <f t="shared" si="19"/>
        <v>1</v>
      </c>
      <c r="K607" s="48">
        <f>IFERROR(INDEX(TarrifTable,MATCH(Elements!E607,Constants!$V$4:$V$7,0),MATCH(Elements!F607,Constants!$W$3:$AA$3,0)),0)</f>
        <v>0</v>
      </c>
      <c r="L607" s="68">
        <f t="shared" si="20"/>
        <v>0</v>
      </c>
    </row>
    <row r="608" spans="2:12" x14ac:dyDescent="0.85">
      <c r="B608" s="46">
        <v>601</v>
      </c>
      <c r="C608" s="276"/>
      <c r="D608" s="283"/>
      <c r="E608" s="10"/>
      <c r="F608" s="10"/>
      <c r="G608" s="47">
        <v>1</v>
      </c>
      <c r="H608" s="72"/>
      <c r="I608" s="10"/>
      <c r="J608" s="46">
        <f t="shared" si="19"/>
        <v>1</v>
      </c>
      <c r="K608" s="46">
        <f>IFERROR(INDEX(TarrifTable,MATCH(Elements!E608,Constants!$V$4:$V$7,0),MATCH(Elements!F608,Constants!$W$3:$AA$3,0)),0)</f>
        <v>0</v>
      </c>
      <c r="L608" s="69">
        <f t="shared" si="20"/>
        <v>0</v>
      </c>
    </row>
    <row r="609" spans="2:12" x14ac:dyDescent="0.85">
      <c r="B609" s="48">
        <v>602</v>
      </c>
      <c r="C609" s="277"/>
      <c r="D609" s="284"/>
      <c r="E609" s="44"/>
      <c r="F609" s="44"/>
      <c r="G609" s="49">
        <v>1</v>
      </c>
      <c r="H609" s="73"/>
      <c r="I609" s="44"/>
      <c r="J609" s="48">
        <f t="shared" si="19"/>
        <v>1</v>
      </c>
      <c r="K609" s="48">
        <f>IFERROR(INDEX(TarrifTable,MATCH(Elements!E609,Constants!$V$4:$V$7,0),MATCH(Elements!F609,Constants!$W$3:$AA$3,0)),0)</f>
        <v>0</v>
      </c>
      <c r="L609" s="68">
        <f t="shared" si="20"/>
        <v>0</v>
      </c>
    </row>
    <row r="610" spans="2:12" x14ac:dyDescent="0.85">
      <c r="B610" s="46">
        <v>603</v>
      </c>
      <c r="C610" s="276"/>
      <c r="D610" s="283"/>
      <c r="E610" s="10"/>
      <c r="F610" s="10"/>
      <c r="G610" s="47">
        <v>1</v>
      </c>
      <c r="H610" s="72"/>
      <c r="I610" s="10"/>
      <c r="J610" s="46">
        <f t="shared" si="19"/>
        <v>1</v>
      </c>
      <c r="K610" s="46">
        <f>IFERROR(INDEX(TarrifTable,MATCH(Elements!E610,Constants!$V$4:$V$7,0),MATCH(Elements!F610,Constants!$W$3:$AA$3,0)),0)</f>
        <v>0</v>
      </c>
      <c r="L610" s="69">
        <f t="shared" si="20"/>
        <v>0</v>
      </c>
    </row>
    <row r="611" spans="2:12" x14ac:dyDescent="0.85">
      <c r="B611" s="48">
        <v>604</v>
      </c>
      <c r="C611" s="277"/>
      <c r="D611" s="284"/>
      <c r="E611" s="44"/>
      <c r="F611" s="44"/>
      <c r="G611" s="49">
        <v>1</v>
      </c>
      <c r="H611" s="73"/>
      <c r="I611" s="44"/>
      <c r="J611" s="48">
        <f t="shared" si="19"/>
        <v>1</v>
      </c>
      <c r="K611" s="48">
        <f>IFERROR(INDEX(TarrifTable,MATCH(Elements!E611,Constants!$V$4:$V$7,0),MATCH(Elements!F611,Constants!$W$3:$AA$3,0)),0)</f>
        <v>0</v>
      </c>
      <c r="L611" s="68">
        <f t="shared" si="20"/>
        <v>0</v>
      </c>
    </row>
    <row r="612" spans="2:12" x14ac:dyDescent="0.85">
      <c r="B612" s="46">
        <v>605</v>
      </c>
      <c r="C612" s="276"/>
      <c r="D612" s="283"/>
      <c r="E612" s="10"/>
      <c r="F612" s="10"/>
      <c r="G612" s="47">
        <v>1</v>
      </c>
      <c r="H612" s="72"/>
      <c r="I612" s="10"/>
      <c r="J612" s="46">
        <f t="shared" si="19"/>
        <v>1</v>
      </c>
      <c r="K612" s="46">
        <f>IFERROR(INDEX(TarrifTable,MATCH(Elements!E612,Constants!$V$4:$V$7,0),MATCH(Elements!F612,Constants!$W$3:$AA$3,0)),0)</f>
        <v>0</v>
      </c>
      <c r="L612" s="69">
        <f t="shared" si="20"/>
        <v>0</v>
      </c>
    </row>
    <row r="613" spans="2:12" x14ac:dyDescent="0.85">
      <c r="B613" s="48">
        <v>606</v>
      </c>
      <c r="C613" s="277"/>
      <c r="D613" s="284"/>
      <c r="E613" s="44"/>
      <c r="F613" s="44"/>
      <c r="G613" s="49">
        <v>1</v>
      </c>
      <c r="H613" s="73"/>
      <c r="I613" s="44"/>
      <c r="J613" s="48">
        <f t="shared" si="19"/>
        <v>1</v>
      </c>
      <c r="K613" s="48">
        <f>IFERROR(INDEX(TarrifTable,MATCH(Elements!E613,Constants!$V$4:$V$7,0),MATCH(Elements!F613,Constants!$W$3:$AA$3,0)),0)</f>
        <v>0</v>
      </c>
      <c r="L613" s="68">
        <f t="shared" si="20"/>
        <v>0</v>
      </c>
    </row>
    <row r="614" spans="2:12" x14ac:dyDescent="0.85">
      <c r="B614" s="46">
        <v>607</v>
      </c>
      <c r="C614" s="276"/>
      <c r="D614" s="283"/>
      <c r="E614" s="10"/>
      <c r="F614" s="10"/>
      <c r="G614" s="47">
        <v>1</v>
      </c>
      <c r="H614" s="72"/>
      <c r="I614" s="10"/>
      <c r="J614" s="46">
        <f t="shared" si="19"/>
        <v>1</v>
      </c>
      <c r="K614" s="46">
        <f>IFERROR(INDEX(TarrifTable,MATCH(Elements!E614,Constants!$V$4:$V$7,0),MATCH(Elements!F614,Constants!$W$3:$AA$3,0)),0)</f>
        <v>0</v>
      </c>
      <c r="L614" s="69">
        <f t="shared" si="20"/>
        <v>0</v>
      </c>
    </row>
    <row r="615" spans="2:12" x14ac:dyDescent="0.85">
      <c r="B615" s="48">
        <v>608</v>
      </c>
      <c r="C615" s="277"/>
      <c r="D615" s="284"/>
      <c r="E615" s="44"/>
      <c r="F615" s="44"/>
      <c r="G615" s="49">
        <v>1</v>
      </c>
      <c r="H615" s="73"/>
      <c r="I615" s="44"/>
      <c r="J615" s="48">
        <f t="shared" si="19"/>
        <v>1</v>
      </c>
      <c r="K615" s="48">
        <f>IFERROR(INDEX(TarrifTable,MATCH(Elements!E615,Constants!$V$4:$V$7,0),MATCH(Elements!F615,Constants!$W$3:$AA$3,0)),0)</f>
        <v>0</v>
      </c>
      <c r="L615" s="68">
        <f t="shared" si="20"/>
        <v>0</v>
      </c>
    </row>
    <row r="616" spans="2:12" x14ac:dyDescent="0.85">
      <c r="B616" s="46">
        <v>609</v>
      </c>
      <c r="C616" s="276"/>
      <c r="D616" s="283"/>
      <c r="E616" s="10"/>
      <c r="F616" s="10"/>
      <c r="G616" s="47">
        <v>1</v>
      </c>
      <c r="H616" s="72"/>
      <c r="I616" s="10"/>
      <c r="J616" s="46">
        <f t="shared" si="19"/>
        <v>1</v>
      </c>
      <c r="K616" s="46">
        <f>IFERROR(INDEX(TarrifTable,MATCH(Elements!E616,Constants!$V$4:$V$7,0),MATCH(Elements!F616,Constants!$W$3:$AA$3,0)),0)</f>
        <v>0</v>
      </c>
      <c r="L616" s="69">
        <f t="shared" si="20"/>
        <v>0</v>
      </c>
    </row>
    <row r="617" spans="2:12" x14ac:dyDescent="0.85">
      <c r="B617" s="48">
        <v>610</v>
      </c>
      <c r="C617" s="277"/>
      <c r="D617" s="284"/>
      <c r="E617" s="44"/>
      <c r="F617" s="44"/>
      <c r="G617" s="49">
        <v>1</v>
      </c>
      <c r="H617" s="73"/>
      <c r="I617" s="44"/>
      <c r="J617" s="48">
        <f t="shared" si="19"/>
        <v>1</v>
      </c>
      <c r="K617" s="48">
        <f>IFERROR(INDEX(TarrifTable,MATCH(Elements!E617,Constants!$V$4:$V$7,0),MATCH(Elements!F617,Constants!$W$3:$AA$3,0)),0)</f>
        <v>0</v>
      </c>
      <c r="L617" s="68">
        <f t="shared" si="20"/>
        <v>0</v>
      </c>
    </row>
    <row r="618" spans="2:12" x14ac:dyDescent="0.85">
      <c r="B618" s="46">
        <v>611</v>
      </c>
      <c r="C618" s="276"/>
      <c r="D618" s="283"/>
      <c r="E618" s="10"/>
      <c r="F618" s="10"/>
      <c r="G618" s="47">
        <v>1</v>
      </c>
      <c r="H618" s="72"/>
      <c r="I618" s="10"/>
      <c r="J618" s="46">
        <f t="shared" si="19"/>
        <v>1</v>
      </c>
      <c r="K618" s="46">
        <f>IFERROR(INDEX(TarrifTable,MATCH(Elements!E618,Constants!$V$4:$V$7,0),MATCH(Elements!F618,Constants!$W$3:$AA$3,0)),0)</f>
        <v>0</v>
      </c>
      <c r="L618" s="69">
        <f t="shared" si="20"/>
        <v>0</v>
      </c>
    </row>
    <row r="619" spans="2:12" x14ac:dyDescent="0.85">
      <c r="B619" s="48">
        <v>612</v>
      </c>
      <c r="C619" s="277"/>
      <c r="D619" s="284"/>
      <c r="E619" s="44"/>
      <c r="F619" s="44"/>
      <c r="G619" s="49">
        <v>1</v>
      </c>
      <c r="H619" s="73"/>
      <c r="I619" s="44"/>
      <c r="J619" s="48">
        <f t="shared" si="19"/>
        <v>1</v>
      </c>
      <c r="K619" s="48">
        <f>IFERROR(INDEX(TarrifTable,MATCH(Elements!E619,Constants!$V$4:$V$7,0),MATCH(Elements!F619,Constants!$W$3:$AA$3,0)),0)</f>
        <v>0</v>
      </c>
      <c r="L619" s="68">
        <f t="shared" si="20"/>
        <v>0</v>
      </c>
    </row>
    <row r="620" spans="2:12" x14ac:dyDescent="0.85">
      <c r="B620" s="46">
        <v>613</v>
      </c>
      <c r="C620" s="276"/>
      <c r="D620" s="283"/>
      <c r="E620" s="10"/>
      <c r="F620" s="10"/>
      <c r="G620" s="47">
        <v>1</v>
      </c>
      <c r="H620" s="72"/>
      <c r="I620" s="10"/>
      <c r="J620" s="46">
        <f t="shared" si="19"/>
        <v>1</v>
      </c>
      <c r="K620" s="46">
        <f>IFERROR(INDEX(TarrifTable,MATCH(Elements!E620,Constants!$V$4:$V$7,0),MATCH(Elements!F620,Constants!$W$3:$AA$3,0)),0)</f>
        <v>0</v>
      </c>
      <c r="L620" s="69">
        <f t="shared" si="20"/>
        <v>0</v>
      </c>
    </row>
    <row r="621" spans="2:12" x14ac:dyDescent="0.85">
      <c r="B621" s="48">
        <v>614</v>
      </c>
      <c r="C621" s="277"/>
      <c r="D621" s="284"/>
      <c r="E621" s="44"/>
      <c r="F621" s="44"/>
      <c r="G621" s="49">
        <v>1</v>
      </c>
      <c r="H621" s="73"/>
      <c r="I621" s="44"/>
      <c r="J621" s="48">
        <f t="shared" si="19"/>
        <v>1</v>
      </c>
      <c r="K621" s="48">
        <f>IFERROR(INDEX(TarrifTable,MATCH(Elements!E621,Constants!$V$4:$V$7,0),MATCH(Elements!F621,Constants!$W$3:$AA$3,0)),0)</f>
        <v>0</v>
      </c>
      <c r="L621" s="68">
        <f t="shared" si="20"/>
        <v>0</v>
      </c>
    </row>
    <row r="622" spans="2:12" x14ac:dyDescent="0.85">
      <c r="B622" s="46">
        <v>615</v>
      </c>
      <c r="C622" s="276"/>
      <c r="D622" s="283"/>
      <c r="E622" s="10"/>
      <c r="F622" s="10"/>
      <c r="G622" s="47">
        <v>1</v>
      </c>
      <c r="H622" s="72"/>
      <c r="I622" s="10"/>
      <c r="J622" s="46">
        <f t="shared" si="19"/>
        <v>1</v>
      </c>
      <c r="K622" s="46">
        <f>IFERROR(INDEX(TarrifTable,MATCH(Elements!E622,Constants!$V$4:$V$7,0),MATCH(Elements!F622,Constants!$W$3:$AA$3,0)),0)</f>
        <v>0</v>
      </c>
      <c r="L622" s="69">
        <f t="shared" si="20"/>
        <v>0</v>
      </c>
    </row>
    <row r="623" spans="2:12" x14ac:dyDescent="0.85">
      <c r="B623" s="48">
        <v>616</v>
      </c>
      <c r="C623" s="277"/>
      <c r="D623" s="284"/>
      <c r="E623" s="44"/>
      <c r="F623" s="44"/>
      <c r="G623" s="49">
        <v>1</v>
      </c>
      <c r="H623" s="73"/>
      <c r="I623" s="44"/>
      <c r="J623" s="48">
        <f t="shared" si="19"/>
        <v>1</v>
      </c>
      <c r="K623" s="48">
        <f>IFERROR(INDEX(TarrifTable,MATCH(Elements!E623,Constants!$V$4:$V$7,0),MATCH(Elements!F623,Constants!$W$3:$AA$3,0)),0)</f>
        <v>0</v>
      </c>
      <c r="L623" s="68">
        <f t="shared" si="20"/>
        <v>0</v>
      </c>
    </row>
    <row r="624" spans="2:12" x14ac:dyDescent="0.85">
      <c r="B624" s="46">
        <v>617</v>
      </c>
      <c r="C624" s="276"/>
      <c r="D624" s="283"/>
      <c r="E624" s="10"/>
      <c r="F624" s="10"/>
      <c r="G624" s="47">
        <v>1</v>
      </c>
      <c r="H624" s="72"/>
      <c r="I624" s="10"/>
      <c r="J624" s="46">
        <f t="shared" si="19"/>
        <v>1</v>
      </c>
      <c r="K624" s="46">
        <f>IFERROR(INDEX(TarrifTable,MATCH(Elements!E624,Constants!$V$4:$V$7,0),MATCH(Elements!F624,Constants!$W$3:$AA$3,0)),0)</f>
        <v>0</v>
      </c>
      <c r="L624" s="69">
        <f t="shared" si="20"/>
        <v>0</v>
      </c>
    </row>
    <row r="625" spans="2:12" x14ac:dyDescent="0.85">
      <c r="B625" s="48">
        <v>618</v>
      </c>
      <c r="C625" s="277"/>
      <c r="D625" s="284"/>
      <c r="E625" s="44"/>
      <c r="F625" s="44"/>
      <c r="G625" s="49">
        <v>1</v>
      </c>
      <c r="H625" s="73"/>
      <c r="I625" s="44"/>
      <c r="J625" s="48">
        <f t="shared" si="19"/>
        <v>1</v>
      </c>
      <c r="K625" s="48">
        <f>IFERROR(INDEX(TarrifTable,MATCH(Elements!E625,Constants!$V$4:$V$7,0),MATCH(Elements!F625,Constants!$W$3:$AA$3,0)),0)</f>
        <v>0</v>
      </c>
      <c r="L625" s="68">
        <f t="shared" si="20"/>
        <v>0</v>
      </c>
    </row>
    <row r="626" spans="2:12" x14ac:dyDescent="0.85">
      <c r="B626" s="46">
        <v>619</v>
      </c>
      <c r="C626" s="276"/>
      <c r="D626" s="283"/>
      <c r="E626" s="10"/>
      <c r="F626" s="10"/>
      <c r="G626" s="47">
        <v>1</v>
      </c>
      <c r="H626" s="72"/>
      <c r="I626" s="10"/>
      <c r="J626" s="46">
        <f t="shared" si="19"/>
        <v>1</v>
      </c>
      <c r="K626" s="46">
        <f>IFERROR(INDEX(TarrifTable,MATCH(Elements!E626,Constants!$V$4:$V$7,0),MATCH(Elements!F626,Constants!$W$3:$AA$3,0)),0)</f>
        <v>0</v>
      </c>
      <c r="L626" s="69">
        <f t="shared" si="20"/>
        <v>0</v>
      </c>
    </row>
    <row r="627" spans="2:12" x14ac:dyDescent="0.85">
      <c r="B627" s="48">
        <v>620</v>
      </c>
      <c r="C627" s="277"/>
      <c r="D627" s="284"/>
      <c r="E627" s="44"/>
      <c r="F627" s="44"/>
      <c r="G627" s="49">
        <v>1</v>
      </c>
      <c r="H627" s="73"/>
      <c r="I627" s="44"/>
      <c r="J627" s="48">
        <f t="shared" si="19"/>
        <v>1</v>
      </c>
      <c r="K627" s="48">
        <f>IFERROR(INDEX(TarrifTable,MATCH(Elements!E627,Constants!$V$4:$V$7,0),MATCH(Elements!F627,Constants!$W$3:$AA$3,0)),0)</f>
        <v>0</v>
      </c>
      <c r="L627" s="68">
        <f t="shared" si="20"/>
        <v>0</v>
      </c>
    </row>
    <row r="628" spans="2:12" x14ac:dyDescent="0.85">
      <c r="B628" s="46">
        <v>621</v>
      </c>
      <c r="C628" s="276"/>
      <c r="D628" s="283"/>
      <c r="E628" s="10"/>
      <c r="F628" s="10"/>
      <c r="G628" s="47">
        <v>1</v>
      </c>
      <c r="H628" s="72"/>
      <c r="I628" s="10"/>
      <c r="J628" s="46">
        <f t="shared" si="19"/>
        <v>1</v>
      </c>
      <c r="K628" s="46">
        <f>IFERROR(INDEX(TarrifTable,MATCH(Elements!E628,Constants!$V$4:$V$7,0),MATCH(Elements!F628,Constants!$W$3:$AA$3,0)),0)</f>
        <v>0</v>
      </c>
      <c r="L628" s="69">
        <f t="shared" si="20"/>
        <v>0</v>
      </c>
    </row>
    <row r="629" spans="2:12" x14ac:dyDescent="0.85">
      <c r="B629" s="48">
        <v>622</v>
      </c>
      <c r="C629" s="277"/>
      <c r="D629" s="284"/>
      <c r="E629" s="44"/>
      <c r="F629" s="44"/>
      <c r="G629" s="49">
        <v>1</v>
      </c>
      <c r="H629" s="73"/>
      <c r="I629" s="44"/>
      <c r="J629" s="48">
        <f t="shared" si="19"/>
        <v>1</v>
      </c>
      <c r="K629" s="48">
        <f>IFERROR(INDEX(TarrifTable,MATCH(Elements!E629,Constants!$V$4:$V$7,0),MATCH(Elements!F629,Constants!$W$3:$AA$3,0)),0)</f>
        <v>0</v>
      </c>
      <c r="L629" s="68">
        <f t="shared" si="20"/>
        <v>0</v>
      </c>
    </row>
    <row r="630" spans="2:12" x14ac:dyDescent="0.85">
      <c r="B630" s="46">
        <v>623</v>
      </c>
      <c r="C630" s="276"/>
      <c r="D630" s="283"/>
      <c r="E630" s="10"/>
      <c r="F630" s="10"/>
      <c r="G630" s="47">
        <v>1</v>
      </c>
      <c r="H630" s="72"/>
      <c r="I630" s="10"/>
      <c r="J630" s="46">
        <f t="shared" si="19"/>
        <v>1</v>
      </c>
      <c r="K630" s="46">
        <f>IFERROR(INDEX(TarrifTable,MATCH(Elements!E630,Constants!$V$4:$V$7,0),MATCH(Elements!F630,Constants!$W$3:$AA$3,0)),0)</f>
        <v>0</v>
      </c>
      <c r="L630" s="69">
        <f t="shared" si="20"/>
        <v>0</v>
      </c>
    </row>
    <row r="631" spans="2:12" x14ac:dyDescent="0.85">
      <c r="B631" s="48">
        <v>624</v>
      </c>
      <c r="C631" s="277"/>
      <c r="D631" s="284"/>
      <c r="E631" s="44"/>
      <c r="F631" s="44"/>
      <c r="G631" s="49">
        <v>1</v>
      </c>
      <c r="H631" s="73"/>
      <c r="I631" s="44"/>
      <c r="J631" s="48">
        <f t="shared" si="19"/>
        <v>1</v>
      </c>
      <c r="K631" s="48">
        <f>IFERROR(INDEX(TarrifTable,MATCH(Elements!E631,Constants!$V$4:$V$7,0),MATCH(Elements!F631,Constants!$W$3:$AA$3,0)),0)</f>
        <v>0</v>
      </c>
      <c r="L631" s="68">
        <f t="shared" si="20"/>
        <v>0</v>
      </c>
    </row>
    <row r="632" spans="2:12" x14ac:dyDescent="0.85">
      <c r="B632" s="46">
        <v>625</v>
      </c>
      <c r="C632" s="276"/>
      <c r="D632" s="283"/>
      <c r="E632" s="10"/>
      <c r="F632" s="10"/>
      <c r="G632" s="47">
        <v>1</v>
      </c>
      <c r="H632" s="72"/>
      <c r="I632" s="10"/>
      <c r="J632" s="46">
        <f t="shared" si="19"/>
        <v>1</v>
      </c>
      <c r="K632" s="46">
        <f>IFERROR(INDEX(TarrifTable,MATCH(Elements!E632,Constants!$V$4:$V$7,0),MATCH(Elements!F632,Constants!$W$3:$AA$3,0)),0)</f>
        <v>0</v>
      </c>
      <c r="L632" s="69">
        <f t="shared" si="20"/>
        <v>0</v>
      </c>
    </row>
    <row r="633" spans="2:12" x14ac:dyDescent="0.85">
      <c r="B633" s="48">
        <v>626</v>
      </c>
      <c r="C633" s="277"/>
      <c r="D633" s="284"/>
      <c r="E633" s="44"/>
      <c r="F633" s="44"/>
      <c r="G633" s="49">
        <v>1</v>
      </c>
      <c r="H633" s="73"/>
      <c r="I633" s="44"/>
      <c r="J633" s="48">
        <f t="shared" si="19"/>
        <v>1</v>
      </c>
      <c r="K633" s="48">
        <f>IFERROR(INDEX(TarrifTable,MATCH(Elements!E633,Constants!$V$4:$V$7,0),MATCH(Elements!F633,Constants!$W$3:$AA$3,0)),0)</f>
        <v>0</v>
      </c>
      <c r="L633" s="68">
        <f t="shared" si="20"/>
        <v>0</v>
      </c>
    </row>
    <row r="634" spans="2:12" x14ac:dyDescent="0.85">
      <c r="B634" s="46">
        <v>627</v>
      </c>
      <c r="C634" s="276"/>
      <c r="D634" s="283"/>
      <c r="E634" s="10"/>
      <c r="F634" s="10"/>
      <c r="G634" s="47">
        <v>1</v>
      </c>
      <c r="H634" s="72"/>
      <c r="I634" s="10"/>
      <c r="J634" s="46">
        <f t="shared" si="19"/>
        <v>1</v>
      </c>
      <c r="K634" s="46">
        <f>IFERROR(INDEX(TarrifTable,MATCH(Elements!E634,Constants!$V$4:$V$7,0),MATCH(Elements!F634,Constants!$W$3:$AA$3,0)),0)</f>
        <v>0</v>
      </c>
      <c r="L634" s="69">
        <f t="shared" si="20"/>
        <v>0</v>
      </c>
    </row>
    <row r="635" spans="2:12" x14ac:dyDescent="0.85">
      <c r="B635" s="48">
        <v>628</v>
      </c>
      <c r="C635" s="277"/>
      <c r="D635" s="284"/>
      <c r="E635" s="44"/>
      <c r="F635" s="44"/>
      <c r="G635" s="49">
        <v>1</v>
      </c>
      <c r="H635" s="73"/>
      <c r="I635" s="44"/>
      <c r="J635" s="48">
        <f t="shared" si="19"/>
        <v>1</v>
      </c>
      <c r="K635" s="48">
        <f>IFERROR(INDEX(TarrifTable,MATCH(Elements!E635,Constants!$V$4:$V$7,0),MATCH(Elements!F635,Constants!$W$3:$AA$3,0)),0)</f>
        <v>0</v>
      </c>
      <c r="L635" s="68">
        <f t="shared" si="20"/>
        <v>0</v>
      </c>
    </row>
    <row r="636" spans="2:12" x14ac:dyDescent="0.85">
      <c r="B636" s="46">
        <v>629</v>
      </c>
      <c r="C636" s="276"/>
      <c r="D636" s="283"/>
      <c r="E636" s="10"/>
      <c r="F636" s="10"/>
      <c r="G636" s="47">
        <v>1</v>
      </c>
      <c r="H636" s="72"/>
      <c r="I636" s="10"/>
      <c r="J636" s="46">
        <f t="shared" si="19"/>
        <v>1</v>
      </c>
      <c r="K636" s="46">
        <f>IFERROR(INDEX(TarrifTable,MATCH(Elements!E636,Constants!$V$4:$V$7,0),MATCH(Elements!F636,Constants!$W$3:$AA$3,0)),0)</f>
        <v>0</v>
      </c>
      <c r="L636" s="69">
        <f t="shared" si="20"/>
        <v>0</v>
      </c>
    </row>
    <row r="637" spans="2:12" x14ac:dyDescent="0.85">
      <c r="B637" s="48">
        <v>630</v>
      </c>
      <c r="C637" s="277"/>
      <c r="D637" s="284"/>
      <c r="E637" s="44"/>
      <c r="F637" s="44"/>
      <c r="G637" s="49">
        <v>1</v>
      </c>
      <c r="H637" s="73"/>
      <c r="I637" s="44"/>
      <c r="J637" s="48">
        <f t="shared" si="19"/>
        <v>1</v>
      </c>
      <c r="K637" s="48">
        <f>IFERROR(INDEX(TarrifTable,MATCH(Elements!E637,Constants!$V$4:$V$7,0),MATCH(Elements!F637,Constants!$W$3:$AA$3,0)),0)</f>
        <v>0</v>
      </c>
      <c r="L637" s="68">
        <f t="shared" si="20"/>
        <v>0</v>
      </c>
    </row>
    <row r="638" spans="2:12" x14ac:dyDescent="0.85">
      <c r="B638" s="46">
        <v>631</v>
      </c>
      <c r="C638" s="276"/>
      <c r="D638" s="283"/>
      <c r="E638" s="10"/>
      <c r="F638" s="10"/>
      <c r="G638" s="47">
        <v>1</v>
      </c>
      <c r="H638" s="72"/>
      <c r="I638" s="10"/>
      <c r="J638" s="46">
        <f t="shared" si="19"/>
        <v>1</v>
      </c>
      <c r="K638" s="46">
        <f>IFERROR(INDEX(TarrifTable,MATCH(Elements!E638,Constants!$V$4:$V$7,0),MATCH(Elements!F638,Constants!$W$3:$AA$3,0)),0)</f>
        <v>0</v>
      </c>
      <c r="L638" s="69">
        <f t="shared" si="20"/>
        <v>0</v>
      </c>
    </row>
    <row r="639" spans="2:12" x14ac:dyDescent="0.85">
      <c r="B639" s="48">
        <v>632</v>
      </c>
      <c r="C639" s="277"/>
      <c r="D639" s="284"/>
      <c r="E639" s="44"/>
      <c r="F639" s="44"/>
      <c r="G639" s="49">
        <v>1</v>
      </c>
      <c r="H639" s="73"/>
      <c r="I639" s="44"/>
      <c r="J639" s="48">
        <f t="shared" si="19"/>
        <v>1</v>
      </c>
      <c r="K639" s="48">
        <f>IFERROR(INDEX(TarrifTable,MATCH(Elements!E639,Constants!$V$4:$V$7,0),MATCH(Elements!F639,Constants!$W$3:$AA$3,0)),0)</f>
        <v>0</v>
      </c>
      <c r="L639" s="68">
        <f t="shared" si="20"/>
        <v>0</v>
      </c>
    </row>
    <row r="640" spans="2:12" x14ac:dyDescent="0.85">
      <c r="B640" s="46">
        <v>633</v>
      </c>
      <c r="C640" s="276"/>
      <c r="D640" s="283"/>
      <c r="E640" s="10"/>
      <c r="F640" s="10"/>
      <c r="G640" s="47">
        <v>1</v>
      </c>
      <c r="H640" s="72"/>
      <c r="I640" s="10"/>
      <c r="J640" s="46">
        <f t="shared" si="19"/>
        <v>1</v>
      </c>
      <c r="K640" s="46">
        <f>IFERROR(INDEX(TarrifTable,MATCH(Elements!E640,Constants!$V$4:$V$7,0),MATCH(Elements!F640,Constants!$W$3:$AA$3,0)),0)</f>
        <v>0</v>
      </c>
      <c r="L640" s="69">
        <f t="shared" si="20"/>
        <v>0</v>
      </c>
    </row>
    <row r="641" spans="2:12" x14ac:dyDescent="0.85">
      <c r="B641" s="48">
        <v>634</v>
      </c>
      <c r="C641" s="277"/>
      <c r="D641" s="284"/>
      <c r="E641" s="44"/>
      <c r="F641" s="44"/>
      <c r="G641" s="49">
        <v>1</v>
      </c>
      <c r="H641" s="73"/>
      <c r="I641" s="44"/>
      <c r="J641" s="48">
        <f t="shared" si="19"/>
        <v>1</v>
      </c>
      <c r="K641" s="48">
        <f>IFERROR(INDEX(TarrifTable,MATCH(Elements!E641,Constants!$V$4:$V$7,0),MATCH(Elements!F641,Constants!$W$3:$AA$3,0)),0)</f>
        <v>0</v>
      </c>
      <c r="L641" s="68">
        <f t="shared" si="20"/>
        <v>0</v>
      </c>
    </row>
    <row r="642" spans="2:12" x14ac:dyDescent="0.85">
      <c r="B642" s="46">
        <v>635</v>
      </c>
      <c r="C642" s="276"/>
      <c r="D642" s="283"/>
      <c r="E642" s="10"/>
      <c r="F642" s="10"/>
      <c r="G642" s="47">
        <v>1</v>
      </c>
      <c r="H642" s="72"/>
      <c r="I642" s="10"/>
      <c r="J642" s="46">
        <f t="shared" si="19"/>
        <v>1</v>
      </c>
      <c r="K642" s="46">
        <f>IFERROR(INDEX(TarrifTable,MATCH(Elements!E642,Constants!$V$4:$V$7,0),MATCH(Elements!F642,Constants!$W$3:$AA$3,0)),0)</f>
        <v>0</v>
      </c>
      <c r="L642" s="69">
        <f t="shared" si="20"/>
        <v>0</v>
      </c>
    </row>
    <row r="643" spans="2:12" x14ac:dyDescent="0.85">
      <c r="B643" s="48">
        <v>636</v>
      </c>
      <c r="C643" s="277"/>
      <c r="D643" s="284"/>
      <c r="E643" s="44"/>
      <c r="F643" s="44"/>
      <c r="G643" s="49">
        <v>1</v>
      </c>
      <c r="H643" s="73"/>
      <c r="I643" s="44"/>
      <c r="J643" s="48">
        <f t="shared" si="19"/>
        <v>1</v>
      </c>
      <c r="K643" s="48">
        <f>IFERROR(INDEX(TarrifTable,MATCH(Elements!E643,Constants!$V$4:$V$7,0),MATCH(Elements!F643,Constants!$W$3:$AA$3,0)),0)</f>
        <v>0</v>
      </c>
      <c r="L643" s="68">
        <f t="shared" si="20"/>
        <v>0</v>
      </c>
    </row>
    <row r="644" spans="2:12" x14ac:dyDescent="0.85">
      <c r="B644" s="46">
        <v>637</v>
      </c>
      <c r="C644" s="276"/>
      <c r="D644" s="283"/>
      <c r="E644" s="10"/>
      <c r="F644" s="10"/>
      <c r="G644" s="47">
        <v>1</v>
      </c>
      <c r="H644" s="72"/>
      <c r="I644" s="10"/>
      <c r="J644" s="46">
        <f t="shared" si="19"/>
        <v>1</v>
      </c>
      <c r="K644" s="46">
        <f>IFERROR(INDEX(TarrifTable,MATCH(Elements!E644,Constants!$V$4:$V$7,0),MATCH(Elements!F644,Constants!$W$3:$AA$3,0)),0)</f>
        <v>0</v>
      </c>
      <c r="L644" s="69">
        <f t="shared" si="20"/>
        <v>0</v>
      </c>
    </row>
    <row r="645" spans="2:12" x14ac:dyDescent="0.85">
      <c r="B645" s="48">
        <v>638</v>
      </c>
      <c r="C645" s="277"/>
      <c r="D645" s="284"/>
      <c r="E645" s="44"/>
      <c r="F645" s="44"/>
      <c r="G645" s="49">
        <v>1</v>
      </c>
      <c r="H645" s="73"/>
      <c r="I645" s="44"/>
      <c r="J645" s="48">
        <f t="shared" si="19"/>
        <v>1</v>
      </c>
      <c r="K645" s="48">
        <f>IFERROR(INDEX(TarrifTable,MATCH(Elements!E645,Constants!$V$4:$V$7,0),MATCH(Elements!F645,Constants!$W$3:$AA$3,0)),0)</f>
        <v>0</v>
      </c>
      <c r="L645" s="68">
        <f t="shared" si="20"/>
        <v>0</v>
      </c>
    </row>
    <row r="646" spans="2:12" x14ac:dyDescent="0.85">
      <c r="B646" s="46">
        <v>639</v>
      </c>
      <c r="C646" s="276"/>
      <c r="D646" s="283"/>
      <c r="E646" s="10"/>
      <c r="F646" s="10"/>
      <c r="G646" s="47">
        <v>1</v>
      </c>
      <c r="H646" s="72"/>
      <c r="I646" s="10"/>
      <c r="J646" s="46">
        <f t="shared" si="19"/>
        <v>1</v>
      </c>
      <c r="K646" s="46">
        <f>IFERROR(INDEX(TarrifTable,MATCH(Elements!E646,Constants!$V$4:$V$7,0),MATCH(Elements!F646,Constants!$W$3:$AA$3,0)),0)</f>
        <v>0</v>
      </c>
      <c r="L646" s="69">
        <f t="shared" si="20"/>
        <v>0</v>
      </c>
    </row>
    <row r="647" spans="2:12" x14ac:dyDescent="0.85">
      <c r="B647" s="48">
        <v>640</v>
      </c>
      <c r="C647" s="277"/>
      <c r="D647" s="284"/>
      <c r="E647" s="44"/>
      <c r="F647" s="44"/>
      <c r="G647" s="49">
        <v>1</v>
      </c>
      <c r="H647" s="73"/>
      <c r="I647" s="44"/>
      <c r="J647" s="48">
        <f t="shared" si="19"/>
        <v>1</v>
      </c>
      <c r="K647" s="48">
        <f>IFERROR(INDEX(TarrifTable,MATCH(Elements!E647,Constants!$V$4:$V$7,0),MATCH(Elements!F647,Constants!$W$3:$AA$3,0)),0)</f>
        <v>0</v>
      </c>
      <c r="L647" s="68">
        <f t="shared" si="20"/>
        <v>0</v>
      </c>
    </row>
    <row r="648" spans="2:12" x14ac:dyDescent="0.85">
      <c r="B648" s="46">
        <v>641</v>
      </c>
      <c r="C648" s="276"/>
      <c r="D648" s="283"/>
      <c r="E648" s="10"/>
      <c r="F648" s="10"/>
      <c r="G648" s="47">
        <v>1</v>
      </c>
      <c r="H648" s="72"/>
      <c r="I648" s="10"/>
      <c r="J648" s="46">
        <f t="shared" ref="J648:J711" si="21">IF(ISBLANK(H648),1,H648)</f>
        <v>1</v>
      </c>
      <c r="K648" s="46">
        <f>IFERROR(INDEX(TarrifTable,MATCH(Elements!E648,Constants!$V$4:$V$7,0),MATCH(Elements!F648,Constants!$W$3:$AA$3,0)),0)</f>
        <v>0</v>
      </c>
      <c r="L648" s="69">
        <f t="shared" ref="L648:L711" si="22">J648*G648*K648</f>
        <v>0</v>
      </c>
    </row>
    <row r="649" spans="2:12" x14ac:dyDescent="0.85">
      <c r="B649" s="48">
        <v>642</v>
      </c>
      <c r="C649" s="277"/>
      <c r="D649" s="284"/>
      <c r="E649" s="44"/>
      <c r="F649" s="44"/>
      <c r="G649" s="49">
        <v>1</v>
      </c>
      <c r="H649" s="73"/>
      <c r="I649" s="44"/>
      <c r="J649" s="48">
        <f t="shared" si="21"/>
        <v>1</v>
      </c>
      <c r="K649" s="48">
        <f>IFERROR(INDEX(TarrifTable,MATCH(Elements!E649,Constants!$V$4:$V$7,0),MATCH(Elements!F649,Constants!$W$3:$AA$3,0)),0)</f>
        <v>0</v>
      </c>
      <c r="L649" s="68">
        <f t="shared" si="22"/>
        <v>0</v>
      </c>
    </row>
    <row r="650" spans="2:12" x14ac:dyDescent="0.85">
      <c r="B650" s="46">
        <v>643</v>
      </c>
      <c r="C650" s="276"/>
      <c r="D650" s="283"/>
      <c r="E650" s="10"/>
      <c r="F650" s="10"/>
      <c r="G650" s="47">
        <v>1</v>
      </c>
      <c r="H650" s="72"/>
      <c r="I650" s="10"/>
      <c r="J650" s="46">
        <f t="shared" si="21"/>
        <v>1</v>
      </c>
      <c r="K650" s="46">
        <f>IFERROR(INDEX(TarrifTable,MATCH(Elements!E650,Constants!$V$4:$V$7,0),MATCH(Elements!F650,Constants!$W$3:$AA$3,0)),0)</f>
        <v>0</v>
      </c>
      <c r="L650" s="69">
        <f t="shared" si="22"/>
        <v>0</v>
      </c>
    </row>
    <row r="651" spans="2:12" x14ac:dyDescent="0.85">
      <c r="B651" s="48">
        <v>644</v>
      </c>
      <c r="C651" s="277"/>
      <c r="D651" s="284"/>
      <c r="E651" s="44"/>
      <c r="F651" s="44"/>
      <c r="G651" s="49">
        <v>1</v>
      </c>
      <c r="H651" s="73"/>
      <c r="I651" s="44"/>
      <c r="J651" s="48">
        <f t="shared" si="21"/>
        <v>1</v>
      </c>
      <c r="K651" s="48">
        <f>IFERROR(INDEX(TarrifTable,MATCH(Elements!E651,Constants!$V$4:$V$7,0),MATCH(Elements!F651,Constants!$W$3:$AA$3,0)),0)</f>
        <v>0</v>
      </c>
      <c r="L651" s="68">
        <f t="shared" si="22"/>
        <v>0</v>
      </c>
    </row>
    <row r="652" spans="2:12" x14ac:dyDescent="0.85">
      <c r="B652" s="46">
        <v>645</v>
      </c>
      <c r="C652" s="276"/>
      <c r="D652" s="283"/>
      <c r="E652" s="10"/>
      <c r="F652" s="10"/>
      <c r="G652" s="47">
        <v>1</v>
      </c>
      <c r="H652" s="72"/>
      <c r="I652" s="10"/>
      <c r="J652" s="46">
        <f t="shared" si="21"/>
        <v>1</v>
      </c>
      <c r="K652" s="46">
        <f>IFERROR(INDEX(TarrifTable,MATCH(Elements!E652,Constants!$V$4:$V$7,0),MATCH(Elements!F652,Constants!$W$3:$AA$3,0)),0)</f>
        <v>0</v>
      </c>
      <c r="L652" s="69">
        <f t="shared" si="22"/>
        <v>0</v>
      </c>
    </row>
    <row r="653" spans="2:12" x14ac:dyDescent="0.85">
      <c r="B653" s="48">
        <v>646</v>
      </c>
      <c r="C653" s="277"/>
      <c r="D653" s="284"/>
      <c r="E653" s="44"/>
      <c r="F653" s="44"/>
      <c r="G653" s="49">
        <v>1</v>
      </c>
      <c r="H653" s="73"/>
      <c r="I653" s="44"/>
      <c r="J653" s="48">
        <f t="shared" si="21"/>
        <v>1</v>
      </c>
      <c r="K653" s="48">
        <f>IFERROR(INDEX(TarrifTable,MATCH(Elements!E653,Constants!$V$4:$V$7,0),MATCH(Elements!F653,Constants!$W$3:$AA$3,0)),0)</f>
        <v>0</v>
      </c>
      <c r="L653" s="68">
        <f t="shared" si="22"/>
        <v>0</v>
      </c>
    </row>
    <row r="654" spans="2:12" x14ac:dyDescent="0.85">
      <c r="B654" s="46">
        <v>647</v>
      </c>
      <c r="C654" s="276"/>
      <c r="D654" s="283"/>
      <c r="E654" s="10"/>
      <c r="F654" s="10"/>
      <c r="G654" s="47">
        <v>1</v>
      </c>
      <c r="H654" s="72"/>
      <c r="I654" s="10"/>
      <c r="J654" s="46">
        <f t="shared" si="21"/>
        <v>1</v>
      </c>
      <c r="K654" s="46">
        <f>IFERROR(INDEX(TarrifTable,MATCH(Elements!E654,Constants!$V$4:$V$7,0),MATCH(Elements!F654,Constants!$W$3:$AA$3,0)),0)</f>
        <v>0</v>
      </c>
      <c r="L654" s="69">
        <f t="shared" si="22"/>
        <v>0</v>
      </c>
    </row>
    <row r="655" spans="2:12" x14ac:dyDescent="0.85">
      <c r="B655" s="48">
        <v>648</v>
      </c>
      <c r="C655" s="277"/>
      <c r="D655" s="284"/>
      <c r="E655" s="44"/>
      <c r="F655" s="44"/>
      <c r="G655" s="49">
        <v>1</v>
      </c>
      <c r="H655" s="73"/>
      <c r="I655" s="44"/>
      <c r="J655" s="48">
        <f t="shared" si="21"/>
        <v>1</v>
      </c>
      <c r="K655" s="48">
        <f>IFERROR(INDEX(TarrifTable,MATCH(Elements!E655,Constants!$V$4:$V$7,0),MATCH(Elements!F655,Constants!$W$3:$AA$3,0)),0)</f>
        <v>0</v>
      </c>
      <c r="L655" s="68">
        <f t="shared" si="22"/>
        <v>0</v>
      </c>
    </row>
    <row r="656" spans="2:12" x14ac:dyDescent="0.85">
      <c r="B656" s="46">
        <v>649</v>
      </c>
      <c r="C656" s="276"/>
      <c r="D656" s="283"/>
      <c r="E656" s="10"/>
      <c r="F656" s="10"/>
      <c r="G656" s="47">
        <v>1</v>
      </c>
      <c r="H656" s="72"/>
      <c r="I656" s="10"/>
      <c r="J656" s="46">
        <f t="shared" si="21"/>
        <v>1</v>
      </c>
      <c r="K656" s="46">
        <f>IFERROR(INDEX(TarrifTable,MATCH(Elements!E656,Constants!$V$4:$V$7,0),MATCH(Elements!F656,Constants!$W$3:$AA$3,0)),0)</f>
        <v>0</v>
      </c>
      <c r="L656" s="69">
        <f t="shared" si="22"/>
        <v>0</v>
      </c>
    </row>
    <row r="657" spans="2:12" x14ac:dyDescent="0.85">
      <c r="B657" s="48">
        <v>650</v>
      </c>
      <c r="C657" s="277"/>
      <c r="D657" s="284"/>
      <c r="E657" s="44"/>
      <c r="F657" s="44"/>
      <c r="G657" s="49">
        <v>1</v>
      </c>
      <c r="H657" s="73"/>
      <c r="I657" s="44"/>
      <c r="J657" s="48">
        <f t="shared" si="21"/>
        <v>1</v>
      </c>
      <c r="K657" s="48">
        <f>IFERROR(INDEX(TarrifTable,MATCH(Elements!E657,Constants!$V$4:$V$7,0),MATCH(Elements!F657,Constants!$W$3:$AA$3,0)),0)</f>
        <v>0</v>
      </c>
      <c r="L657" s="68">
        <f t="shared" si="22"/>
        <v>0</v>
      </c>
    </row>
    <row r="658" spans="2:12" x14ac:dyDescent="0.85">
      <c r="B658" s="46">
        <v>651</v>
      </c>
      <c r="C658" s="276"/>
      <c r="D658" s="283"/>
      <c r="E658" s="10"/>
      <c r="F658" s="10"/>
      <c r="G658" s="47">
        <v>1</v>
      </c>
      <c r="H658" s="72"/>
      <c r="I658" s="10"/>
      <c r="J658" s="46">
        <f t="shared" si="21"/>
        <v>1</v>
      </c>
      <c r="K658" s="46">
        <f>IFERROR(INDEX(TarrifTable,MATCH(Elements!E658,Constants!$V$4:$V$7,0),MATCH(Elements!F658,Constants!$W$3:$AA$3,0)),0)</f>
        <v>0</v>
      </c>
      <c r="L658" s="69">
        <f t="shared" si="22"/>
        <v>0</v>
      </c>
    </row>
    <row r="659" spans="2:12" x14ac:dyDescent="0.85">
      <c r="B659" s="48">
        <v>652</v>
      </c>
      <c r="C659" s="277"/>
      <c r="D659" s="284"/>
      <c r="E659" s="44"/>
      <c r="F659" s="44"/>
      <c r="G659" s="49">
        <v>1</v>
      </c>
      <c r="H659" s="73"/>
      <c r="I659" s="44"/>
      <c r="J659" s="48">
        <f t="shared" si="21"/>
        <v>1</v>
      </c>
      <c r="K659" s="48">
        <f>IFERROR(INDEX(TarrifTable,MATCH(Elements!E659,Constants!$V$4:$V$7,0),MATCH(Elements!F659,Constants!$W$3:$AA$3,0)),0)</f>
        <v>0</v>
      </c>
      <c r="L659" s="68">
        <f t="shared" si="22"/>
        <v>0</v>
      </c>
    </row>
    <row r="660" spans="2:12" x14ac:dyDescent="0.85">
      <c r="B660" s="46">
        <v>653</v>
      </c>
      <c r="C660" s="276"/>
      <c r="D660" s="283"/>
      <c r="E660" s="10"/>
      <c r="F660" s="10"/>
      <c r="G660" s="47">
        <v>1</v>
      </c>
      <c r="H660" s="72"/>
      <c r="I660" s="10"/>
      <c r="J660" s="46">
        <f t="shared" si="21"/>
        <v>1</v>
      </c>
      <c r="K660" s="46">
        <f>IFERROR(INDEX(TarrifTable,MATCH(Elements!E660,Constants!$V$4:$V$7,0),MATCH(Elements!F660,Constants!$W$3:$AA$3,0)),0)</f>
        <v>0</v>
      </c>
      <c r="L660" s="69">
        <f t="shared" si="22"/>
        <v>0</v>
      </c>
    </row>
    <row r="661" spans="2:12" x14ac:dyDescent="0.85">
      <c r="B661" s="48">
        <v>654</v>
      </c>
      <c r="C661" s="277"/>
      <c r="D661" s="284"/>
      <c r="E661" s="44"/>
      <c r="F661" s="44"/>
      <c r="G661" s="49">
        <v>1</v>
      </c>
      <c r="H661" s="73"/>
      <c r="I661" s="44"/>
      <c r="J661" s="48">
        <f t="shared" si="21"/>
        <v>1</v>
      </c>
      <c r="K661" s="48">
        <f>IFERROR(INDEX(TarrifTable,MATCH(Elements!E661,Constants!$V$4:$V$7,0),MATCH(Elements!F661,Constants!$W$3:$AA$3,0)),0)</f>
        <v>0</v>
      </c>
      <c r="L661" s="68">
        <f t="shared" si="22"/>
        <v>0</v>
      </c>
    </row>
    <row r="662" spans="2:12" x14ac:dyDescent="0.85">
      <c r="B662" s="46">
        <v>655</v>
      </c>
      <c r="C662" s="276"/>
      <c r="D662" s="283"/>
      <c r="E662" s="10"/>
      <c r="F662" s="10"/>
      <c r="G662" s="47">
        <v>1</v>
      </c>
      <c r="H662" s="72"/>
      <c r="I662" s="10"/>
      <c r="J662" s="46">
        <f t="shared" si="21"/>
        <v>1</v>
      </c>
      <c r="K662" s="46">
        <f>IFERROR(INDEX(TarrifTable,MATCH(Elements!E662,Constants!$V$4:$V$7,0),MATCH(Elements!F662,Constants!$W$3:$AA$3,0)),0)</f>
        <v>0</v>
      </c>
      <c r="L662" s="69">
        <f t="shared" si="22"/>
        <v>0</v>
      </c>
    </row>
    <row r="663" spans="2:12" x14ac:dyDescent="0.85">
      <c r="B663" s="48">
        <v>656</v>
      </c>
      <c r="C663" s="277"/>
      <c r="D663" s="284"/>
      <c r="E663" s="44"/>
      <c r="F663" s="44"/>
      <c r="G663" s="49">
        <v>1</v>
      </c>
      <c r="H663" s="73"/>
      <c r="I663" s="44"/>
      <c r="J663" s="48">
        <f t="shared" si="21"/>
        <v>1</v>
      </c>
      <c r="K663" s="48">
        <f>IFERROR(INDEX(TarrifTable,MATCH(Elements!E663,Constants!$V$4:$V$7,0),MATCH(Elements!F663,Constants!$W$3:$AA$3,0)),0)</f>
        <v>0</v>
      </c>
      <c r="L663" s="68">
        <f t="shared" si="22"/>
        <v>0</v>
      </c>
    </row>
    <row r="664" spans="2:12" x14ac:dyDescent="0.85">
      <c r="B664" s="46">
        <v>657</v>
      </c>
      <c r="C664" s="276"/>
      <c r="D664" s="283"/>
      <c r="E664" s="10"/>
      <c r="F664" s="10"/>
      <c r="G664" s="47">
        <v>1</v>
      </c>
      <c r="H664" s="72"/>
      <c r="I664" s="10"/>
      <c r="J664" s="46">
        <f t="shared" si="21"/>
        <v>1</v>
      </c>
      <c r="K664" s="46">
        <f>IFERROR(INDEX(TarrifTable,MATCH(Elements!E664,Constants!$V$4:$V$7,0),MATCH(Elements!F664,Constants!$W$3:$AA$3,0)),0)</f>
        <v>0</v>
      </c>
      <c r="L664" s="69">
        <f t="shared" si="22"/>
        <v>0</v>
      </c>
    </row>
    <row r="665" spans="2:12" x14ac:dyDescent="0.85">
      <c r="B665" s="48">
        <v>658</v>
      </c>
      <c r="C665" s="277"/>
      <c r="D665" s="284"/>
      <c r="E665" s="44"/>
      <c r="F665" s="44"/>
      <c r="G665" s="49">
        <v>1</v>
      </c>
      <c r="H665" s="73"/>
      <c r="I665" s="44"/>
      <c r="J665" s="48">
        <f t="shared" si="21"/>
        <v>1</v>
      </c>
      <c r="K665" s="48">
        <f>IFERROR(INDEX(TarrifTable,MATCH(Elements!E665,Constants!$V$4:$V$7,0),MATCH(Elements!F665,Constants!$W$3:$AA$3,0)),0)</f>
        <v>0</v>
      </c>
      <c r="L665" s="68">
        <f t="shared" si="22"/>
        <v>0</v>
      </c>
    </row>
    <row r="666" spans="2:12" x14ac:dyDescent="0.85">
      <c r="B666" s="46">
        <v>659</v>
      </c>
      <c r="C666" s="276"/>
      <c r="D666" s="283"/>
      <c r="E666" s="10"/>
      <c r="F666" s="10"/>
      <c r="G666" s="47">
        <v>1</v>
      </c>
      <c r="H666" s="72"/>
      <c r="I666" s="10"/>
      <c r="J666" s="46">
        <f t="shared" si="21"/>
        <v>1</v>
      </c>
      <c r="K666" s="46">
        <f>IFERROR(INDEX(TarrifTable,MATCH(Elements!E666,Constants!$V$4:$V$7,0),MATCH(Elements!F666,Constants!$W$3:$AA$3,0)),0)</f>
        <v>0</v>
      </c>
      <c r="L666" s="69">
        <f t="shared" si="22"/>
        <v>0</v>
      </c>
    </row>
    <row r="667" spans="2:12" x14ac:dyDescent="0.85">
      <c r="B667" s="48">
        <v>660</v>
      </c>
      <c r="C667" s="277"/>
      <c r="D667" s="284"/>
      <c r="E667" s="44"/>
      <c r="F667" s="44"/>
      <c r="G667" s="49">
        <v>1</v>
      </c>
      <c r="H667" s="73"/>
      <c r="I667" s="44"/>
      <c r="J667" s="48">
        <f t="shared" si="21"/>
        <v>1</v>
      </c>
      <c r="K667" s="48">
        <f>IFERROR(INDEX(TarrifTable,MATCH(Elements!E667,Constants!$V$4:$V$7,0),MATCH(Elements!F667,Constants!$W$3:$AA$3,0)),0)</f>
        <v>0</v>
      </c>
      <c r="L667" s="68">
        <f t="shared" si="22"/>
        <v>0</v>
      </c>
    </row>
    <row r="668" spans="2:12" x14ac:dyDescent="0.85">
      <c r="B668" s="46">
        <v>661</v>
      </c>
      <c r="C668" s="276"/>
      <c r="D668" s="283"/>
      <c r="E668" s="10"/>
      <c r="F668" s="10"/>
      <c r="G668" s="47">
        <v>1</v>
      </c>
      <c r="H668" s="72"/>
      <c r="I668" s="10"/>
      <c r="J668" s="46">
        <f t="shared" si="21"/>
        <v>1</v>
      </c>
      <c r="K668" s="46">
        <f>IFERROR(INDEX(TarrifTable,MATCH(Elements!E668,Constants!$V$4:$V$7,0),MATCH(Elements!F668,Constants!$W$3:$AA$3,0)),0)</f>
        <v>0</v>
      </c>
      <c r="L668" s="69">
        <f t="shared" si="22"/>
        <v>0</v>
      </c>
    </row>
    <row r="669" spans="2:12" x14ac:dyDescent="0.85">
      <c r="B669" s="48">
        <v>662</v>
      </c>
      <c r="C669" s="277"/>
      <c r="D669" s="284"/>
      <c r="E669" s="44"/>
      <c r="F669" s="44"/>
      <c r="G669" s="49">
        <v>1</v>
      </c>
      <c r="H669" s="73"/>
      <c r="I669" s="44"/>
      <c r="J669" s="48">
        <f t="shared" si="21"/>
        <v>1</v>
      </c>
      <c r="K669" s="48">
        <f>IFERROR(INDEX(TarrifTable,MATCH(Elements!E669,Constants!$V$4:$V$7,0),MATCH(Elements!F669,Constants!$W$3:$AA$3,0)),0)</f>
        <v>0</v>
      </c>
      <c r="L669" s="68">
        <f t="shared" si="22"/>
        <v>0</v>
      </c>
    </row>
    <row r="670" spans="2:12" x14ac:dyDescent="0.85">
      <c r="B670" s="46">
        <v>663</v>
      </c>
      <c r="C670" s="276"/>
      <c r="D670" s="283"/>
      <c r="E670" s="10"/>
      <c r="F670" s="10"/>
      <c r="G670" s="47">
        <v>1</v>
      </c>
      <c r="H670" s="72"/>
      <c r="I670" s="10"/>
      <c r="J670" s="46">
        <f t="shared" si="21"/>
        <v>1</v>
      </c>
      <c r="K670" s="46">
        <f>IFERROR(INDEX(TarrifTable,MATCH(Elements!E670,Constants!$V$4:$V$7,0),MATCH(Elements!F670,Constants!$W$3:$AA$3,0)),0)</f>
        <v>0</v>
      </c>
      <c r="L670" s="69">
        <f t="shared" si="22"/>
        <v>0</v>
      </c>
    </row>
    <row r="671" spans="2:12" x14ac:dyDescent="0.85">
      <c r="B671" s="48">
        <v>664</v>
      </c>
      <c r="C671" s="277"/>
      <c r="D671" s="284"/>
      <c r="E671" s="44"/>
      <c r="F671" s="44"/>
      <c r="G671" s="49">
        <v>1</v>
      </c>
      <c r="H671" s="73"/>
      <c r="I671" s="44"/>
      <c r="J671" s="48">
        <f t="shared" si="21"/>
        <v>1</v>
      </c>
      <c r="K671" s="48">
        <f>IFERROR(INDEX(TarrifTable,MATCH(Elements!E671,Constants!$V$4:$V$7,0),MATCH(Elements!F671,Constants!$W$3:$AA$3,0)),0)</f>
        <v>0</v>
      </c>
      <c r="L671" s="68">
        <f t="shared" si="22"/>
        <v>0</v>
      </c>
    </row>
    <row r="672" spans="2:12" x14ac:dyDescent="0.85">
      <c r="B672" s="46">
        <v>665</v>
      </c>
      <c r="C672" s="276"/>
      <c r="D672" s="283"/>
      <c r="E672" s="10"/>
      <c r="F672" s="10"/>
      <c r="G672" s="47">
        <v>1</v>
      </c>
      <c r="H672" s="72"/>
      <c r="I672" s="10"/>
      <c r="J672" s="46">
        <f t="shared" si="21"/>
        <v>1</v>
      </c>
      <c r="K672" s="46">
        <f>IFERROR(INDEX(TarrifTable,MATCH(Elements!E672,Constants!$V$4:$V$7,0),MATCH(Elements!F672,Constants!$W$3:$AA$3,0)),0)</f>
        <v>0</v>
      </c>
      <c r="L672" s="69">
        <f t="shared" si="22"/>
        <v>0</v>
      </c>
    </row>
    <row r="673" spans="2:12" x14ac:dyDescent="0.85">
      <c r="B673" s="48">
        <v>666</v>
      </c>
      <c r="C673" s="277"/>
      <c r="D673" s="284"/>
      <c r="E673" s="44"/>
      <c r="F673" s="44"/>
      <c r="G673" s="49">
        <v>1</v>
      </c>
      <c r="H673" s="73"/>
      <c r="I673" s="44"/>
      <c r="J673" s="48">
        <f t="shared" si="21"/>
        <v>1</v>
      </c>
      <c r="K673" s="48">
        <f>IFERROR(INDEX(TarrifTable,MATCH(Elements!E673,Constants!$V$4:$V$7,0),MATCH(Elements!F673,Constants!$W$3:$AA$3,0)),0)</f>
        <v>0</v>
      </c>
      <c r="L673" s="68">
        <f t="shared" si="22"/>
        <v>0</v>
      </c>
    </row>
    <row r="674" spans="2:12" x14ac:dyDescent="0.85">
      <c r="B674" s="46">
        <v>667</v>
      </c>
      <c r="C674" s="276"/>
      <c r="D674" s="283"/>
      <c r="E674" s="10"/>
      <c r="F674" s="10"/>
      <c r="G674" s="47">
        <v>1</v>
      </c>
      <c r="H674" s="72"/>
      <c r="I674" s="10"/>
      <c r="J674" s="46">
        <f t="shared" si="21"/>
        <v>1</v>
      </c>
      <c r="K674" s="46">
        <f>IFERROR(INDEX(TarrifTable,MATCH(Elements!E674,Constants!$V$4:$V$7,0),MATCH(Elements!F674,Constants!$W$3:$AA$3,0)),0)</f>
        <v>0</v>
      </c>
      <c r="L674" s="69">
        <f t="shared" si="22"/>
        <v>0</v>
      </c>
    </row>
    <row r="675" spans="2:12" x14ac:dyDescent="0.85">
      <c r="B675" s="48">
        <v>668</v>
      </c>
      <c r="C675" s="277"/>
      <c r="D675" s="284"/>
      <c r="E675" s="44"/>
      <c r="F675" s="44"/>
      <c r="G675" s="49">
        <v>1</v>
      </c>
      <c r="H675" s="73"/>
      <c r="I675" s="44"/>
      <c r="J675" s="48">
        <f t="shared" si="21"/>
        <v>1</v>
      </c>
      <c r="K675" s="48">
        <f>IFERROR(INDEX(TarrifTable,MATCH(Elements!E675,Constants!$V$4:$V$7,0),MATCH(Elements!F675,Constants!$W$3:$AA$3,0)),0)</f>
        <v>0</v>
      </c>
      <c r="L675" s="68">
        <f t="shared" si="22"/>
        <v>0</v>
      </c>
    </row>
    <row r="676" spans="2:12" x14ac:dyDescent="0.85">
      <c r="B676" s="46">
        <v>669</v>
      </c>
      <c r="C676" s="276"/>
      <c r="D676" s="283"/>
      <c r="E676" s="10"/>
      <c r="F676" s="10"/>
      <c r="G676" s="47">
        <v>1</v>
      </c>
      <c r="H676" s="72"/>
      <c r="I676" s="10"/>
      <c r="J676" s="46">
        <f t="shared" si="21"/>
        <v>1</v>
      </c>
      <c r="K676" s="46">
        <f>IFERROR(INDEX(TarrifTable,MATCH(Elements!E676,Constants!$V$4:$V$7,0),MATCH(Elements!F676,Constants!$W$3:$AA$3,0)),0)</f>
        <v>0</v>
      </c>
      <c r="L676" s="69">
        <f t="shared" si="22"/>
        <v>0</v>
      </c>
    </row>
    <row r="677" spans="2:12" x14ac:dyDescent="0.85">
      <c r="B677" s="48">
        <v>670</v>
      </c>
      <c r="C677" s="277"/>
      <c r="D677" s="284"/>
      <c r="E677" s="44"/>
      <c r="F677" s="44"/>
      <c r="G677" s="49">
        <v>1</v>
      </c>
      <c r="H677" s="73"/>
      <c r="I677" s="44"/>
      <c r="J677" s="48">
        <f t="shared" si="21"/>
        <v>1</v>
      </c>
      <c r="K677" s="48">
        <f>IFERROR(INDEX(TarrifTable,MATCH(Elements!E677,Constants!$V$4:$V$7,0),MATCH(Elements!F677,Constants!$W$3:$AA$3,0)),0)</f>
        <v>0</v>
      </c>
      <c r="L677" s="68">
        <f t="shared" si="22"/>
        <v>0</v>
      </c>
    </row>
    <row r="678" spans="2:12" x14ac:dyDescent="0.85">
      <c r="B678" s="46">
        <v>671</v>
      </c>
      <c r="C678" s="276"/>
      <c r="D678" s="283"/>
      <c r="E678" s="10"/>
      <c r="F678" s="10"/>
      <c r="G678" s="47">
        <v>1</v>
      </c>
      <c r="H678" s="72"/>
      <c r="I678" s="10"/>
      <c r="J678" s="46">
        <f t="shared" si="21"/>
        <v>1</v>
      </c>
      <c r="K678" s="46">
        <f>IFERROR(INDEX(TarrifTable,MATCH(Elements!E678,Constants!$V$4:$V$7,0),MATCH(Elements!F678,Constants!$W$3:$AA$3,0)),0)</f>
        <v>0</v>
      </c>
      <c r="L678" s="69">
        <f t="shared" si="22"/>
        <v>0</v>
      </c>
    </row>
    <row r="679" spans="2:12" x14ac:dyDescent="0.85">
      <c r="B679" s="48">
        <v>672</v>
      </c>
      <c r="C679" s="277"/>
      <c r="D679" s="284"/>
      <c r="E679" s="44"/>
      <c r="F679" s="44"/>
      <c r="G679" s="49">
        <v>1</v>
      </c>
      <c r="H679" s="73"/>
      <c r="I679" s="44"/>
      <c r="J679" s="48">
        <f t="shared" si="21"/>
        <v>1</v>
      </c>
      <c r="K679" s="48">
        <f>IFERROR(INDEX(TarrifTable,MATCH(Elements!E679,Constants!$V$4:$V$7,0),MATCH(Elements!F679,Constants!$W$3:$AA$3,0)),0)</f>
        <v>0</v>
      </c>
      <c r="L679" s="68">
        <f t="shared" si="22"/>
        <v>0</v>
      </c>
    </row>
    <row r="680" spans="2:12" x14ac:dyDescent="0.85">
      <c r="B680" s="46">
        <v>673</v>
      </c>
      <c r="C680" s="276"/>
      <c r="D680" s="283"/>
      <c r="E680" s="10"/>
      <c r="F680" s="10"/>
      <c r="G680" s="47">
        <v>1</v>
      </c>
      <c r="H680" s="72"/>
      <c r="I680" s="10"/>
      <c r="J680" s="46">
        <f t="shared" si="21"/>
        <v>1</v>
      </c>
      <c r="K680" s="46">
        <f>IFERROR(INDEX(TarrifTable,MATCH(Elements!E680,Constants!$V$4:$V$7,0),MATCH(Elements!F680,Constants!$W$3:$AA$3,0)),0)</f>
        <v>0</v>
      </c>
      <c r="L680" s="69">
        <f t="shared" si="22"/>
        <v>0</v>
      </c>
    </row>
    <row r="681" spans="2:12" x14ac:dyDescent="0.85">
      <c r="B681" s="48">
        <v>674</v>
      </c>
      <c r="C681" s="277"/>
      <c r="D681" s="284"/>
      <c r="E681" s="44"/>
      <c r="F681" s="44"/>
      <c r="G681" s="49">
        <v>1</v>
      </c>
      <c r="H681" s="73"/>
      <c r="I681" s="44"/>
      <c r="J681" s="48">
        <f t="shared" si="21"/>
        <v>1</v>
      </c>
      <c r="K681" s="48">
        <f>IFERROR(INDEX(TarrifTable,MATCH(Elements!E681,Constants!$V$4:$V$7,0),MATCH(Elements!F681,Constants!$W$3:$AA$3,0)),0)</f>
        <v>0</v>
      </c>
      <c r="L681" s="68">
        <f t="shared" si="22"/>
        <v>0</v>
      </c>
    </row>
    <row r="682" spans="2:12" x14ac:dyDescent="0.85">
      <c r="B682" s="46">
        <v>675</v>
      </c>
      <c r="C682" s="276"/>
      <c r="D682" s="283"/>
      <c r="E682" s="10"/>
      <c r="F682" s="10"/>
      <c r="G682" s="47">
        <v>1</v>
      </c>
      <c r="H682" s="72"/>
      <c r="I682" s="10"/>
      <c r="J682" s="46">
        <f t="shared" si="21"/>
        <v>1</v>
      </c>
      <c r="K682" s="46">
        <f>IFERROR(INDEX(TarrifTable,MATCH(Elements!E682,Constants!$V$4:$V$7,0),MATCH(Elements!F682,Constants!$W$3:$AA$3,0)),0)</f>
        <v>0</v>
      </c>
      <c r="L682" s="69">
        <f t="shared" si="22"/>
        <v>0</v>
      </c>
    </row>
    <row r="683" spans="2:12" x14ac:dyDescent="0.85">
      <c r="B683" s="48">
        <v>676</v>
      </c>
      <c r="C683" s="277"/>
      <c r="D683" s="284"/>
      <c r="E683" s="44"/>
      <c r="F683" s="44"/>
      <c r="G683" s="49">
        <v>1</v>
      </c>
      <c r="H683" s="73"/>
      <c r="I683" s="44"/>
      <c r="J683" s="48">
        <f t="shared" si="21"/>
        <v>1</v>
      </c>
      <c r="K683" s="48">
        <f>IFERROR(INDEX(TarrifTable,MATCH(Elements!E683,Constants!$V$4:$V$7,0),MATCH(Elements!F683,Constants!$W$3:$AA$3,0)),0)</f>
        <v>0</v>
      </c>
      <c r="L683" s="68">
        <f t="shared" si="22"/>
        <v>0</v>
      </c>
    </row>
    <row r="684" spans="2:12" x14ac:dyDescent="0.85">
      <c r="B684" s="46">
        <v>677</v>
      </c>
      <c r="C684" s="276"/>
      <c r="D684" s="283"/>
      <c r="E684" s="10"/>
      <c r="F684" s="10"/>
      <c r="G684" s="47">
        <v>1</v>
      </c>
      <c r="H684" s="72"/>
      <c r="I684" s="10"/>
      <c r="J684" s="46">
        <f t="shared" si="21"/>
        <v>1</v>
      </c>
      <c r="K684" s="46">
        <f>IFERROR(INDEX(TarrifTable,MATCH(Elements!E684,Constants!$V$4:$V$7,0),MATCH(Elements!F684,Constants!$W$3:$AA$3,0)),0)</f>
        <v>0</v>
      </c>
      <c r="L684" s="69">
        <f t="shared" si="22"/>
        <v>0</v>
      </c>
    </row>
    <row r="685" spans="2:12" x14ac:dyDescent="0.85">
      <c r="B685" s="48">
        <v>678</v>
      </c>
      <c r="C685" s="277"/>
      <c r="D685" s="284"/>
      <c r="E685" s="44"/>
      <c r="F685" s="44"/>
      <c r="G685" s="49">
        <v>1</v>
      </c>
      <c r="H685" s="73"/>
      <c r="I685" s="44"/>
      <c r="J685" s="48">
        <f t="shared" si="21"/>
        <v>1</v>
      </c>
      <c r="K685" s="48">
        <f>IFERROR(INDEX(TarrifTable,MATCH(Elements!E685,Constants!$V$4:$V$7,0),MATCH(Elements!F685,Constants!$W$3:$AA$3,0)),0)</f>
        <v>0</v>
      </c>
      <c r="L685" s="68">
        <f t="shared" si="22"/>
        <v>0</v>
      </c>
    </row>
    <row r="686" spans="2:12" x14ac:dyDescent="0.85">
      <c r="B686" s="46">
        <v>679</v>
      </c>
      <c r="C686" s="276"/>
      <c r="D686" s="283"/>
      <c r="E686" s="10"/>
      <c r="F686" s="10"/>
      <c r="G686" s="47">
        <v>1</v>
      </c>
      <c r="H686" s="72"/>
      <c r="I686" s="10"/>
      <c r="J686" s="46">
        <f t="shared" si="21"/>
        <v>1</v>
      </c>
      <c r="K686" s="46">
        <f>IFERROR(INDEX(TarrifTable,MATCH(Elements!E686,Constants!$V$4:$V$7,0),MATCH(Elements!F686,Constants!$W$3:$AA$3,0)),0)</f>
        <v>0</v>
      </c>
      <c r="L686" s="69">
        <f t="shared" si="22"/>
        <v>0</v>
      </c>
    </row>
    <row r="687" spans="2:12" x14ac:dyDescent="0.85">
      <c r="B687" s="48">
        <v>680</v>
      </c>
      <c r="C687" s="277"/>
      <c r="D687" s="284"/>
      <c r="E687" s="44"/>
      <c r="F687" s="44"/>
      <c r="G687" s="49">
        <v>1</v>
      </c>
      <c r="H687" s="73"/>
      <c r="I687" s="44"/>
      <c r="J687" s="48">
        <f t="shared" si="21"/>
        <v>1</v>
      </c>
      <c r="K687" s="48">
        <f>IFERROR(INDEX(TarrifTable,MATCH(Elements!E687,Constants!$V$4:$V$7,0),MATCH(Elements!F687,Constants!$W$3:$AA$3,0)),0)</f>
        <v>0</v>
      </c>
      <c r="L687" s="68">
        <f t="shared" si="22"/>
        <v>0</v>
      </c>
    </row>
    <row r="688" spans="2:12" x14ac:dyDescent="0.85">
      <c r="B688" s="46">
        <v>681</v>
      </c>
      <c r="C688" s="276"/>
      <c r="D688" s="283"/>
      <c r="E688" s="10"/>
      <c r="F688" s="10"/>
      <c r="G688" s="47">
        <v>1</v>
      </c>
      <c r="H688" s="72"/>
      <c r="I688" s="10"/>
      <c r="J688" s="46">
        <f t="shared" si="21"/>
        <v>1</v>
      </c>
      <c r="K688" s="46">
        <f>IFERROR(INDEX(TarrifTable,MATCH(Elements!E688,Constants!$V$4:$V$7,0),MATCH(Elements!F688,Constants!$W$3:$AA$3,0)),0)</f>
        <v>0</v>
      </c>
      <c r="L688" s="69">
        <f t="shared" si="22"/>
        <v>0</v>
      </c>
    </row>
    <row r="689" spans="2:12" x14ac:dyDescent="0.85">
      <c r="B689" s="48">
        <v>682</v>
      </c>
      <c r="C689" s="277"/>
      <c r="D689" s="284"/>
      <c r="E689" s="44"/>
      <c r="F689" s="44"/>
      <c r="G689" s="49">
        <v>1</v>
      </c>
      <c r="H689" s="73"/>
      <c r="I689" s="44"/>
      <c r="J689" s="48">
        <f t="shared" si="21"/>
        <v>1</v>
      </c>
      <c r="K689" s="48">
        <f>IFERROR(INDEX(TarrifTable,MATCH(Elements!E689,Constants!$V$4:$V$7,0),MATCH(Elements!F689,Constants!$W$3:$AA$3,0)),0)</f>
        <v>0</v>
      </c>
      <c r="L689" s="68">
        <f t="shared" si="22"/>
        <v>0</v>
      </c>
    </row>
    <row r="690" spans="2:12" x14ac:dyDescent="0.85">
      <c r="B690" s="46">
        <v>683</v>
      </c>
      <c r="C690" s="276"/>
      <c r="D690" s="283"/>
      <c r="E690" s="10"/>
      <c r="F690" s="10"/>
      <c r="G690" s="47">
        <v>1</v>
      </c>
      <c r="H690" s="72"/>
      <c r="I690" s="10"/>
      <c r="J690" s="46">
        <f t="shared" si="21"/>
        <v>1</v>
      </c>
      <c r="K690" s="46">
        <f>IFERROR(INDEX(TarrifTable,MATCH(Elements!E690,Constants!$V$4:$V$7,0),MATCH(Elements!F690,Constants!$W$3:$AA$3,0)),0)</f>
        <v>0</v>
      </c>
      <c r="L690" s="69">
        <f t="shared" si="22"/>
        <v>0</v>
      </c>
    </row>
    <row r="691" spans="2:12" x14ac:dyDescent="0.85">
      <c r="B691" s="48">
        <v>684</v>
      </c>
      <c r="C691" s="277"/>
      <c r="D691" s="284"/>
      <c r="E691" s="44"/>
      <c r="F691" s="44"/>
      <c r="G691" s="49">
        <v>1</v>
      </c>
      <c r="H691" s="73"/>
      <c r="I691" s="44"/>
      <c r="J691" s="48">
        <f t="shared" si="21"/>
        <v>1</v>
      </c>
      <c r="K691" s="48">
        <f>IFERROR(INDEX(TarrifTable,MATCH(Elements!E691,Constants!$V$4:$V$7,0),MATCH(Elements!F691,Constants!$W$3:$AA$3,0)),0)</f>
        <v>0</v>
      </c>
      <c r="L691" s="68">
        <f t="shared" si="22"/>
        <v>0</v>
      </c>
    </row>
    <row r="692" spans="2:12" x14ac:dyDescent="0.85">
      <c r="B692" s="46">
        <v>685</v>
      </c>
      <c r="C692" s="276"/>
      <c r="D692" s="283"/>
      <c r="E692" s="10"/>
      <c r="F692" s="10"/>
      <c r="G692" s="47">
        <v>1</v>
      </c>
      <c r="H692" s="72"/>
      <c r="I692" s="10"/>
      <c r="J692" s="46">
        <f t="shared" si="21"/>
        <v>1</v>
      </c>
      <c r="K692" s="46">
        <f>IFERROR(INDEX(TarrifTable,MATCH(Elements!E692,Constants!$V$4:$V$7,0),MATCH(Elements!F692,Constants!$W$3:$AA$3,0)),0)</f>
        <v>0</v>
      </c>
      <c r="L692" s="69">
        <f t="shared" si="22"/>
        <v>0</v>
      </c>
    </row>
    <row r="693" spans="2:12" x14ac:dyDescent="0.85">
      <c r="B693" s="48">
        <v>686</v>
      </c>
      <c r="C693" s="277"/>
      <c r="D693" s="284"/>
      <c r="E693" s="44"/>
      <c r="F693" s="44"/>
      <c r="G693" s="49">
        <v>1</v>
      </c>
      <c r="H693" s="73"/>
      <c r="I693" s="44"/>
      <c r="J693" s="48">
        <f t="shared" si="21"/>
        <v>1</v>
      </c>
      <c r="K693" s="48">
        <f>IFERROR(INDEX(TarrifTable,MATCH(Elements!E693,Constants!$V$4:$V$7,0),MATCH(Elements!F693,Constants!$W$3:$AA$3,0)),0)</f>
        <v>0</v>
      </c>
      <c r="L693" s="68">
        <f t="shared" si="22"/>
        <v>0</v>
      </c>
    </row>
    <row r="694" spans="2:12" x14ac:dyDescent="0.85">
      <c r="B694" s="46">
        <v>687</v>
      </c>
      <c r="C694" s="276"/>
      <c r="D694" s="283"/>
      <c r="E694" s="10"/>
      <c r="F694" s="10"/>
      <c r="G694" s="47">
        <v>1</v>
      </c>
      <c r="H694" s="72"/>
      <c r="I694" s="10"/>
      <c r="J694" s="46">
        <f t="shared" si="21"/>
        <v>1</v>
      </c>
      <c r="K694" s="46">
        <f>IFERROR(INDEX(TarrifTable,MATCH(Elements!E694,Constants!$V$4:$V$7,0),MATCH(Elements!F694,Constants!$W$3:$AA$3,0)),0)</f>
        <v>0</v>
      </c>
      <c r="L694" s="69">
        <f t="shared" si="22"/>
        <v>0</v>
      </c>
    </row>
    <row r="695" spans="2:12" x14ac:dyDescent="0.85">
      <c r="B695" s="48">
        <v>688</v>
      </c>
      <c r="C695" s="277"/>
      <c r="D695" s="284"/>
      <c r="E695" s="44"/>
      <c r="F695" s="44"/>
      <c r="G695" s="49">
        <v>1</v>
      </c>
      <c r="H695" s="73"/>
      <c r="I695" s="44"/>
      <c r="J695" s="48">
        <f t="shared" si="21"/>
        <v>1</v>
      </c>
      <c r="K695" s="48">
        <f>IFERROR(INDEX(TarrifTable,MATCH(Elements!E695,Constants!$V$4:$V$7,0),MATCH(Elements!F695,Constants!$W$3:$AA$3,0)),0)</f>
        <v>0</v>
      </c>
      <c r="L695" s="68">
        <f t="shared" si="22"/>
        <v>0</v>
      </c>
    </row>
    <row r="696" spans="2:12" x14ac:dyDescent="0.85">
      <c r="B696" s="46">
        <v>689</v>
      </c>
      <c r="C696" s="276"/>
      <c r="D696" s="283"/>
      <c r="E696" s="10"/>
      <c r="F696" s="10"/>
      <c r="G696" s="47">
        <v>1</v>
      </c>
      <c r="H696" s="72"/>
      <c r="I696" s="10"/>
      <c r="J696" s="46">
        <f t="shared" si="21"/>
        <v>1</v>
      </c>
      <c r="K696" s="46">
        <f>IFERROR(INDEX(TarrifTable,MATCH(Elements!E696,Constants!$V$4:$V$7,0),MATCH(Elements!F696,Constants!$W$3:$AA$3,0)),0)</f>
        <v>0</v>
      </c>
      <c r="L696" s="69">
        <f t="shared" si="22"/>
        <v>0</v>
      </c>
    </row>
    <row r="697" spans="2:12" x14ac:dyDescent="0.85">
      <c r="B697" s="48">
        <v>690</v>
      </c>
      <c r="C697" s="277"/>
      <c r="D697" s="284"/>
      <c r="E697" s="44"/>
      <c r="F697" s="44"/>
      <c r="G697" s="49">
        <v>1</v>
      </c>
      <c r="H697" s="73"/>
      <c r="I697" s="44"/>
      <c r="J697" s="48">
        <f t="shared" si="21"/>
        <v>1</v>
      </c>
      <c r="K697" s="48">
        <f>IFERROR(INDEX(TarrifTable,MATCH(Elements!E697,Constants!$V$4:$V$7,0),MATCH(Elements!F697,Constants!$W$3:$AA$3,0)),0)</f>
        <v>0</v>
      </c>
      <c r="L697" s="68">
        <f t="shared" si="22"/>
        <v>0</v>
      </c>
    </row>
    <row r="698" spans="2:12" x14ac:dyDescent="0.85">
      <c r="B698" s="46">
        <v>691</v>
      </c>
      <c r="C698" s="276"/>
      <c r="D698" s="283"/>
      <c r="E698" s="10"/>
      <c r="F698" s="10"/>
      <c r="G698" s="47">
        <v>1</v>
      </c>
      <c r="H698" s="72"/>
      <c r="I698" s="10"/>
      <c r="J698" s="46">
        <f t="shared" si="21"/>
        <v>1</v>
      </c>
      <c r="K698" s="46">
        <f>IFERROR(INDEX(TarrifTable,MATCH(Elements!E698,Constants!$V$4:$V$7,0),MATCH(Elements!F698,Constants!$W$3:$AA$3,0)),0)</f>
        <v>0</v>
      </c>
      <c r="L698" s="69">
        <f t="shared" si="22"/>
        <v>0</v>
      </c>
    </row>
    <row r="699" spans="2:12" x14ac:dyDescent="0.85">
      <c r="B699" s="48">
        <v>692</v>
      </c>
      <c r="C699" s="277"/>
      <c r="D699" s="284"/>
      <c r="E699" s="44"/>
      <c r="F699" s="44"/>
      <c r="G699" s="49">
        <v>1</v>
      </c>
      <c r="H699" s="73"/>
      <c r="I699" s="44"/>
      <c r="J699" s="48">
        <f t="shared" si="21"/>
        <v>1</v>
      </c>
      <c r="K699" s="48">
        <f>IFERROR(INDEX(TarrifTable,MATCH(Elements!E699,Constants!$V$4:$V$7,0),MATCH(Elements!F699,Constants!$W$3:$AA$3,0)),0)</f>
        <v>0</v>
      </c>
      <c r="L699" s="68">
        <f t="shared" si="22"/>
        <v>0</v>
      </c>
    </row>
    <row r="700" spans="2:12" x14ac:dyDescent="0.85">
      <c r="B700" s="46">
        <v>693</v>
      </c>
      <c r="C700" s="276"/>
      <c r="D700" s="283"/>
      <c r="E700" s="10"/>
      <c r="F700" s="10"/>
      <c r="G700" s="47">
        <v>1</v>
      </c>
      <c r="H700" s="72"/>
      <c r="I700" s="10"/>
      <c r="J700" s="46">
        <f t="shared" si="21"/>
        <v>1</v>
      </c>
      <c r="K700" s="46">
        <f>IFERROR(INDEX(TarrifTable,MATCH(Elements!E700,Constants!$V$4:$V$7,0),MATCH(Elements!F700,Constants!$W$3:$AA$3,0)),0)</f>
        <v>0</v>
      </c>
      <c r="L700" s="69">
        <f t="shared" si="22"/>
        <v>0</v>
      </c>
    </row>
    <row r="701" spans="2:12" x14ac:dyDescent="0.85">
      <c r="B701" s="48">
        <v>694</v>
      </c>
      <c r="C701" s="277"/>
      <c r="D701" s="284"/>
      <c r="E701" s="44"/>
      <c r="F701" s="44"/>
      <c r="G701" s="49">
        <v>1</v>
      </c>
      <c r="H701" s="73"/>
      <c r="I701" s="44"/>
      <c r="J701" s="48">
        <f t="shared" si="21"/>
        <v>1</v>
      </c>
      <c r="K701" s="48">
        <f>IFERROR(INDEX(TarrifTable,MATCH(Elements!E701,Constants!$V$4:$V$7,0),MATCH(Elements!F701,Constants!$W$3:$AA$3,0)),0)</f>
        <v>0</v>
      </c>
      <c r="L701" s="68">
        <f t="shared" si="22"/>
        <v>0</v>
      </c>
    </row>
    <row r="702" spans="2:12" x14ac:dyDescent="0.85">
      <c r="B702" s="46">
        <v>695</v>
      </c>
      <c r="C702" s="276"/>
      <c r="D702" s="283"/>
      <c r="E702" s="10"/>
      <c r="F702" s="10"/>
      <c r="G702" s="47">
        <v>1</v>
      </c>
      <c r="H702" s="72"/>
      <c r="I702" s="10"/>
      <c r="J702" s="46">
        <f t="shared" si="21"/>
        <v>1</v>
      </c>
      <c r="K702" s="46">
        <f>IFERROR(INDEX(TarrifTable,MATCH(Elements!E702,Constants!$V$4:$V$7,0),MATCH(Elements!F702,Constants!$W$3:$AA$3,0)),0)</f>
        <v>0</v>
      </c>
      <c r="L702" s="69">
        <f t="shared" si="22"/>
        <v>0</v>
      </c>
    </row>
    <row r="703" spans="2:12" x14ac:dyDescent="0.85">
      <c r="B703" s="48">
        <v>696</v>
      </c>
      <c r="C703" s="277"/>
      <c r="D703" s="284"/>
      <c r="E703" s="44"/>
      <c r="F703" s="44"/>
      <c r="G703" s="49">
        <v>1</v>
      </c>
      <c r="H703" s="73"/>
      <c r="I703" s="44"/>
      <c r="J703" s="48">
        <f t="shared" si="21"/>
        <v>1</v>
      </c>
      <c r="K703" s="48">
        <f>IFERROR(INDEX(TarrifTable,MATCH(Elements!E703,Constants!$V$4:$V$7,0),MATCH(Elements!F703,Constants!$W$3:$AA$3,0)),0)</f>
        <v>0</v>
      </c>
      <c r="L703" s="68">
        <f t="shared" si="22"/>
        <v>0</v>
      </c>
    </row>
    <row r="704" spans="2:12" x14ac:dyDescent="0.85">
      <c r="B704" s="46">
        <v>697</v>
      </c>
      <c r="C704" s="276"/>
      <c r="D704" s="283"/>
      <c r="E704" s="10"/>
      <c r="F704" s="10"/>
      <c r="G704" s="47">
        <v>1</v>
      </c>
      <c r="H704" s="72"/>
      <c r="I704" s="10"/>
      <c r="J704" s="46">
        <f t="shared" si="21"/>
        <v>1</v>
      </c>
      <c r="K704" s="46">
        <f>IFERROR(INDEX(TarrifTable,MATCH(Elements!E704,Constants!$V$4:$V$7,0),MATCH(Elements!F704,Constants!$W$3:$AA$3,0)),0)</f>
        <v>0</v>
      </c>
      <c r="L704" s="69">
        <f t="shared" si="22"/>
        <v>0</v>
      </c>
    </row>
    <row r="705" spans="2:12" x14ac:dyDescent="0.85">
      <c r="B705" s="48">
        <v>698</v>
      </c>
      <c r="C705" s="277"/>
      <c r="D705" s="284"/>
      <c r="E705" s="44"/>
      <c r="F705" s="44"/>
      <c r="G705" s="49">
        <v>1</v>
      </c>
      <c r="H705" s="73"/>
      <c r="I705" s="44"/>
      <c r="J705" s="48">
        <f t="shared" si="21"/>
        <v>1</v>
      </c>
      <c r="K705" s="48">
        <f>IFERROR(INDEX(TarrifTable,MATCH(Elements!E705,Constants!$V$4:$V$7,0),MATCH(Elements!F705,Constants!$W$3:$AA$3,0)),0)</f>
        <v>0</v>
      </c>
      <c r="L705" s="68">
        <f t="shared" si="22"/>
        <v>0</v>
      </c>
    </row>
    <row r="706" spans="2:12" x14ac:dyDescent="0.85">
      <c r="B706" s="46">
        <v>699</v>
      </c>
      <c r="C706" s="276"/>
      <c r="D706" s="283"/>
      <c r="E706" s="10"/>
      <c r="F706" s="10"/>
      <c r="G706" s="47">
        <v>1</v>
      </c>
      <c r="H706" s="72"/>
      <c r="I706" s="10"/>
      <c r="J706" s="46">
        <f t="shared" si="21"/>
        <v>1</v>
      </c>
      <c r="K706" s="46">
        <f>IFERROR(INDEX(TarrifTable,MATCH(Elements!E706,Constants!$V$4:$V$7,0),MATCH(Elements!F706,Constants!$W$3:$AA$3,0)),0)</f>
        <v>0</v>
      </c>
      <c r="L706" s="69">
        <f t="shared" si="22"/>
        <v>0</v>
      </c>
    </row>
    <row r="707" spans="2:12" x14ac:dyDescent="0.85">
      <c r="B707" s="48">
        <v>700</v>
      </c>
      <c r="C707" s="277"/>
      <c r="D707" s="284"/>
      <c r="E707" s="44"/>
      <c r="F707" s="44"/>
      <c r="G707" s="49">
        <v>1</v>
      </c>
      <c r="H707" s="73"/>
      <c r="I707" s="44"/>
      <c r="J707" s="48">
        <f t="shared" si="21"/>
        <v>1</v>
      </c>
      <c r="K707" s="48">
        <f>IFERROR(INDEX(TarrifTable,MATCH(Elements!E707,Constants!$V$4:$V$7,0),MATCH(Elements!F707,Constants!$W$3:$AA$3,0)),0)</f>
        <v>0</v>
      </c>
      <c r="L707" s="68">
        <f t="shared" si="22"/>
        <v>0</v>
      </c>
    </row>
    <row r="708" spans="2:12" x14ac:dyDescent="0.85">
      <c r="B708" s="46">
        <v>701</v>
      </c>
      <c r="C708" s="276"/>
      <c r="D708" s="283"/>
      <c r="E708" s="10"/>
      <c r="F708" s="10"/>
      <c r="G708" s="47">
        <v>1</v>
      </c>
      <c r="H708" s="72"/>
      <c r="I708" s="10"/>
      <c r="J708" s="46">
        <f t="shared" si="21"/>
        <v>1</v>
      </c>
      <c r="K708" s="46">
        <f>IFERROR(INDEX(TarrifTable,MATCH(Elements!E708,Constants!$V$4:$V$7,0),MATCH(Elements!F708,Constants!$W$3:$AA$3,0)),0)</f>
        <v>0</v>
      </c>
      <c r="L708" s="69">
        <f t="shared" si="22"/>
        <v>0</v>
      </c>
    </row>
    <row r="709" spans="2:12" x14ac:dyDescent="0.85">
      <c r="B709" s="48">
        <v>702</v>
      </c>
      <c r="C709" s="277"/>
      <c r="D709" s="284"/>
      <c r="E709" s="44"/>
      <c r="F709" s="44"/>
      <c r="G709" s="49">
        <v>1</v>
      </c>
      <c r="H709" s="73"/>
      <c r="I709" s="44"/>
      <c r="J709" s="48">
        <f t="shared" si="21"/>
        <v>1</v>
      </c>
      <c r="K709" s="48">
        <f>IFERROR(INDEX(TarrifTable,MATCH(Elements!E709,Constants!$V$4:$V$7,0),MATCH(Elements!F709,Constants!$W$3:$AA$3,0)),0)</f>
        <v>0</v>
      </c>
      <c r="L709" s="68">
        <f t="shared" si="22"/>
        <v>0</v>
      </c>
    </row>
    <row r="710" spans="2:12" x14ac:dyDescent="0.85">
      <c r="B710" s="46">
        <v>703</v>
      </c>
      <c r="C710" s="276"/>
      <c r="D710" s="283"/>
      <c r="E710" s="10"/>
      <c r="F710" s="10"/>
      <c r="G710" s="47">
        <v>1</v>
      </c>
      <c r="H710" s="72"/>
      <c r="I710" s="10"/>
      <c r="J710" s="46">
        <f t="shared" si="21"/>
        <v>1</v>
      </c>
      <c r="K710" s="46">
        <f>IFERROR(INDEX(TarrifTable,MATCH(Elements!E710,Constants!$V$4:$V$7,0),MATCH(Elements!F710,Constants!$W$3:$AA$3,0)),0)</f>
        <v>0</v>
      </c>
      <c r="L710" s="69">
        <f t="shared" si="22"/>
        <v>0</v>
      </c>
    </row>
    <row r="711" spans="2:12" x14ac:dyDescent="0.85">
      <c r="B711" s="48">
        <v>704</v>
      </c>
      <c r="C711" s="277"/>
      <c r="D711" s="284"/>
      <c r="E711" s="44"/>
      <c r="F711" s="44"/>
      <c r="G711" s="49">
        <v>1</v>
      </c>
      <c r="H711" s="73"/>
      <c r="I711" s="44"/>
      <c r="J711" s="48">
        <f t="shared" si="21"/>
        <v>1</v>
      </c>
      <c r="K711" s="48">
        <f>IFERROR(INDEX(TarrifTable,MATCH(Elements!E711,Constants!$V$4:$V$7,0),MATCH(Elements!F711,Constants!$W$3:$AA$3,0)),0)</f>
        <v>0</v>
      </c>
      <c r="L711" s="68">
        <f t="shared" si="22"/>
        <v>0</v>
      </c>
    </row>
    <row r="712" spans="2:12" x14ac:dyDescent="0.85">
      <c r="B712" s="46">
        <v>705</v>
      </c>
      <c r="C712" s="276"/>
      <c r="D712" s="283"/>
      <c r="E712" s="10"/>
      <c r="F712" s="10"/>
      <c r="G712" s="47">
        <v>1</v>
      </c>
      <c r="H712" s="72"/>
      <c r="I712" s="10"/>
      <c r="J712" s="46">
        <f t="shared" ref="J712:J775" si="23">IF(ISBLANK(H712),1,H712)</f>
        <v>1</v>
      </c>
      <c r="K712" s="46">
        <f>IFERROR(INDEX(TarrifTable,MATCH(Elements!E712,Constants!$V$4:$V$7,0),MATCH(Elements!F712,Constants!$W$3:$AA$3,0)),0)</f>
        <v>0</v>
      </c>
      <c r="L712" s="69">
        <f t="shared" ref="L712:L775" si="24">J712*G712*K712</f>
        <v>0</v>
      </c>
    </row>
    <row r="713" spans="2:12" x14ac:dyDescent="0.85">
      <c r="B713" s="48">
        <v>706</v>
      </c>
      <c r="C713" s="277"/>
      <c r="D713" s="284"/>
      <c r="E713" s="44"/>
      <c r="F713" s="44"/>
      <c r="G713" s="49">
        <v>1</v>
      </c>
      <c r="H713" s="73"/>
      <c r="I713" s="44"/>
      <c r="J713" s="48">
        <f t="shared" si="23"/>
        <v>1</v>
      </c>
      <c r="K713" s="48">
        <f>IFERROR(INDEX(TarrifTable,MATCH(Elements!E713,Constants!$V$4:$V$7,0),MATCH(Elements!F713,Constants!$W$3:$AA$3,0)),0)</f>
        <v>0</v>
      </c>
      <c r="L713" s="68">
        <f t="shared" si="24"/>
        <v>0</v>
      </c>
    </row>
    <row r="714" spans="2:12" x14ac:dyDescent="0.85">
      <c r="B714" s="46">
        <v>707</v>
      </c>
      <c r="C714" s="276"/>
      <c r="D714" s="283"/>
      <c r="E714" s="10"/>
      <c r="F714" s="10"/>
      <c r="G714" s="47">
        <v>1</v>
      </c>
      <c r="H714" s="72"/>
      <c r="I714" s="10"/>
      <c r="J714" s="46">
        <f t="shared" si="23"/>
        <v>1</v>
      </c>
      <c r="K714" s="46">
        <f>IFERROR(INDEX(TarrifTable,MATCH(Elements!E714,Constants!$V$4:$V$7,0),MATCH(Elements!F714,Constants!$W$3:$AA$3,0)),0)</f>
        <v>0</v>
      </c>
      <c r="L714" s="69">
        <f t="shared" si="24"/>
        <v>0</v>
      </c>
    </row>
    <row r="715" spans="2:12" x14ac:dyDescent="0.85">
      <c r="B715" s="48">
        <v>708</v>
      </c>
      <c r="C715" s="277"/>
      <c r="D715" s="284"/>
      <c r="E715" s="44"/>
      <c r="F715" s="44"/>
      <c r="G715" s="49">
        <v>1</v>
      </c>
      <c r="H715" s="73"/>
      <c r="I715" s="44"/>
      <c r="J715" s="48">
        <f t="shared" si="23"/>
        <v>1</v>
      </c>
      <c r="K715" s="48">
        <f>IFERROR(INDEX(TarrifTable,MATCH(Elements!E715,Constants!$V$4:$V$7,0),MATCH(Elements!F715,Constants!$W$3:$AA$3,0)),0)</f>
        <v>0</v>
      </c>
      <c r="L715" s="68">
        <f t="shared" si="24"/>
        <v>0</v>
      </c>
    </row>
    <row r="716" spans="2:12" x14ac:dyDescent="0.85">
      <c r="B716" s="46">
        <v>709</v>
      </c>
      <c r="C716" s="276"/>
      <c r="D716" s="283"/>
      <c r="E716" s="10"/>
      <c r="F716" s="10"/>
      <c r="G716" s="47">
        <v>1</v>
      </c>
      <c r="H716" s="72"/>
      <c r="I716" s="10"/>
      <c r="J716" s="46">
        <f t="shared" si="23"/>
        <v>1</v>
      </c>
      <c r="K716" s="46">
        <f>IFERROR(INDEX(TarrifTable,MATCH(Elements!E716,Constants!$V$4:$V$7,0),MATCH(Elements!F716,Constants!$W$3:$AA$3,0)),0)</f>
        <v>0</v>
      </c>
      <c r="L716" s="69">
        <f t="shared" si="24"/>
        <v>0</v>
      </c>
    </row>
    <row r="717" spans="2:12" x14ac:dyDescent="0.85">
      <c r="B717" s="48">
        <v>710</v>
      </c>
      <c r="C717" s="277"/>
      <c r="D717" s="284"/>
      <c r="E717" s="44"/>
      <c r="F717" s="44"/>
      <c r="G717" s="49">
        <v>1</v>
      </c>
      <c r="H717" s="73"/>
      <c r="I717" s="44"/>
      <c r="J717" s="48">
        <f t="shared" si="23"/>
        <v>1</v>
      </c>
      <c r="K717" s="48">
        <f>IFERROR(INDEX(TarrifTable,MATCH(Elements!E717,Constants!$V$4:$V$7,0),MATCH(Elements!F717,Constants!$W$3:$AA$3,0)),0)</f>
        <v>0</v>
      </c>
      <c r="L717" s="68">
        <f t="shared" si="24"/>
        <v>0</v>
      </c>
    </row>
    <row r="718" spans="2:12" x14ac:dyDescent="0.85">
      <c r="B718" s="46">
        <v>711</v>
      </c>
      <c r="C718" s="276"/>
      <c r="D718" s="283"/>
      <c r="E718" s="10"/>
      <c r="F718" s="10"/>
      <c r="G718" s="47">
        <v>1</v>
      </c>
      <c r="H718" s="72"/>
      <c r="I718" s="10"/>
      <c r="J718" s="46">
        <f t="shared" si="23"/>
        <v>1</v>
      </c>
      <c r="K718" s="46">
        <f>IFERROR(INDEX(TarrifTable,MATCH(Elements!E718,Constants!$V$4:$V$7,0),MATCH(Elements!F718,Constants!$W$3:$AA$3,0)),0)</f>
        <v>0</v>
      </c>
      <c r="L718" s="69">
        <f t="shared" si="24"/>
        <v>0</v>
      </c>
    </row>
    <row r="719" spans="2:12" x14ac:dyDescent="0.85">
      <c r="B719" s="48">
        <v>712</v>
      </c>
      <c r="C719" s="277"/>
      <c r="D719" s="284"/>
      <c r="E719" s="44"/>
      <c r="F719" s="44"/>
      <c r="G719" s="49">
        <v>1</v>
      </c>
      <c r="H719" s="73"/>
      <c r="I719" s="44"/>
      <c r="J719" s="48">
        <f t="shared" si="23"/>
        <v>1</v>
      </c>
      <c r="K719" s="48">
        <f>IFERROR(INDEX(TarrifTable,MATCH(Elements!E719,Constants!$V$4:$V$7,0),MATCH(Elements!F719,Constants!$W$3:$AA$3,0)),0)</f>
        <v>0</v>
      </c>
      <c r="L719" s="68">
        <f t="shared" si="24"/>
        <v>0</v>
      </c>
    </row>
    <row r="720" spans="2:12" x14ac:dyDescent="0.85">
      <c r="B720" s="46">
        <v>713</v>
      </c>
      <c r="C720" s="276"/>
      <c r="D720" s="283"/>
      <c r="E720" s="10"/>
      <c r="F720" s="10"/>
      <c r="G720" s="47">
        <v>1</v>
      </c>
      <c r="H720" s="72"/>
      <c r="I720" s="10"/>
      <c r="J720" s="46">
        <f t="shared" si="23"/>
        <v>1</v>
      </c>
      <c r="K720" s="46">
        <f>IFERROR(INDEX(TarrifTable,MATCH(Elements!E720,Constants!$V$4:$V$7,0),MATCH(Elements!F720,Constants!$W$3:$AA$3,0)),0)</f>
        <v>0</v>
      </c>
      <c r="L720" s="69">
        <f t="shared" si="24"/>
        <v>0</v>
      </c>
    </row>
    <row r="721" spans="2:12" x14ac:dyDescent="0.85">
      <c r="B721" s="48">
        <v>714</v>
      </c>
      <c r="C721" s="277"/>
      <c r="D721" s="284"/>
      <c r="E721" s="44"/>
      <c r="F721" s="44"/>
      <c r="G721" s="49">
        <v>1</v>
      </c>
      <c r="H721" s="73"/>
      <c r="I721" s="44"/>
      <c r="J721" s="48">
        <f t="shared" si="23"/>
        <v>1</v>
      </c>
      <c r="K721" s="48">
        <f>IFERROR(INDEX(TarrifTable,MATCH(Elements!E721,Constants!$V$4:$V$7,0),MATCH(Elements!F721,Constants!$W$3:$AA$3,0)),0)</f>
        <v>0</v>
      </c>
      <c r="L721" s="68">
        <f t="shared" si="24"/>
        <v>0</v>
      </c>
    </row>
    <row r="722" spans="2:12" x14ac:dyDescent="0.85">
      <c r="B722" s="46">
        <v>715</v>
      </c>
      <c r="C722" s="276"/>
      <c r="D722" s="283"/>
      <c r="E722" s="10"/>
      <c r="F722" s="10"/>
      <c r="G722" s="47">
        <v>1</v>
      </c>
      <c r="H722" s="72"/>
      <c r="I722" s="10"/>
      <c r="J722" s="46">
        <f t="shared" si="23"/>
        <v>1</v>
      </c>
      <c r="K722" s="46">
        <f>IFERROR(INDEX(TarrifTable,MATCH(Elements!E722,Constants!$V$4:$V$7,0),MATCH(Elements!F722,Constants!$W$3:$AA$3,0)),0)</f>
        <v>0</v>
      </c>
      <c r="L722" s="69">
        <f t="shared" si="24"/>
        <v>0</v>
      </c>
    </row>
    <row r="723" spans="2:12" x14ac:dyDescent="0.85">
      <c r="B723" s="48">
        <v>716</v>
      </c>
      <c r="C723" s="277"/>
      <c r="D723" s="284"/>
      <c r="E723" s="44"/>
      <c r="F723" s="44"/>
      <c r="G723" s="49">
        <v>1</v>
      </c>
      <c r="H723" s="73"/>
      <c r="I723" s="44"/>
      <c r="J723" s="48">
        <f t="shared" si="23"/>
        <v>1</v>
      </c>
      <c r="K723" s="48">
        <f>IFERROR(INDEX(TarrifTable,MATCH(Elements!E723,Constants!$V$4:$V$7,0),MATCH(Elements!F723,Constants!$W$3:$AA$3,0)),0)</f>
        <v>0</v>
      </c>
      <c r="L723" s="68">
        <f t="shared" si="24"/>
        <v>0</v>
      </c>
    </row>
    <row r="724" spans="2:12" x14ac:dyDescent="0.85">
      <c r="B724" s="46">
        <v>717</v>
      </c>
      <c r="C724" s="276"/>
      <c r="D724" s="283"/>
      <c r="E724" s="10"/>
      <c r="F724" s="10"/>
      <c r="G724" s="47">
        <v>1</v>
      </c>
      <c r="H724" s="72"/>
      <c r="I724" s="10"/>
      <c r="J724" s="46">
        <f t="shared" si="23"/>
        <v>1</v>
      </c>
      <c r="K724" s="46">
        <f>IFERROR(INDEX(TarrifTable,MATCH(Elements!E724,Constants!$V$4:$V$7,0),MATCH(Elements!F724,Constants!$W$3:$AA$3,0)),0)</f>
        <v>0</v>
      </c>
      <c r="L724" s="69">
        <f t="shared" si="24"/>
        <v>0</v>
      </c>
    </row>
    <row r="725" spans="2:12" x14ac:dyDescent="0.85">
      <c r="B725" s="48">
        <v>718</v>
      </c>
      <c r="C725" s="277"/>
      <c r="D725" s="284"/>
      <c r="E725" s="44"/>
      <c r="F725" s="44"/>
      <c r="G725" s="49">
        <v>1</v>
      </c>
      <c r="H725" s="73"/>
      <c r="I725" s="44"/>
      <c r="J725" s="48">
        <f t="shared" si="23"/>
        <v>1</v>
      </c>
      <c r="K725" s="48">
        <f>IFERROR(INDEX(TarrifTable,MATCH(Elements!E725,Constants!$V$4:$V$7,0),MATCH(Elements!F725,Constants!$W$3:$AA$3,0)),0)</f>
        <v>0</v>
      </c>
      <c r="L725" s="68">
        <f t="shared" si="24"/>
        <v>0</v>
      </c>
    </row>
    <row r="726" spans="2:12" x14ac:dyDescent="0.85">
      <c r="B726" s="46">
        <v>719</v>
      </c>
      <c r="C726" s="276"/>
      <c r="D726" s="283"/>
      <c r="E726" s="10"/>
      <c r="F726" s="10"/>
      <c r="G726" s="47">
        <v>1</v>
      </c>
      <c r="H726" s="72"/>
      <c r="I726" s="10"/>
      <c r="J726" s="46">
        <f t="shared" si="23"/>
        <v>1</v>
      </c>
      <c r="K726" s="46">
        <f>IFERROR(INDEX(TarrifTable,MATCH(Elements!E726,Constants!$V$4:$V$7,0),MATCH(Elements!F726,Constants!$W$3:$AA$3,0)),0)</f>
        <v>0</v>
      </c>
      <c r="L726" s="69">
        <f t="shared" si="24"/>
        <v>0</v>
      </c>
    </row>
    <row r="727" spans="2:12" x14ac:dyDescent="0.85">
      <c r="B727" s="48">
        <v>720</v>
      </c>
      <c r="C727" s="277"/>
      <c r="D727" s="284"/>
      <c r="E727" s="44"/>
      <c r="F727" s="44"/>
      <c r="G727" s="49">
        <v>1</v>
      </c>
      <c r="H727" s="73"/>
      <c r="I727" s="44"/>
      <c r="J727" s="48">
        <f t="shared" si="23"/>
        <v>1</v>
      </c>
      <c r="K727" s="48">
        <f>IFERROR(INDEX(TarrifTable,MATCH(Elements!E727,Constants!$V$4:$V$7,0),MATCH(Elements!F727,Constants!$W$3:$AA$3,0)),0)</f>
        <v>0</v>
      </c>
      <c r="L727" s="68">
        <f t="shared" si="24"/>
        <v>0</v>
      </c>
    </row>
    <row r="728" spans="2:12" x14ac:dyDescent="0.85">
      <c r="B728" s="46">
        <v>721</v>
      </c>
      <c r="C728" s="276"/>
      <c r="D728" s="283"/>
      <c r="E728" s="10"/>
      <c r="F728" s="10"/>
      <c r="G728" s="47">
        <v>1</v>
      </c>
      <c r="H728" s="72"/>
      <c r="I728" s="10"/>
      <c r="J728" s="46">
        <f t="shared" si="23"/>
        <v>1</v>
      </c>
      <c r="K728" s="46">
        <f>IFERROR(INDEX(TarrifTable,MATCH(Elements!E728,Constants!$V$4:$V$7,0),MATCH(Elements!F728,Constants!$W$3:$AA$3,0)),0)</f>
        <v>0</v>
      </c>
      <c r="L728" s="69">
        <f t="shared" si="24"/>
        <v>0</v>
      </c>
    </row>
    <row r="729" spans="2:12" x14ac:dyDescent="0.85">
      <c r="B729" s="48">
        <v>722</v>
      </c>
      <c r="C729" s="277"/>
      <c r="D729" s="284"/>
      <c r="E729" s="44"/>
      <c r="F729" s="44"/>
      <c r="G729" s="49">
        <v>1</v>
      </c>
      <c r="H729" s="73"/>
      <c r="I729" s="44"/>
      <c r="J729" s="48">
        <f t="shared" si="23"/>
        <v>1</v>
      </c>
      <c r="K729" s="48">
        <f>IFERROR(INDEX(TarrifTable,MATCH(Elements!E729,Constants!$V$4:$V$7,0),MATCH(Elements!F729,Constants!$W$3:$AA$3,0)),0)</f>
        <v>0</v>
      </c>
      <c r="L729" s="68">
        <f t="shared" si="24"/>
        <v>0</v>
      </c>
    </row>
    <row r="730" spans="2:12" x14ac:dyDescent="0.85">
      <c r="B730" s="46">
        <v>723</v>
      </c>
      <c r="C730" s="276"/>
      <c r="D730" s="283"/>
      <c r="E730" s="10"/>
      <c r="F730" s="10"/>
      <c r="G730" s="47">
        <v>1</v>
      </c>
      <c r="H730" s="72"/>
      <c r="I730" s="10"/>
      <c r="J730" s="46">
        <f t="shared" si="23"/>
        <v>1</v>
      </c>
      <c r="K730" s="46">
        <f>IFERROR(INDEX(TarrifTable,MATCH(Elements!E730,Constants!$V$4:$V$7,0),MATCH(Elements!F730,Constants!$W$3:$AA$3,0)),0)</f>
        <v>0</v>
      </c>
      <c r="L730" s="69">
        <f t="shared" si="24"/>
        <v>0</v>
      </c>
    </row>
    <row r="731" spans="2:12" x14ac:dyDescent="0.85">
      <c r="B731" s="48">
        <v>724</v>
      </c>
      <c r="C731" s="277"/>
      <c r="D731" s="284"/>
      <c r="E731" s="44"/>
      <c r="F731" s="44"/>
      <c r="G731" s="49">
        <v>1</v>
      </c>
      <c r="H731" s="73"/>
      <c r="I731" s="44"/>
      <c r="J731" s="48">
        <f t="shared" si="23"/>
        <v>1</v>
      </c>
      <c r="K731" s="48">
        <f>IFERROR(INDEX(TarrifTable,MATCH(Elements!E731,Constants!$V$4:$V$7,0),MATCH(Elements!F731,Constants!$W$3:$AA$3,0)),0)</f>
        <v>0</v>
      </c>
      <c r="L731" s="68">
        <f t="shared" si="24"/>
        <v>0</v>
      </c>
    </row>
    <row r="732" spans="2:12" x14ac:dyDescent="0.85">
      <c r="B732" s="46">
        <v>725</v>
      </c>
      <c r="C732" s="276"/>
      <c r="D732" s="283"/>
      <c r="E732" s="10"/>
      <c r="F732" s="10"/>
      <c r="G732" s="47">
        <v>1</v>
      </c>
      <c r="H732" s="72"/>
      <c r="I732" s="10"/>
      <c r="J732" s="46">
        <f t="shared" si="23"/>
        <v>1</v>
      </c>
      <c r="K732" s="46">
        <f>IFERROR(INDEX(TarrifTable,MATCH(Elements!E732,Constants!$V$4:$V$7,0),MATCH(Elements!F732,Constants!$W$3:$AA$3,0)),0)</f>
        <v>0</v>
      </c>
      <c r="L732" s="69">
        <f t="shared" si="24"/>
        <v>0</v>
      </c>
    </row>
    <row r="733" spans="2:12" x14ac:dyDescent="0.85">
      <c r="B733" s="48">
        <v>726</v>
      </c>
      <c r="C733" s="277"/>
      <c r="D733" s="284"/>
      <c r="E733" s="44"/>
      <c r="F733" s="44"/>
      <c r="G733" s="49">
        <v>1</v>
      </c>
      <c r="H733" s="73"/>
      <c r="I733" s="44"/>
      <c r="J733" s="48">
        <f t="shared" si="23"/>
        <v>1</v>
      </c>
      <c r="K733" s="48">
        <f>IFERROR(INDEX(TarrifTable,MATCH(Elements!E733,Constants!$V$4:$V$7,0),MATCH(Elements!F733,Constants!$W$3:$AA$3,0)),0)</f>
        <v>0</v>
      </c>
      <c r="L733" s="68">
        <f t="shared" si="24"/>
        <v>0</v>
      </c>
    </row>
    <row r="734" spans="2:12" x14ac:dyDescent="0.85">
      <c r="B734" s="46">
        <v>727</v>
      </c>
      <c r="C734" s="276"/>
      <c r="D734" s="283"/>
      <c r="E734" s="10"/>
      <c r="F734" s="10"/>
      <c r="G734" s="47">
        <v>1</v>
      </c>
      <c r="H734" s="72"/>
      <c r="I734" s="10"/>
      <c r="J734" s="46">
        <f t="shared" si="23"/>
        <v>1</v>
      </c>
      <c r="K734" s="46">
        <f>IFERROR(INDEX(TarrifTable,MATCH(Elements!E734,Constants!$V$4:$V$7,0),MATCH(Elements!F734,Constants!$W$3:$AA$3,0)),0)</f>
        <v>0</v>
      </c>
      <c r="L734" s="69">
        <f t="shared" si="24"/>
        <v>0</v>
      </c>
    </row>
    <row r="735" spans="2:12" x14ac:dyDescent="0.85">
      <c r="B735" s="48">
        <v>728</v>
      </c>
      <c r="C735" s="277"/>
      <c r="D735" s="284"/>
      <c r="E735" s="44"/>
      <c r="F735" s="44"/>
      <c r="G735" s="49">
        <v>1</v>
      </c>
      <c r="H735" s="73"/>
      <c r="I735" s="44"/>
      <c r="J735" s="48">
        <f t="shared" si="23"/>
        <v>1</v>
      </c>
      <c r="K735" s="48">
        <f>IFERROR(INDEX(TarrifTable,MATCH(Elements!E735,Constants!$V$4:$V$7,0),MATCH(Elements!F735,Constants!$W$3:$AA$3,0)),0)</f>
        <v>0</v>
      </c>
      <c r="L735" s="68">
        <f t="shared" si="24"/>
        <v>0</v>
      </c>
    </row>
    <row r="736" spans="2:12" x14ac:dyDescent="0.85">
      <c r="B736" s="46">
        <v>729</v>
      </c>
      <c r="C736" s="276"/>
      <c r="D736" s="283"/>
      <c r="E736" s="10"/>
      <c r="F736" s="10"/>
      <c r="G736" s="47">
        <v>1</v>
      </c>
      <c r="H736" s="72"/>
      <c r="I736" s="10"/>
      <c r="J736" s="46">
        <f t="shared" si="23"/>
        <v>1</v>
      </c>
      <c r="K736" s="46">
        <f>IFERROR(INDEX(TarrifTable,MATCH(Elements!E736,Constants!$V$4:$V$7,0),MATCH(Elements!F736,Constants!$W$3:$AA$3,0)),0)</f>
        <v>0</v>
      </c>
      <c r="L736" s="69">
        <f t="shared" si="24"/>
        <v>0</v>
      </c>
    </row>
    <row r="737" spans="2:12" x14ac:dyDescent="0.85">
      <c r="B737" s="48">
        <v>730</v>
      </c>
      <c r="C737" s="277"/>
      <c r="D737" s="284"/>
      <c r="E737" s="44"/>
      <c r="F737" s="44"/>
      <c r="G737" s="49">
        <v>1</v>
      </c>
      <c r="H737" s="73"/>
      <c r="I737" s="44"/>
      <c r="J737" s="48">
        <f t="shared" si="23"/>
        <v>1</v>
      </c>
      <c r="K737" s="48">
        <f>IFERROR(INDEX(TarrifTable,MATCH(Elements!E737,Constants!$V$4:$V$7,0),MATCH(Elements!F737,Constants!$W$3:$AA$3,0)),0)</f>
        <v>0</v>
      </c>
      <c r="L737" s="68">
        <f t="shared" si="24"/>
        <v>0</v>
      </c>
    </row>
    <row r="738" spans="2:12" x14ac:dyDescent="0.85">
      <c r="B738" s="46">
        <v>731</v>
      </c>
      <c r="C738" s="276"/>
      <c r="D738" s="283"/>
      <c r="E738" s="10"/>
      <c r="F738" s="10"/>
      <c r="G738" s="47">
        <v>1</v>
      </c>
      <c r="H738" s="72"/>
      <c r="I738" s="10"/>
      <c r="J738" s="46">
        <f t="shared" si="23"/>
        <v>1</v>
      </c>
      <c r="K738" s="46">
        <f>IFERROR(INDEX(TarrifTable,MATCH(Elements!E738,Constants!$V$4:$V$7,0),MATCH(Elements!F738,Constants!$W$3:$AA$3,0)),0)</f>
        <v>0</v>
      </c>
      <c r="L738" s="69">
        <f t="shared" si="24"/>
        <v>0</v>
      </c>
    </row>
    <row r="739" spans="2:12" x14ac:dyDescent="0.85">
      <c r="B739" s="48">
        <v>732</v>
      </c>
      <c r="C739" s="277"/>
      <c r="D739" s="284"/>
      <c r="E739" s="44"/>
      <c r="F739" s="44"/>
      <c r="G739" s="49">
        <v>1</v>
      </c>
      <c r="H739" s="73"/>
      <c r="I739" s="44"/>
      <c r="J739" s="48">
        <f t="shared" si="23"/>
        <v>1</v>
      </c>
      <c r="K739" s="48">
        <f>IFERROR(INDEX(TarrifTable,MATCH(Elements!E739,Constants!$V$4:$V$7,0),MATCH(Elements!F739,Constants!$W$3:$AA$3,0)),0)</f>
        <v>0</v>
      </c>
      <c r="L739" s="68">
        <f t="shared" si="24"/>
        <v>0</v>
      </c>
    </row>
    <row r="740" spans="2:12" x14ac:dyDescent="0.85">
      <c r="B740" s="46">
        <v>733</v>
      </c>
      <c r="C740" s="276"/>
      <c r="D740" s="283"/>
      <c r="E740" s="10"/>
      <c r="F740" s="10"/>
      <c r="G740" s="47">
        <v>1</v>
      </c>
      <c r="H740" s="72"/>
      <c r="I740" s="10"/>
      <c r="J740" s="46">
        <f t="shared" si="23"/>
        <v>1</v>
      </c>
      <c r="K740" s="46">
        <f>IFERROR(INDEX(TarrifTable,MATCH(Elements!E740,Constants!$V$4:$V$7,0),MATCH(Elements!F740,Constants!$W$3:$AA$3,0)),0)</f>
        <v>0</v>
      </c>
      <c r="L740" s="69">
        <f t="shared" si="24"/>
        <v>0</v>
      </c>
    </row>
    <row r="741" spans="2:12" x14ac:dyDescent="0.85">
      <c r="B741" s="48">
        <v>734</v>
      </c>
      <c r="C741" s="277"/>
      <c r="D741" s="284"/>
      <c r="E741" s="44"/>
      <c r="F741" s="44"/>
      <c r="G741" s="49">
        <v>1</v>
      </c>
      <c r="H741" s="73"/>
      <c r="I741" s="44"/>
      <c r="J741" s="48">
        <f t="shared" si="23"/>
        <v>1</v>
      </c>
      <c r="K741" s="48">
        <f>IFERROR(INDEX(TarrifTable,MATCH(Elements!E741,Constants!$V$4:$V$7,0),MATCH(Elements!F741,Constants!$W$3:$AA$3,0)),0)</f>
        <v>0</v>
      </c>
      <c r="L741" s="68">
        <f t="shared" si="24"/>
        <v>0</v>
      </c>
    </row>
    <row r="742" spans="2:12" x14ac:dyDescent="0.85">
      <c r="B742" s="46">
        <v>735</v>
      </c>
      <c r="C742" s="276"/>
      <c r="D742" s="283"/>
      <c r="E742" s="10"/>
      <c r="F742" s="10"/>
      <c r="G742" s="47">
        <v>1</v>
      </c>
      <c r="H742" s="72"/>
      <c r="I742" s="10"/>
      <c r="J742" s="46">
        <f t="shared" si="23"/>
        <v>1</v>
      </c>
      <c r="K742" s="46">
        <f>IFERROR(INDEX(TarrifTable,MATCH(Elements!E742,Constants!$V$4:$V$7,0),MATCH(Elements!F742,Constants!$W$3:$AA$3,0)),0)</f>
        <v>0</v>
      </c>
      <c r="L742" s="69">
        <f t="shared" si="24"/>
        <v>0</v>
      </c>
    </row>
    <row r="743" spans="2:12" x14ac:dyDescent="0.85">
      <c r="B743" s="48">
        <v>736</v>
      </c>
      <c r="C743" s="277"/>
      <c r="D743" s="284"/>
      <c r="E743" s="44"/>
      <c r="F743" s="44"/>
      <c r="G743" s="49">
        <v>1</v>
      </c>
      <c r="H743" s="73"/>
      <c r="I743" s="44"/>
      <c r="J743" s="48">
        <f t="shared" si="23"/>
        <v>1</v>
      </c>
      <c r="K743" s="48">
        <f>IFERROR(INDEX(TarrifTable,MATCH(Elements!E743,Constants!$V$4:$V$7,0),MATCH(Elements!F743,Constants!$W$3:$AA$3,0)),0)</f>
        <v>0</v>
      </c>
      <c r="L743" s="68">
        <f t="shared" si="24"/>
        <v>0</v>
      </c>
    </row>
    <row r="744" spans="2:12" x14ac:dyDescent="0.85">
      <c r="B744" s="46">
        <v>737</v>
      </c>
      <c r="C744" s="276"/>
      <c r="D744" s="283"/>
      <c r="E744" s="10"/>
      <c r="F744" s="10"/>
      <c r="G744" s="47">
        <v>1</v>
      </c>
      <c r="H744" s="72"/>
      <c r="I744" s="10"/>
      <c r="J744" s="46">
        <f t="shared" si="23"/>
        <v>1</v>
      </c>
      <c r="K744" s="46">
        <f>IFERROR(INDEX(TarrifTable,MATCH(Elements!E744,Constants!$V$4:$V$7,0),MATCH(Elements!F744,Constants!$W$3:$AA$3,0)),0)</f>
        <v>0</v>
      </c>
      <c r="L744" s="69">
        <f t="shared" si="24"/>
        <v>0</v>
      </c>
    </row>
    <row r="745" spans="2:12" x14ac:dyDescent="0.85">
      <c r="B745" s="48">
        <v>738</v>
      </c>
      <c r="C745" s="277"/>
      <c r="D745" s="284"/>
      <c r="E745" s="44"/>
      <c r="F745" s="44"/>
      <c r="G745" s="49">
        <v>1</v>
      </c>
      <c r="H745" s="73"/>
      <c r="I745" s="44"/>
      <c r="J745" s="48">
        <f t="shared" si="23"/>
        <v>1</v>
      </c>
      <c r="K745" s="48">
        <f>IFERROR(INDEX(TarrifTable,MATCH(Elements!E745,Constants!$V$4:$V$7,0),MATCH(Elements!F745,Constants!$W$3:$AA$3,0)),0)</f>
        <v>0</v>
      </c>
      <c r="L745" s="68">
        <f t="shared" si="24"/>
        <v>0</v>
      </c>
    </row>
    <row r="746" spans="2:12" x14ac:dyDescent="0.85">
      <c r="B746" s="46">
        <v>739</v>
      </c>
      <c r="C746" s="276"/>
      <c r="D746" s="283"/>
      <c r="E746" s="10"/>
      <c r="F746" s="10"/>
      <c r="G746" s="47">
        <v>1</v>
      </c>
      <c r="H746" s="72"/>
      <c r="I746" s="10"/>
      <c r="J746" s="46">
        <f t="shared" si="23"/>
        <v>1</v>
      </c>
      <c r="K746" s="46">
        <f>IFERROR(INDEX(TarrifTable,MATCH(Elements!E746,Constants!$V$4:$V$7,0),MATCH(Elements!F746,Constants!$W$3:$AA$3,0)),0)</f>
        <v>0</v>
      </c>
      <c r="L746" s="69">
        <f t="shared" si="24"/>
        <v>0</v>
      </c>
    </row>
    <row r="747" spans="2:12" x14ac:dyDescent="0.85">
      <c r="B747" s="48">
        <v>740</v>
      </c>
      <c r="C747" s="277"/>
      <c r="D747" s="284"/>
      <c r="E747" s="44"/>
      <c r="F747" s="44"/>
      <c r="G747" s="49">
        <v>1</v>
      </c>
      <c r="H747" s="73"/>
      <c r="I747" s="44"/>
      <c r="J747" s="48">
        <f t="shared" si="23"/>
        <v>1</v>
      </c>
      <c r="K747" s="48">
        <f>IFERROR(INDEX(TarrifTable,MATCH(Elements!E747,Constants!$V$4:$V$7,0),MATCH(Elements!F747,Constants!$W$3:$AA$3,0)),0)</f>
        <v>0</v>
      </c>
      <c r="L747" s="68">
        <f t="shared" si="24"/>
        <v>0</v>
      </c>
    </row>
    <row r="748" spans="2:12" x14ac:dyDescent="0.85">
      <c r="B748" s="46">
        <v>741</v>
      </c>
      <c r="C748" s="276"/>
      <c r="D748" s="283"/>
      <c r="E748" s="10"/>
      <c r="F748" s="10"/>
      <c r="G748" s="47">
        <v>1</v>
      </c>
      <c r="H748" s="72"/>
      <c r="I748" s="10"/>
      <c r="J748" s="46">
        <f t="shared" si="23"/>
        <v>1</v>
      </c>
      <c r="K748" s="46">
        <f>IFERROR(INDEX(TarrifTable,MATCH(Elements!E748,Constants!$V$4:$V$7,0),MATCH(Elements!F748,Constants!$W$3:$AA$3,0)),0)</f>
        <v>0</v>
      </c>
      <c r="L748" s="69">
        <f t="shared" si="24"/>
        <v>0</v>
      </c>
    </row>
    <row r="749" spans="2:12" x14ac:dyDescent="0.85">
      <c r="B749" s="48">
        <v>742</v>
      </c>
      <c r="C749" s="277"/>
      <c r="D749" s="284"/>
      <c r="E749" s="44"/>
      <c r="F749" s="44"/>
      <c r="G749" s="49">
        <v>1</v>
      </c>
      <c r="H749" s="73"/>
      <c r="I749" s="44"/>
      <c r="J749" s="48">
        <f t="shared" si="23"/>
        <v>1</v>
      </c>
      <c r="K749" s="48">
        <f>IFERROR(INDEX(TarrifTable,MATCH(Elements!E749,Constants!$V$4:$V$7,0),MATCH(Elements!F749,Constants!$W$3:$AA$3,0)),0)</f>
        <v>0</v>
      </c>
      <c r="L749" s="68">
        <f t="shared" si="24"/>
        <v>0</v>
      </c>
    </row>
    <row r="750" spans="2:12" x14ac:dyDescent="0.85">
      <c r="B750" s="46">
        <v>743</v>
      </c>
      <c r="C750" s="276"/>
      <c r="D750" s="283"/>
      <c r="E750" s="10"/>
      <c r="F750" s="10"/>
      <c r="G750" s="47">
        <v>1</v>
      </c>
      <c r="H750" s="72"/>
      <c r="I750" s="10"/>
      <c r="J750" s="46">
        <f t="shared" si="23"/>
        <v>1</v>
      </c>
      <c r="K750" s="46">
        <f>IFERROR(INDEX(TarrifTable,MATCH(Elements!E750,Constants!$V$4:$V$7,0),MATCH(Elements!F750,Constants!$W$3:$AA$3,0)),0)</f>
        <v>0</v>
      </c>
      <c r="L750" s="69">
        <f t="shared" si="24"/>
        <v>0</v>
      </c>
    </row>
    <row r="751" spans="2:12" x14ac:dyDescent="0.85">
      <c r="B751" s="48">
        <v>744</v>
      </c>
      <c r="C751" s="277"/>
      <c r="D751" s="284"/>
      <c r="E751" s="44"/>
      <c r="F751" s="44"/>
      <c r="G751" s="49">
        <v>1</v>
      </c>
      <c r="H751" s="73"/>
      <c r="I751" s="44"/>
      <c r="J751" s="48">
        <f t="shared" si="23"/>
        <v>1</v>
      </c>
      <c r="K751" s="48">
        <f>IFERROR(INDEX(TarrifTable,MATCH(Elements!E751,Constants!$V$4:$V$7,0),MATCH(Elements!F751,Constants!$W$3:$AA$3,0)),0)</f>
        <v>0</v>
      </c>
      <c r="L751" s="68">
        <f t="shared" si="24"/>
        <v>0</v>
      </c>
    </row>
    <row r="752" spans="2:12" x14ac:dyDescent="0.85">
      <c r="B752" s="46">
        <v>745</v>
      </c>
      <c r="C752" s="276"/>
      <c r="D752" s="283"/>
      <c r="E752" s="10"/>
      <c r="F752" s="10"/>
      <c r="G752" s="47">
        <v>1</v>
      </c>
      <c r="H752" s="72"/>
      <c r="I752" s="10"/>
      <c r="J752" s="46">
        <f t="shared" si="23"/>
        <v>1</v>
      </c>
      <c r="K752" s="46">
        <f>IFERROR(INDEX(TarrifTable,MATCH(Elements!E752,Constants!$V$4:$V$7,0),MATCH(Elements!F752,Constants!$W$3:$AA$3,0)),0)</f>
        <v>0</v>
      </c>
      <c r="L752" s="69">
        <f t="shared" si="24"/>
        <v>0</v>
      </c>
    </row>
    <row r="753" spans="2:12" x14ac:dyDescent="0.85">
      <c r="B753" s="48">
        <v>746</v>
      </c>
      <c r="C753" s="277"/>
      <c r="D753" s="284"/>
      <c r="E753" s="44"/>
      <c r="F753" s="44"/>
      <c r="G753" s="49">
        <v>1</v>
      </c>
      <c r="H753" s="73"/>
      <c r="I753" s="44"/>
      <c r="J753" s="48">
        <f t="shared" si="23"/>
        <v>1</v>
      </c>
      <c r="K753" s="48">
        <f>IFERROR(INDEX(TarrifTable,MATCH(Elements!E753,Constants!$V$4:$V$7,0),MATCH(Elements!F753,Constants!$W$3:$AA$3,0)),0)</f>
        <v>0</v>
      </c>
      <c r="L753" s="68">
        <f t="shared" si="24"/>
        <v>0</v>
      </c>
    </row>
    <row r="754" spans="2:12" x14ac:dyDescent="0.85">
      <c r="B754" s="46">
        <v>747</v>
      </c>
      <c r="C754" s="276"/>
      <c r="D754" s="283"/>
      <c r="E754" s="10"/>
      <c r="F754" s="10"/>
      <c r="G754" s="47">
        <v>1</v>
      </c>
      <c r="H754" s="72"/>
      <c r="I754" s="10"/>
      <c r="J754" s="46">
        <f t="shared" si="23"/>
        <v>1</v>
      </c>
      <c r="K754" s="46">
        <f>IFERROR(INDEX(TarrifTable,MATCH(Elements!E754,Constants!$V$4:$V$7,0),MATCH(Elements!F754,Constants!$W$3:$AA$3,0)),0)</f>
        <v>0</v>
      </c>
      <c r="L754" s="69">
        <f t="shared" si="24"/>
        <v>0</v>
      </c>
    </row>
    <row r="755" spans="2:12" x14ac:dyDescent="0.85">
      <c r="B755" s="48">
        <v>748</v>
      </c>
      <c r="C755" s="277"/>
      <c r="D755" s="284"/>
      <c r="E755" s="44"/>
      <c r="F755" s="44"/>
      <c r="G755" s="49">
        <v>1</v>
      </c>
      <c r="H755" s="73"/>
      <c r="I755" s="44"/>
      <c r="J755" s="48">
        <f t="shared" si="23"/>
        <v>1</v>
      </c>
      <c r="K755" s="48">
        <f>IFERROR(INDEX(TarrifTable,MATCH(Elements!E755,Constants!$V$4:$V$7,0),MATCH(Elements!F755,Constants!$W$3:$AA$3,0)),0)</f>
        <v>0</v>
      </c>
      <c r="L755" s="68">
        <f t="shared" si="24"/>
        <v>0</v>
      </c>
    </row>
    <row r="756" spans="2:12" x14ac:dyDescent="0.85">
      <c r="B756" s="46">
        <v>749</v>
      </c>
      <c r="C756" s="276"/>
      <c r="D756" s="283"/>
      <c r="E756" s="10"/>
      <c r="F756" s="10"/>
      <c r="G756" s="47">
        <v>1</v>
      </c>
      <c r="H756" s="72"/>
      <c r="I756" s="10"/>
      <c r="J756" s="46">
        <f t="shared" si="23"/>
        <v>1</v>
      </c>
      <c r="K756" s="46">
        <f>IFERROR(INDEX(TarrifTable,MATCH(Elements!E756,Constants!$V$4:$V$7,0),MATCH(Elements!F756,Constants!$W$3:$AA$3,0)),0)</f>
        <v>0</v>
      </c>
      <c r="L756" s="69">
        <f t="shared" si="24"/>
        <v>0</v>
      </c>
    </row>
    <row r="757" spans="2:12" x14ac:dyDescent="0.85">
      <c r="B757" s="48">
        <v>750</v>
      </c>
      <c r="C757" s="277"/>
      <c r="D757" s="284"/>
      <c r="E757" s="44"/>
      <c r="F757" s="44"/>
      <c r="G757" s="49">
        <v>1</v>
      </c>
      <c r="H757" s="73"/>
      <c r="I757" s="44"/>
      <c r="J757" s="48">
        <f t="shared" si="23"/>
        <v>1</v>
      </c>
      <c r="K757" s="48">
        <f>IFERROR(INDEX(TarrifTable,MATCH(Elements!E757,Constants!$V$4:$V$7,0),MATCH(Elements!F757,Constants!$W$3:$AA$3,0)),0)</f>
        <v>0</v>
      </c>
      <c r="L757" s="68">
        <f t="shared" si="24"/>
        <v>0</v>
      </c>
    </row>
    <row r="758" spans="2:12" x14ac:dyDescent="0.85">
      <c r="B758" s="46">
        <v>751</v>
      </c>
      <c r="C758" s="276"/>
      <c r="D758" s="283"/>
      <c r="E758" s="10"/>
      <c r="F758" s="10"/>
      <c r="G758" s="47">
        <v>1</v>
      </c>
      <c r="H758" s="72"/>
      <c r="I758" s="10"/>
      <c r="J758" s="46">
        <f t="shared" si="23"/>
        <v>1</v>
      </c>
      <c r="K758" s="46">
        <f>IFERROR(INDEX(TarrifTable,MATCH(Elements!E758,Constants!$V$4:$V$7,0),MATCH(Elements!F758,Constants!$W$3:$AA$3,0)),0)</f>
        <v>0</v>
      </c>
      <c r="L758" s="69">
        <f t="shared" si="24"/>
        <v>0</v>
      </c>
    </row>
    <row r="759" spans="2:12" x14ac:dyDescent="0.85">
      <c r="B759" s="48">
        <v>752</v>
      </c>
      <c r="C759" s="277"/>
      <c r="D759" s="284"/>
      <c r="E759" s="44"/>
      <c r="F759" s="44"/>
      <c r="G759" s="49">
        <v>1</v>
      </c>
      <c r="H759" s="73"/>
      <c r="I759" s="44"/>
      <c r="J759" s="48">
        <f t="shared" si="23"/>
        <v>1</v>
      </c>
      <c r="K759" s="48">
        <f>IFERROR(INDEX(TarrifTable,MATCH(Elements!E759,Constants!$V$4:$V$7,0),MATCH(Elements!F759,Constants!$W$3:$AA$3,0)),0)</f>
        <v>0</v>
      </c>
      <c r="L759" s="68">
        <f t="shared" si="24"/>
        <v>0</v>
      </c>
    </row>
    <row r="760" spans="2:12" x14ac:dyDescent="0.85">
      <c r="B760" s="46">
        <v>753</v>
      </c>
      <c r="C760" s="276"/>
      <c r="D760" s="283"/>
      <c r="E760" s="10"/>
      <c r="F760" s="10"/>
      <c r="G760" s="47">
        <v>1</v>
      </c>
      <c r="H760" s="72"/>
      <c r="I760" s="10"/>
      <c r="J760" s="46">
        <f t="shared" si="23"/>
        <v>1</v>
      </c>
      <c r="K760" s="46">
        <f>IFERROR(INDEX(TarrifTable,MATCH(Elements!E760,Constants!$V$4:$V$7,0),MATCH(Elements!F760,Constants!$W$3:$AA$3,0)),0)</f>
        <v>0</v>
      </c>
      <c r="L760" s="69">
        <f t="shared" si="24"/>
        <v>0</v>
      </c>
    </row>
    <row r="761" spans="2:12" x14ac:dyDescent="0.85">
      <c r="B761" s="48">
        <v>754</v>
      </c>
      <c r="C761" s="277"/>
      <c r="D761" s="284"/>
      <c r="E761" s="44"/>
      <c r="F761" s="44"/>
      <c r="G761" s="49">
        <v>1</v>
      </c>
      <c r="H761" s="73"/>
      <c r="I761" s="44"/>
      <c r="J761" s="48">
        <f t="shared" si="23"/>
        <v>1</v>
      </c>
      <c r="K761" s="48">
        <f>IFERROR(INDEX(TarrifTable,MATCH(Elements!E761,Constants!$V$4:$V$7,0),MATCH(Elements!F761,Constants!$W$3:$AA$3,0)),0)</f>
        <v>0</v>
      </c>
      <c r="L761" s="68">
        <f t="shared" si="24"/>
        <v>0</v>
      </c>
    </row>
    <row r="762" spans="2:12" x14ac:dyDescent="0.85">
      <c r="B762" s="46">
        <v>755</v>
      </c>
      <c r="C762" s="276"/>
      <c r="D762" s="283"/>
      <c r="E762" s="10"/>
      <c r="F762" s="10"/>
      <c r="G762" s="47">
        <v>1</v>
      </c>
      <c r="H762" s="72"/>
      <c r="I762" s="10"/>
      <c r="J762" s="46">
        <f t="shared" si="23"/>
        <v>1</v>
      </c>
      <c r="K762" s="46">
        <f>IFERROR(INDEX(TarrifTable,MATCH(Elements!E762,Constants!$V$4:$V$7,0),MATCH(Elements!F762,Constants!$W$3:$AA$3,0)),0)</f>
        <v>0</v>
      </c>
      <c r="L762" s="69">
        <f t="shared" si="24"/>
        <v>0</v>
      </c>
    </row>
    <row r="763" spans="2:12" x14ac:dyDescent="0.85">
      <c r="B763" s="48">
        <v>756</v>
      </c>
      <c r="C763" s="277"/>
      <c r="D763" s="284"/>
      <c r="E763" s="44"/>
      <c r="F763" s="44"/>
      <c r="G763" s="49">
        <v>1</v>
      </c>
      <c r="H763" s="73"/>
      <c r="I763" s="44"/>
      <c r="J763" s="48">
        <f t="shared" si="23"/>
        <v>1</v>
      </c>
      <c r="K763" s="48">
        <f>IFERROR(INDEX(TarrifTable,MATCH(Elements!E763,Constants!$V$4:$V$7,0),MATCH(Elements!F763,Constants!$W$3:$AA$3,0)),0)</f>
        <v>0</v>
      </c>
      <c r="L763" s="68">
        <f t="shared" si="24"/>
        <v>0</v>
      </c>
    </row>
    <row r="764" spans="2:12" x14ac:dyDescent="0.85">
      <c r="B764" s="46">
        <v>757</v>
      </c>
      <c r="C764" s="276"/>
      <c r="D764" s="283"/>
      <c r="E764" s="10"/>
      <c r="F764" s="10"/>
      <c r="G764" s="47">
        <v>1</v>
      </c>
      <c r="H764" s="72"/>
      <c r="I764" s="10"/>
      <c r="J764" s="46">
        <f t="shared" si="23"/>
        <v>1</v>
      </c>
      <c r="K764" s="46">
        <f>IFERROR(INDEX(TarrifTable,MATCH(Elements!E764,Constants!$V$4:$V$7,0),MATCH(Elements!F764,Constants!$W$3:$AA$3,0)),0)</f>
        <v>0</v>
      </c>
      <c r="L764" s="69">
        <f t="shared" si="24"/>
        <v>0</v>
      </c>
    </row>
    <row r="765" spans="2:12" x14ac:dyDescent="0.85">
      <c r="B765" s="48">
        <v>758</v>
      </c>
      <c r="C765" s="277"/>
      <c r="D765" s="284"/>
      <c r="E765" s="44"/>
      <c r="F765" s="44"/>
      <c r="G765" s="49">
        <v>1</v>
      </c>
      <c r="H765" s="73"/>
      <c r="I765" s="44"/>
      <c r="J765" s="48">
        <f t="shared" si="23"/>
        <v>1</v>
      </c>
      <c r="K765" s="48">
        <f>IFERROR(INDEX(TarrifTable,MATCH(Elements!E765,Constants!$V$4:$V$7,0),MATCH(Elements!F765,Constants!$W$3:$AA$3,0)),0)</f>
        <v>0</v>
      </c>
      <c r="L765" s="68">
        <f t="shared" si="24"/>
        <v>0</v>
      </c>
    </row>
    <row r="766" spans="2:12" x14ac:dyDescent="0.85">
      <c r="B766" s="46">
        <v>759</v>
      </c>
      <c r="C766" s="276"/>
      <c r="D766" s="283"/>
      <c r="E766" s="10"/>
      <c r="F766" s="10"/>
      <c r="G766" s="47">
        <v>1</v>
      </c>
      <c r="H766" s="72"/>
      <c r="I766" s="10"/>
      <c r="J766" s="46">
        <f t="shared" si="23"/>
        <v>1</v>
      </c>
      <c r="K766" s="46">
        <f>IFERROR(INDEX(TarrifTable,MATCH(Elements!E766,Constants!$V$4:$V$7,0),MATCH(Elements!F766,Constants!$W$3:$AA$3,0)),0)</f>
        <v>0</v>
      </c>
      <c r="L766" s="69">
        <f t="shared" si="24"/>
        <v>0</v>
      </c>
    </row>
    <row r="767" spans="2:12" x14ac:dyDescent="0.85">
      <c r="B767" s="48">
        <v>760</v>
      </c>
      <c r="C767" s="277"/>
      <c r="D767" s="284"/>
      <c r="E767" s="44"/>
      <c r="F767" s="44"/>
      <c r="G767" s="49">
        <v>1</v>
      </c>
      <c r="H767" s="73"/>
      <c r="I767" s="44"/>
      <c r="J767" s="48">
        <f t="shared" si="23"/>
        <v>1</v>
      </c>
      <c r="K767" s="48">
        <f>IFERROR(INDEX(TarrifTable,MATCH(Elements!E767,Constants!$V$4:$V$7,0),MATCH(Elements!F767,Constants!$W$3:$AA$3,0)),0)</f>
        <v>0</v>
      </c>
      <c r="L767" s="68">
        <f t="shared" si="24"/>
        <v>0</v>
      </c>
    </row>
    <row r="768" spans="2:12" x14ac:dyDescent="0.85">
      <c r="B768" s="46">
        <v>761</v>
      </c>
      <c r="C768" s="276"/>
      <c r="D768" s="283"/>
      <c r="E768" s="10"/>
      <c r="F768" s="10"/>
      <c r="G768" s="47">
        <v>1</v>
      </c>
      <c r="H768" s="72"/>
      <c r="I768" s="10"/>
      <c r="J768" s="46">
        <f t="shared" si="23"/>
        <v>1</v>
      </c>
      <c r="K768" s="46">
        <f>IFERROR(INDEX(TarrifTable,MATCH(Elements!E768,Constants!$V$4:$V$7,0),MATCH(Elements!F768,Constants!$W$3:$AA$3,0)),0)</f>
        <v>0</v>
      </c>
      <c r="L768" s="69">
        <f t="shared" si="24"/>
        <v>0</v>
      </c>
    </row>
    <row r="769" spans="2:12" x14ac:dyDescent="0.85">
      <c r="B769" s="48">
        <v>762</v>
      </c>
      <c r="C769" s="277"/>
      <c r="D769" s="284"/>
      <c r="E769" s="44"/>
      <c r="F769" s="44"/>
      <c r="G769" s="49">
        <v>1</v>
      </c>
      <c r="H769" s="73"/>
      <c r="I769" s="44"/>
      <c r="J769" s="48">
        <f t="shared" si="23"/>
        <v>1</v>
      </c>
      <c r="K769" s="48">
        <f>IFERROR(INDEX(TarrifTable,MATCH(Elements!E769,Constants!$V$4:$V$7,0),MATCH(Elements!F769,Constants!$W$3:$AA$3,0)),0)</f>
        <v>0</v>
      </c>
      <c r="L769" s="68">
        <f t="shared" si="24"/>
        <v>0</v>
      </c>
    </row>
    <row r="770" spans="2:12" x14ac:dyDescent="0.85">
      <c r="B770" s="46">
        <v>763</v>
      </c>
      <c r="C770" s="276"/>
      <c r="D770" s="283"/>
      <c r="E770" s="10"/>
      <c r="F770" s="10"/>
      <c r="G770" s="47">
        <v>1</v>
      </c>
      <c r="H770" s="72"/>
      <c r="I770" s="10"/>
      <c r="J770" s="46">
        <f t="shared" si="23"/>
        <v>1</v>
      </c>
      <c r="K770" s="46">
        <f>IFERROR(INDEX(TarrifTable,MATCH(Elements!E770,Constants!$V$4:$V$7,0),MATCH(Elements!F770,Constants!$W$3:$AA$3,0)),0)</f>
        <v>0</v>
      </c>
      <c r="L770" s="69">
        <f t="shared" si="24"/>
        <v>0</v>
      </c>
    </row>
    <row r="771" spans="2:12" x14ac:dyDescent="0.85">
      <c r="B771" s="48">
        <v>764</v>
      </c>
      <c r="C771" s="277"/>
      <c r="D771" s="284"/>
      <c r="E771" s="44"/>
      <c r="F771" s="44"/>
      <c r="G771" s="49">
        <v>1</v>
      </c>
      <c r="H771" s="73"/>
      <c r="I771" s="44"/>
      <c r="J771" s="48">
        <f t="shared" si="23"/>
        <v>1</v>
      </c>
      <c r="K771" s="48">
        <f>IFERROR(INDEX(TarrifTable,MATCH(Elements!E771,Constants!$V$4:$V$7,0),MATCH(Elements!F771,Constants!$W$3:$AA$3,0)),0)</f>
        <v>0</v>
      </c>
      <c r="L771" s="68">
        <f t="shared" si="24"/>
        <v>0</v>
      </c>
    </row>
    <row r="772" spans="2:12" x14ac:dyDescent="0.85">
      <c r="B772" s="46">
        <v>765</v>
      </c>
      <c r="C772" s="276"/>
      <c r="D772" s="283"/>
      <c r="E772" s="10"/>
      <c r="F772" s="10"/>
      <c r="G772" s="47">
        <v>1</v>
      </c>
      <c r="H772" s="72"/>
      <c r="I772" s="10"/>
      <c r="J772" s="46">
        <f t="shared" si="23"/>
        <v>1</v>
      </c>
      <c r="K772" s="46">
        <f>IFERROR(INDEX(TarrifTable,MATCH(Elements!E772,Constants!$V$4:$V$7,0),MATCH(Elements!F772,Constants!$W$3:$AA$3,0)),0)</f>
        <v>0</v>
      </c>
      <c r="L772" s="69">
        <f t="shared" si="24"/>
        <v>0</v>
      </c>
    </row>
    <row r="773" spans="2:12" x14ac:dyDescent="0.85">
      <c r="B773" s="48">
        <v>766</v>
      </c>
      <c r="C773" s="277"/>
      <c r="D773" s="284"/>
      <c r="E773" s="44"/>
      <c r="F773" s="44"/>
      <c r="G773" s="49">
        <v>1</v>
      </c>
      <c r="H773" s="73"/>
      <c r="I773" s="44"/>
      <c r="J773" s="48">
        <f t="shared" si="23"/>
        <v>1</v>
      </c>
      <c r="K773" s="48">
        <f>IFERROR(INDEX(TarrifTable,MATCH(Elements!E773,Constants!$V$4:$V$7,0),MATCH(Elements!F773,Constants!$W$3:$AA$3,0)),0)</f>
        <v>0</v>
      </c>
      <c r="L773" s="68">
        <f t="shared" si="24"/>
        <v>0</v>
      </c>
    </row>
    <row r="774" spans="2:12" x14ac:dyDescent="0.85">
      <c r="B774" s="46">
        <v>767</v>
      </c>
      <c r="C774" s="276"/>
      <c r="D774" s="283"/>
      <c r="E774" s="10"/>
      <c r="F774" s="10"/>
      <c r="G774" s="47">
        <v>1</v>
      </c>
      <c r="H774" s="72"/>
      <c r="I774" s="10"/>
      <c r="J774" s="46">
        <f t="shared" si="23"/>
        <v>1</v>
      </c>
      <c r="K774" s="46">
        <f>IFERROR(INDEX(TarrifTable,MATCH(Elements!E774,Constants!$V$4:$V$7,0),MATCH(Elements!F774,Constants!$W$3:$AA$3,0)),0)</f>
        <v>0</v>
      </c>
      <c r="L774" s="69">
        <f t="shared" si="24"/>
        <v>0</v>
      </c>
    </row>
    <row r="775" spans="2:12" x14ac:dyDescent="0.85">
      <c r="B775" s="48">
        <v>768</v>
      </c>
      <c r="C775" s="277"/>
      <c r="D775" s="284"/>
      <c r="E775" s="44"/>
      <c r="F775" s="44"/>
      <c r="G775" s="49">
        <v>1</v>
      </c>
      <c r="H775" s="73"/>
      <c r="I775" s="44"/>
      <c r="J775" s="48">
        <f t="shared" si="23"/>
        <v>1</v>
      </c>
      <c r="K775" s="48">
        <f>IFERROR(INDEX(TarrifTable,MATCH(Elements!E775,Constants!$V$4:$V$7,0),MATCH(Elements!F775,Constants!$W$3:$AA$3,0)),0)</f>
        <v>0</v>
      </c>
      <c r="L775" s="68">
        <f t="shared" si="24"/>
        <v>0</v>
      </c>
    </row>
    <row r="776" spans="2:12" x14ac:dyDescent="0.85">
      <c r="B776" s="46">
        <v>769</v>
      </c>
      <c r="C776" s="276"/>
      <c r="D776" s="283"/>
      <c r="E776" s="10"/>
      <c r="F776" s="10"/>
      <c r="G776" s="47">
        <v>1</v>
      </c>
      <c r="H776" s="72"/>
      <c r="I776" s="10"/>
      <c r="J776" s="46">
        <f t="shared" ref="J776:J839" si="25">IF(ISBLANK(H776),1,H776)</f>
        <v>1</v>
      </c>
      <c r="K776" s="46">
        <f>IFERROR(INDEX(TarrifTable,MATCH(Elements!E776,Constants!$V$4:$V$7,0),MATCH(Elements!F776,Constants!$W$3:$AA$3,0)),0)</f>
        <v>0</v>
      </c>
      <c r="L776" s="69">
        <f t="shared" ref="L776:L839" si="26">J776*G776*K776</f>
        <v>0</v>
      </c>
    </row>
    <row r="777" spans="2:12" x14ac:dyDescent="0.85">
      <c r="B777" s="48">
        <v>770</v>
      </c>
      <c r="C777" s="277"/>
      <c r="D777" s="284"/>
      <c r="E777" s="44"/>
      <c r="F777" s="44"/>
      <c r="G777" s="49">
        <v>1</v>
      </c>
      <c r="H777" s="73"/>
      <c r="I777" s="44"/>
      <c r="J777" s="48">
        <f t="shared" si="25"/>
        <v>1</v>
      </c>
      <c r="K777" s="48">
        <f>IFERROR(INDEX(TarrifTable,MATCH(Elements!E777,Constants!$V$4:$V$7,0),MATCH(Elements!F777,Constants!$W$3:$AA$3,0)),0)</f>
        <v>0</v>
      </c>
      <c r="L777" s="68">
        <f t="shared" si="26"/>
        <v>0</v>
      </c>
    </row>
    <row r="778" spans="2:12" x14ac:dyDescent="0.85">
      <c r="B778" s="46">
        <v>771</v>
      </c>
      <c r="C778" s="276"/>
      <c r="D778" s="283"/>
      <c r="E778" s="10"/>
      <c r="F778" s="10"/>
      <c r="G778" s="47">
        <v>1</v>
      </c>
      <c r="H778" s="72"/>
      <c r="I778" s="10"/>
      <c r="J778" s="46">
        <f t="shared" si="25"/>
        <v>1</v>
      </c>
      <c r="K778" s="46">
        <f>IFERROR(INDEX(TarrifTable,MATCH(Elements!E778,Constants!$V$4:$V$7,0),MATCH(Elements!F778,Constants!$W$3:$AA$3,0)),0)</f>
        <v>0</v>
      </c>
      <c r="L778" s="69">
        <f t="shared" si="26"/>
        <v>0</v>
      </c>
    </row>
    <row r="779" spans="2:12" x14ac:dyDescent="0.85">
      <c r="B779" s="48">
        <v>772</v>
      </c>
      <c r="C779" s="277"/>
      <c r="D779" s="284"/>
      <c r="E779" s="44"/>
      <c r="F779" s="44"/>
      <c r="G779" s="49">
        <v>1</v>
      </c>
      <c r="H779" s="73"/>
      <c r="I779" s="44"/>
      <c r="J779" s="48">
        <f t="shared" si="25"/>
        <v>1</v>
      </c>
      <c r="K779" s="48">
        <f>IFERROR(INDEX(TarrifTable,MATCH(Elements!E779,Constants!$V$4:$V$7,0),MATCH(Elements!F779,Constants!$W$3:$AA$3,0)),0)</f>
        <v>0</v>
      </c>
      <c r="L779" s="68">
        <f t="shared" si="26"/>
        <v>0</v>
      </c>
    </row>
    <row r="780" spans="2:12" x14ac:dyDescent="0.85">
      <c r="B780" s="46">
        <v>773</v>
      </c>
      <c r="C780" s="276"/>
      <c r="D780" s="283"/>
      <c r="E780" s="10"/>
      <c r="F780" s="10"/>
      <c r="G780" s="47">
        <v>1</v>
      </c>
      <c r="H780" s="72"/>
      <c r="I780" s="10"/>
      <c r="J780" s="46">
        <f t="shared" si="25"/>
        <v>1</v>
      </c>
      <c r="K780" s="46">
        <f>IFERROR(INDEX(TarrifTable,MATCH(Elements!E780,Constants!$V$4:$V$7,0),MATCH(Elements!F780,Constants!$W$3:$AA$3,0)),0)</f>
        <v>0</v>
      </c>
      <c r="L780" s="69">
        <f t="shared" si="26"/>
        <v>0</v>
      </c>
    </row>
    <row r="781" spans="2:12" x14ac:dyDescent="0.85">
      <c r="B781" s="48">
        <v>774</v>
      </c>
      <c r="C781" s="277"/>
      <c r="D781" s="284"/>
      <c r="E781" s="44"/>
      <c r="F781" s="44"/>
      <c r="G781" s="49">
        <v>1</v>
      </c>
      <c r="H781" s="73"/>
      <c r="I781" s="44"/>
      <c r="J781" s="48">
        <f t="shared" si="25"/>
        <v>1</v>
      </c>
      <c r="K781" s="48">
        <f>IFERROR(INDEX(TarrifTable,MATCH(Elements!E781,Constants!$V$4:$V$7,0),MATCH(Elements!F781,Constants!$W$3:$AA$3,0)),0)</f>
        <v>0</v>
      </c>
      <c r="L781" s="68">
        <f t="shared" si="26"/>
        <v>0</v>
      </c>
    </row>
    <row r="782" spans="2:12" x14ac:dyDescent="0.85">
      <c r="B782" s="46">
        <v>775</v>
      </c>
      <c r="C782" s="276"/>
      <c r="D782" s="283"/>
      <c r="E782" s="10"/>
      <c r="F782" s="10"/>
      <c r="G782" s="47">
        <v>1</v>
      </c>
      <c r="H782" s="72"/>
      <c r="I782" s="10"/>
      <c r="J782" s="46">
        <f t="shared" si="25"/>
        <v>1</v>
      </c>
      <c r="K782" s="46">
        <f>IFERROR(INDEX(TarrifTable,MATCH(Elements!E782,Constants!$V$4:$V$7,0),MATCH(Elements!F782,Constants!$W$3:$AA$3,0)),0)</f>
        <v>0</v>
      </c>
      <c r="L782" s="69">
        <f t="shared" si="26"/>
        <v>0</v>
      </c>
    </row>
    <row r="783" spans="2:12" x14ac:dyDescent="0.85">
      <c r="B783" s="48">
        <v>776</v>
      </c>
      <c r="C783" s="277"/>
      <c r="D783" s="284"/>
      <c r="E783" s="44"/>
      <c r="F783" s="44"/>
      <c r="G783" s="49">
        <v>1</v>
      </c>
      <c r="H783" s="73"/>
      <c r="I783" s="44"/>
      <c r="J783" s="48">
        <f t="shared" si="25"/>
        <v>1</v>
      </c>
      <c r="K783" s="48">
        <f>IFERROR(INDEX(TarrifTable,MATCH(Elements!E783,Constants!$V$4:$V$7,0),MATCH(Elements!F783,Constants!$W$3:$AA$3,0)),0)</f>
        <v>0</v>
      </c>
      <c r="L783" s="68">
        <f t="shared" si="26"/>
        <v>0</v>
      </c>
    </row>
    <row r="784" spans="2:12" x14ac:dyDescent="0.85">
      <c r="B784" s="46">
        <v>777</v>
      </c>
      <c r="C784" s="276"/>
      <c r="D784" s="283"/>
      <c r="E784" s="10"/>
      <c r="F784" s="10"/>
      <c r="G784" s="47">
        <v>1</v>
      </c>
      <c r="H784" s="72"/>
      <c r="I784" s="10"/>
      <c r="J784" s="46">
        <f t="shared" si="25"/>
        <v>1</v>
      </c>
      <c r="K784" s="46">
        <f>IFERROR(INDEX(TarrifTable,MATCH(Elements!E784,Constants!$V$4:$V$7,0),MATCH(Elements!F784,Constants!$W$3:$AA$3,0)),0)</f>
        <v>0</v>
      </c>
      <c r="L784" s="69">
        <f t="shared" si="26"/>
        <v>0</v>
      </c>
    </row>
    <row r="785" spans="2:12" x14ac:dyDescent="0.85">
      <c r="B785" s="48">
        <v>778</v>
      </c>
      <c r="C785" s="277"/>
      <c r="D785" s="284"/>
      <c r="E785" s="44"/>
      <c r="F785" s="44"/>
      <c r="G785" s="49">
        <v>1</v>
      </c>
      <c r="H785" s="73"/>
      <c r="I785" s="44"/>
      <c r="J785" s="48">
        <f t="shared" si="25"/>
        <v>1</v>
      </c>
      <c r="K785" s="48">
        <f>IFERROR(INDEX(TarrifTable,MATCH(Elements!E785,Constants!$V$4:$V$7,0),MATCH(Elements!F785,Constants!$W$3:$AA$3,0)),0)</f>
        <v>0</v>
      </c>
      <c r="L785" s="68">
        <f t="shared" si="26"/>
        <v>0</v>
      </c>
    </row>
    <row r="786" spans="2:12" x14ac:dyDescent="0.85">
      <c r="B786" s="46">
        <v>779</v>
      </c>
      <c r="C786" s="276"/>
      <c r="D786" s="283"/>
      <c r="E786" s="10"/>
      <c r="F786" s="10"/>
      <c r="G786" s="47">
        <v>1</v>
      </c>
      <c r="H786" s="72"/>
      <c r="I786" s="10"/>
      <c r="J786" s="46">
        <f t="shared" si="25"/>
        <v>1</v>
      </c>
      <c r="K786" s="46">
        <f>IFERROR(INDEX(TarrifTable,MATCH(Elements!E786,Constants!$V$4:$V$7,0),MATCH(Elements!F786,Constants!$W$3:$AA$3,0)),0)</f>
        <v>0</v>
      </c>
      <c r="L786" s="69">
        <f t="shared" si="26"/>
        <v>0</v>
      </c>
    </row>
    <row r="787" spans="2:12" x14ac:dyDescent="0.85">
      <c r="B787" s="48">
        <v>780</v>
      </c>
      <c r="C787" s="277"/>
      <c r="D787" s="284"/>
      <c r="E787" s="44"/>
      <c r="F787" s="44"/>
      <c r="G787" s="49">
        <v>1</v>
      </c>
      <c r="H787" s="73"/>
      <c r="I787" s="44"/>
      <c r="J787" s="48">
        <f t="shared" si="25"/>
        <v>1</v>
      </c>
      <c r="K787" s="48">
        <f>IFERROR(INDEX(TarrifTable,MATCH(Elements!E787,Constants!$V$4:$V$7,0),MATCH(Elements!F787,Constants!$W$3:$AA$3,0)),0)</f>
        <v>0</v>
      </c>
      <c r="L787" s="68">
        <f t="shared" si="26"/>
        <v>0</v>
      </c>
    </row>
    <row r="788" spans="2:12" x14ac:dyDescent="0.85">
      <c r="B788" s="46">
        <v>781</v>
      </c>
      <c r="C788" s="276"/>
      <c r="D788" s="283"/>
      <c r="E788" s="10"/>
      <c r="F788" s="10"/>
      <c r="G788" s="47">
        <v>1</v>
      </c>
      <c r="H788" s="72"/>
      <c r="I788" s="10"/>
      <c r="J788" s="46">
        <f t="shared" si="25"/>
        <v>1</v>
      </c>
      <c r="K788" s="46">
        <f>IFERROR(INDEX(TarrifTable,MATCH(Elements!E788,Constants!$V$4:$V$7,0),MATCH(Elements!F788,Constants!$W$3:$AA$3,0)),0)</f>
        <v>0</v>
      </c>
      <c r="L788" s="69">
        <f t="shared" si="26"/>
        <v>0</v>
      </c>
    </row>
    <row r="789" spans="2:12" x14ac:dyDescent="0.85">
      <c r="B789" s="48">
        <v>782</v>
      </c>
      <c r="C789" s="277"/>
      <c r="D789" s="284"/>
      <c r="E789" s="44"/>
      <c r="F789" s="44"/>
      <c r="G789" s="49">
        <v>1</v>
      </c>
      <c r="H789" s="73"/>
      <c r="I789" s="44"/>
      <c r="J789" s="48">
        <f t="shared" si="25"/>
        <v>1</v>
      </c>
      <c r="K789" s="48">
        <f>IFERROR(INDEX(TarrifTable,MATCH(Elements!E789,Constants!$V$4:$V$7,0),MATCH(Elements!F789,Constants!$W$3:$AA$3,0)),0)</f>
        <v>0</v>
      </c>
      <c r="L789" s="68">
        <f t="shared" si="26"/>
        <v>0</v>
      </c>
    </row>
    <row r="790" spans="2:12" x14ac:dyDescent="0.85">
      <c r="B790" s="46">
        <v>783</v>
      </c>
      <c r="C790" s="276"/>
      <c r="D790" s="283"/>
      <c r="E790" s="10"/>
      <c r="F790" s="10"/>
      <c r="G790" s="47">
        <v>1</v>
      </c>
      <c r="H790" s="72"/>
      <c r="I790" s="10"/>
      <c r="J790" s="46">
        <f t="shared" si="25"/>
        <v>1</v>
      </c>
      <c r="K790" s="46">
        <f>IFERROR(INDEX(TarrifTable,MATCH(Elements!E790,Constants!$V$4:$V$7,0),MATCH(Elements!F790,Constants!$W$3:$AA$3,0)),0)</f>
        <v>0</v>
      </c>
      <c r="L790" s="69">
        <f t="shared" si="26"/>
        <v>0</v>
      </c>
    </row>
    <row r="791" spans="2:12" x14ac:dyDescent="0.85">
      <c r="B791" s="48">
        <v>784</v>
      </c>
      <c r="C791" s="277"/>
      <c r="D791" s="284"/>
      <c r="E791" s="44"/>
      <c r="F791" s="44"/>
      <c r="G791" s="49">
        <v>1</v>
      </c>
      <c r="H791" s="73"/>
      <c r="I791" s="44"/>
      <c r="J791" s="48">
        <f t="shared" si="25"/>
        <v>1</v>
      </c>
      <c r="K791" s="48">
        <f>IFERROR(INDEX(TarrifTable,MATCH(Elements!E791,Constants!$V$4:$V$7,0),MATCH(Elements!F791,Constants!$W$3:$AA$3,0)),0)</f>
        <v>0</v>
      </c>
      <c r="L791" s="68">
        <f t="shared" si="26"/>
        <v>0</v>
      </c>
    </row>
    <row r="792" spans="2:12" x14ac:dyDescent="0.85">
      <c r="B792" s="46">
        <v>785</v>
      </c>
      <c r="C792" s="276"/>
      <c r="D792" s="283"/>
      <c r="E792" s="10"/>
      <c r="F792" s="10"/>
      <c r="G792" s="47">
        <v>1</v>
      </c>
      <c r="H792" s="72"/>
      <c r="I792" s="10"/>
      <c r="J792" s="46">
        <f t="shared" si="25"/>
        <v>1</v>
      </c>
      <c r="K792" s="46">
        <f>IFERROR(INDEX(TarrifTable,MATCH(Elements!E792,Constants!$V$4:$V$7,0),MATCH(Elements!F792,Constants!$W$3:$AA$3,0)),0)</f>
        <v>0</v>
      </c>
      <c r="L792" s="69">
        <f t="shared" si="26"/>
        <v>0</v>
      </c>
    </row>
    <row r="793" spans="2:12" x14ac:dyDescent="0.85">
      <c r="B793" s="48">
        <v>786</v>
      </c>
      <c r="C793" s="277"/>
      <c r="D793" s="284"/>
      <c r="E793" s="44"/>
      <c r="F793" s="44"/>
      <c r="G793" s="49">
        <v>1</v>
      </c>
      <c r="H793" s="73"/>
      <c r="I793" s="44"/>
      <c r="J793" s="48">
        <f t="shared" si="25"/>
        <v>1</v>
      </c>
      <c r="K793" s="48">
        <f>IFERROR(INDEX(TarrifTable,MATCH(Elements!E793,Constants!$V$4:$V$7,0),MATCH(Elements!F793,Constants!$W$3:$AA$3,0)),0)</f>
        <v>0</v>
      </c>
      <c r="L793" s="68">
        <f t="shared" si="26"/>
        <v>0</v>
      </c>
    </row>
    <row r="794" spans="2:12" x14ac:dyDescent="0.85">
      <c r="B794" s="46">
        <v>787</v>
      </c>
      <c r="C794" s="276"/>
      <c r="D794" s="283"/>
      <c r="E794" s="10"/>
      <c r="F794" s="10"/>
      <c r="G794" s="47">
        <v>1</v>
      </c>
      <c r="H794" s="72"/>
      <c r="I794" s="10"/>
      <c r="J794" s="46">
        <f t="shared" si="25"/>
        <v>1</v>
      </c>
      <c r="K794" s="46">
        <f>IFERROR(INDEX(TarrifTable,MATCH(Elements!E794,Constants!$V$4:$V$7,0),MATCH(Elements!F794,Constants!$W$3:$AA$3,0)),0)</f>
        <v>0</v>
      </c>
      <c r="L794" s="69">
        <f t="shared" si="26"/>
        <v>0</v>
      </c>
    </row>
    <row r="795" spans="2:12" x14ac:dyDescent="0.85">
      <c r="B795" s="48">
        <v>788</v>
      </c>
      <c r="C795" s="277"/>
      <c r="D795" s="284"/>
      <c r="E795" s="44"/>
      <c r="F795" s="44"/>
      <c r="G795" s="49">
        <v>1</v>
      </c>
      <c r="H795" s="73"/>
      <c r="I795" s="44"/>
      <c r="J795" s="48">
        <f t="shared" si="25"/>
        <v>1</v>
      </c>
      <c r="K795" s="48">
        <f>IFERROR(INDEX(TarrifTable,MATCH(Elements!E795,Constants!$V$4:$V$7,0),MATCH(Elements!F795,Constants!$W$3:$AA$3,0)),0)</f>
        <v>0</v>
      </c>
      <c r="L795" s="68">
        <f t="shared" si="26"/>
        <v>0</v>
      </c>
    </row>
    <row r="796" spans="2:12" x14ac:dyDescent="0.85">
      <c r="B796" s="46">
        <v>789</v>
      </c>
      <c r="C796" s="276"/>
      <c r="D796" s="283"/>
      <c r="E796" s="10"/>
      <c r="F796" s="10"/>
      <c r="G796" s="47">
        <v>1</v>
      </c>
      <c r="H796" s="72"/>
      <c r="I796" s="10"/>
      <c r="J796" s="46">
        <f t="shared" si="25"/>
        <v>1</v>
      </c>
      <c r="K796" s="46">
        <f>IFERROR(INDEX(TarrifTable,MATCH(Elements!E796,Constants!$V$4:$V$7,0),MATCH(Elements!F796,Constants!$W$3:$AA$3,0)),0)</f>
        <v>0</v>
      </c>
      <c r="L796" s="69">
        <f t="shared" si="26"/>
        <v>0</v>
      </c>
    </row>
    <row r="797" spans="2:12" x14ac:dyDescent="0.85">
      <c r="B797" s="48">
        <v>790</v>
      </c>
      <c r="C797" s="277"/>
      <c r="D797" s="284"/>
      <c r="E797" s="44"/>
      <c r="F797" s="44"/>
      <c r="G797" s="49">
        <v>1</v>
      </c>
      <c r="H797" s="73"/>
      <c r="I797" s="44"/>
      <c r="J797" s="48">
        <f t="shared" si="25"/>
        <v>1</v>
      </c>
      <c r="K797" s="48">
        <f>IFERROR(INDEX(TarrifTable,MATCH(Elements!E797,Constants!$V$4:$V$7,0),MATCH(Elements!F797,Constants!$W$3:$AA$3,0)),0)</f>
        <v>0</v>
      </c>
      <c r="L797" s="68">
        <f t="shared" si="26"/>
        <v>0</v>
      </c>
    </row>
    <row r="798" spans="2:12" x14ac:dyDescent="0.85">
      <c r="B798" s="46">
        <v>791</v>
      </c>
      <c r="C798" s="276"/>
      <c r="D798" s="283"/>
      <c r="E798" s="10"/>
      <c r="F798" s="10"/>
      <c r="G798" s="47">
        <v>1</v>
      </c>
      <c r="H798" s="72"/>
      <c r="I798" s="10"/>
      <c r="J798" s="46">
        <f t="shared" si="25"/>
        <v>1</v>
      </c>
      <c r="K798" s="46">
        <f>IFERROR(INDEX(TarrifTable,MATCH(Elements!E798,Constants!$V$4:$V$7,0),MATCH(Elements!F798,Constants!$W$3:$AA$3,0)),0)</f>
        <v>0</v>
      </c>
      <c r="L798" s="69">
        <f t="shared" si="26"/>
        <v>0</v>
      </c>
    </row>
    <row r="799" spans="2:12" x14ac:dyDescent="0.85">
      <c r="B799" s="48">
        <v>792</v>
      </c>
      <c r="C799" s="277"/>
      <c r="D799" s="284"/>
      <c r="E799" s="44"/>
      <c r="F799" s="44"/>
      <c r="G799" s="49">
        <v>1</v>
      </c>
      <c r="H799" s="73"/>
      <c r="I799" s="44"/>
      <c r="J799" s="48">
        <f t="shared" si="25"/>
        <v>1</v>
      </c>
      <c r="K799" s="48">
        <f>IFERROR(INDEX(TarrifTable,MATCH(Elements!E799,Constants!$V$4:$V$7,0),MATCH(Elements!F799,Constants!$W$3:$AA$3,0)),0)</f>
        <v>0</v>
      </c>
      <c r="L799" s="68">
        <f t="shared" si="26"/>
        <v>0</v>
      </c>
    </row>
    <row r="800" spans="2:12" x14ac:dyDescent="0.85">
      <c r="B800" s="46">
        <v>793</v>
      </c>
      <c r="C800" s="276"/>
      <c r="D800" s="283"/>
      <c r="E800" s="10"/>
      <c r="F800" s="10"/>
      <c r="G800" s="47">
        <v>1</v>
      </c>
      <c r="H800" s="72"/>
      <c r="I800" s="10"/>
      <c r="J800" s="46">
        <f t="shared" si="25"/>
        <v>1</v>
      </c>
      <c r="K800" s="46">
        <f>IFERROR(INDEX(TarrifTable,MATCH(Elements!E800,Constants!$V$4:$V$7,0),MATCH(Elements!F800,Constants!$W$3:$AA$3,0)),0)</f>
        <v>0</v>
      </c>
      <c r="L800" s="69">
        <f t="shared" si="26"/>
        <v>0</v>
      </c>
    </row>
    <row r="801" spans="2:12" x14ac:dyDescent="0.85">
      <c r="B801" s="48">
        <v>794</v>
      </c>
      <c r="C801" s="277"/>
      <c r="D801" s="284"/>
      <c r="E801" s="44"/>
      <c r="F801" s="44"/>
      <c r="G801" s="49">
        <v>1</v>
      </c>
      <c r="H801" s="73"/>
      <c r="I801" s="44"/>
      <c r="J801" s="48">
        <f t="shared" si="25"/>
        <v>1</v>
      </c>
      <c r="K801" s="48">
        <f>IFERROR(INDEX(TarrifTable,MATCH(Elements!E801,Constants!$V$4:$V$7,0),MATCH(Elements!F801,Constants!$W$3:$AA$3,0)),0)</f>
        <v>0</v>
      </c>
      <c r="L801" s="68">
        <f t="shared" si="26"/>
        <v>0</v>
      </c>
    </row>
    <row r="802" spans="2:12" x14ac:dyDescent="0.85">
      <c r="B802" s="46">
        <v>795</v>
      </c>
      <c r="C802" s="276"/>
      <c r="D802" s="283"/>
      <c r="E802" s="10"/>
      <c r="F802" s="10"/>
      <c r="G802" s="47">
        <v>1</v>
      </c>
      <c r="H802" s="72"/>
      <c r="I802" s="10"/>
      <c r="J802" s="46">
        <f t="shared" si="25"/>
        <v>1</v>
      </c>
      <c r="K802" s="46">
        <f>IFERROR(INDEX(TarrifTable,MATCH(Elements!E802,Constants!$V$4:$V$7,0),MATCH(Elements!F802,Constants!$W$3:$AA$3,0)),0)</f>
        <v>0</v>
      </c>
      <c r="L802" s="69">
        <f t="shared" si="26"/>
        <v>0</v>
      </c>
    </row>
    <row r="803" spans="2:12" x14ac:dyDescent="0.85">
      <c r="B803" s="48">
        <v>796</v>
      </c>
      <c r="C803" s="277"/>
      <c r="D803" s="284"/>
      <c r="E803" s="44"/>
      <c r="F803" s="44"/>
      <c r="G803" s="49">
        <v>1</v>
      </c>
      <c r="H803" s="73"/>
      <c r="I803" s="44"/>
      <c r="J803" s="48">
        <f t="shared" si="25"/>
        <v>1</v>
      </c>
      <c r="K803" s="48">
        <f>IFERROR(INDEX(TarrifTable,MATCH(Elements!E803,Constants!$V$4:$V$7,0),MATCH(Elements!F803,Constants!$W$3:$AA$3,0)),0)</f>
        <v>0</v>
      </c>
      <c r="L803" s="68">
        <f t="shared" si="26"/>
        <v>0</v>
      </c>
    </row>
    <row r="804" spans="2:12" x14ac:dyDescent="0.85">
      <c r="B804" s="46">
        <v>797</v>
      </c>
      <c r="C804" s="276"/>
      <c r="D804" s="283"/>
      <c r="E804" s="10"/>
      <c r="F804" s="10"/>
      <c r="G804" s="47">
        <v>1</v>
      </c>
      <c r="H804" s="72"/>
      <c r="I804" s="10"/>
      <c r="J804" s="46">
        <f t="shared" si="25"/>
        <v>1</v>
      </c>
      <c r="K804" s="46">
        <f>IFERROR(INDEX(TarrifTable,MATCH(Elements!E804,Constants!$V$4:$V$7,0),MATCH(Elements!F804,Constants!$W$3:$AA$3,0)),0)</f>
        <v>0</v>
      </c>
      <c r="L804" s="69">
        <f t="shared" si="26"/>
        <v>0</v>
      </c>
    </row>
    <row r="805" spans="2:12" x14ac:dyDescent="0.85">
      <c r="B805" s="48">
        <v>798</v>
      </c>
      <c r="C805" s="277"/>
      <c r="D805" s="284"/>
      <c r="E805" s="44"/>
      <c r="F805" s="44"/>
      <c r="G805" s="49">
        <v>1</v>
      </c>
      <c r="H805" s="73"/>
      <c r="I805" s="44"/>
      <c r="J805" s="48">
        <f t="shared" si="25"/>
        <v>1</v>
      </c>
      <c r="K805" s="48">
        <f>IFERROR(INDEX(TarrifTable,MATCH(Elements!E805,Constants!$V$4:$V$7,0),MATCH(Elements!F805,Constants!$W$3:$AA$3,0)),0)</f>
        <v>0</v>
      </c>
      <c r="L805" s="68">
        <f t="shared" si="26"/>
        <v>0</v>
      </c>
    </row>
    <row r="806" spans="2:12" x14ac:dyDescent="0.85">
      <c r="B806" s="46">
        <v>799</v>
      </c>
      <c r="C806" s="276"/>
      <c r="D806" s="283"/>
      <c r="E806" s="10"/>
      <c r="F806" s="10"/>
      <c r="G806" s="47">
        <v>1</v>
      </c>
      <c r="H806" s="72"/>
      <c r="I806" s="10"/>
      <c r="J806" s="46">
        <f t="shared" si="25"/>
        <v>1</v>
      </c>
      <c r="K806" s="46">
        <f>IFERROR(INDEX(TarrifTable,MATCH(Elements!E806,Constants!$V$4:$V$7,0),MATCH(Elements!F806,Constants!$W$3:$AA$3,0)),0)</f>
        <v>0</v>
      </c>
      <c r="L806" s="69">
        <f t="shared" si="26"/>
        <v>0</v>
      </c>
    </row>
    <row r="807" spans="2:12" x14ac:dyDescent="0.85">
      <c r="B807" s="48">
        <v>800</v>
      </c>
      <c r="C807" s="277"/>
      <c r="D807" s="284"/>
      <c r="E807" s="44"/>
      <c r="F807" s="44"/>
      <c r="G807" s="49">
        <v>1</v>
      </c>
      <c r="H807" s="73"/>
      <c r="I807" s="44"/>
      <c r="J807" s="48">
        <f t="shared" si="25"/>
        <v>1</v>
      </c>
      <c r="K807" s="48">
        <f>IFERROR(INDEX(TarrifTable,MATCH(Elements!E807,Constants!$V$4:$V$7,0),MATCH(Elements!F807,Constants!$W$3:$AA$3,0)),0)</f>
        <v>0</v>
      </c>
      <c r="L807" s="68">
        <f t="shared" si="26"/>
        <v>0</v>
      </c>
    </row>
    <row r="808" spans="2:12" x14ac:dyDescent="0.85">
      <c r="B808" s="46">
        <v>801</v>
      </c>
      <c r="C808" s="276"/>
      <c r="D808" s="283"/>
      <c r="E808" s="10"/>
      <c r="F808" s="10"/>
      <c r="G808" s="47">
        <v>1</v>
      </c>
      <c r="H808" s="72"/>
      <c r="I808" s="10"/>
      <c r="J808" s="46">
        <f t="shared" si="25"/>
        <v>1</v>
      </c>
      <c r="K808" s="46">
        <f>IFERROR(INDEX(TarrifTable,MATCH(Elements!E808,Constants!$V$4:$V$7,0),MATCH(Elements!F808,Constants!$W$3:$AA$3,0)),0)</f>
        <v>0</v>
      </c>
      <c r="L808" s="69">
        <f t="shared" si="26"/>
        <v>0</v>
      </c>
    </row>
    <row r="809" spans="2:12" x14ac:dyDescent="0.85">
      <c r="B809" s="48">
        <v>802</v>
      </c>
      <c r="C809" s="277"/>
      <c r="D809" s="284"/>
      <c r="E809" s="44"/>
      <c r="F809" s="44"/>
      <c r="G809" s="49">
        <v>1</v>
      </c>
      <c r="H809" s="73"/>
      <c r="I809" s="44"/>
      <c r="J809" s="48">
        <f t="shared" si="25"/>
        <v>1</v>
      </c>
      <c r="K809" s="48">
        <f>IFERROR(INDEX(TarrifTable,MATCH(Elements!E809,Constants!$V$4:$V$7,0),MATCH(Elements!F809,Constants!$W$3:$AA$3,0)),0)</f>
        <v>0</v>
      </c>
      <c r="L809" s="68">
        <f t="shared" si="26"/>
        <v>0</v>
      </c>
    </row>
    <row r="810" spans="2:12" x14ac:dyDescent="0.85">
      <c r="B810" s="46">
        <v>803</v>
      </c>
      <c r="C810" s="276"/>
      <c r="D810" s="283"/>
      <c r="E810" s="10"/>
      <c r="F810" s="10"/>
      <c r="G810" s="47">
        <v>1</v>
      </c>
      <c r="H810" s="72"/>
      <c r="I810" s="10"/>
      <c r="J810" s="46">
        <f t="shared" si="25"/>
        <v>1</v>
      </c>
      <c r="K810" s="46">
        <f>IFERROR(INDEX(TarrifTable,MATCH(Elements!E810,Constants!$V$4:$V$7,0),MATCH(Elements!F810,Constants!$W$3:$AA$3,0)),0)</f>
        <v>0</v>
      </c>
      <c r="L810" s="69">
        <f t="shared" si="26"/>
        <v>0</v>
      </c>
    </row>
    <row r="811" spans="2:12" x14ac:dyDescent="0.85">
      <c r="B811" s="48">
        <v>804</v>
      </c>
      <c r="C811" s="277"/>
      <c r="D811" s="284"/>
      <c r="E811" s="44"/>
      <c r="F811" s="44"/>
      <c r="G811" s="49">
        <v>1</v>
      </c>
      <c r="H811" s="73"/>
      <c r="I811" s="44"/>
      <c r="J811" s="48">
        <f t="shared" si="25"/>
        <v>1</v>
      </c>
      <c r="K811" s="48">
        <f>IFERROR(INDEX(TarrifTable,MATCH(Elements!E811,Constants!$V$4:$V$7,0),MATCH(Elements!F811,Constants!$W$3:$AA$3,0)),0)</f>
        <v>0</v>
      </c>
      <c r="L811" s="68">
        <f t="shared" si="26"/>
        <v>0</v>
      </c>
    </row>
    <row r="812" spans="2:12" x14ac:dyDescent="0.85">
      <c r="B812" s="46">
        <v>805</v>
      </c>
      <c r="C812" s="276"/>
      <c r="D812" s="283"/>
      <c r="E812" s="10"/>
      <c r="F812" s="10"/>
      <c r="G812" s="47">
        <v>1</v>
      </c>
      <c r="H812" s="72"/>
      <c r="I812" s="10"/>
      <c r="J812" s="46">
        <f t="shared" si="25"/>
        <v>1</v>
      </c>
      <c r="K812" s="46">
        <f>IFERROR(INDEX(TarrifTable,MATCH(Elements!E812,Constants!$V$4:$V$7,0),MATCH(Elements!F812,Constants!$W$3:$AA$3,0)),0)</f>
        <v>0</v>
      </c>
      <c r="L812" s="69">
        <f t="shared" si="26"/>
        <v>0</v>
      </c>
    </row>
    <row r="813" spans="2:12" x14ac:dyDescent="0.85">
      <c r="B813" s="48">
        <v>806</v>
      </c>
      <c r="C813" s="277"/>
      <c r="D813" s="284"/>
      <c r="E813" s="44"/>
      <c r="F813" s="44"/>
      <c r="G813" s="49">
        <v>1</v>
      </c>
      <c r="H813" s="73"/>
      <c r="I813" s="44"/>
      <c r="J813" s="48">
        <f t="shared" si="25"/>
        <v>1</v>
      </c>
      <c r="K813" s="48">
        <f>IFERROR(INDEX(TarrifTable,MATCH(Elements!E813,Constants!$V$4:$V$7,0),MATCH(Elements!F813,Constants!$W$3:$AA$3,0)),0)</f>
        <v>0</v>
      </c>
      <c r="L813" s="68">
        <f t="shared" si="26"/>
        <v>0</v>
      </c>
    </row>
    <row r="814" spans="2:12" x14ac:dyDescent="0.85">
      <c r="B814" s="46">
        <v>807</v>
      </c>
      <c r="C814" s="276"/>
      <c r="D814" s="283"/>
      <c r="E814" s="10"/>
      <c r="F814" s="10"/>
      <c r="G814" s="47">
        <v>1</v>
      </c>
      <c r="H814" s="72"/>
      <c r="I814" s="10"/>
      <c r="J814" s="46">
        <f t="shared" si="25"/>
        <v>1</v>
      </c>
      <c r="K814" s="46">
        <f>IFERROR(INDEX(TarrifTable,MATCH(Elements!E814,Constants!$V$4:$V$7,0),MATCH(Elements!F814,Constants!$W$3:$AA$3,0)),0)</f>
        <v>0</v>
      </c>
      <c r="L814" s="69">
        <f t="shared" si="26"/>
        <v>0</v>
      </c>
    </row>
    <row r="815" spans="2:12" x14ac:dyDescent="0.85">
      <c r="B815" s="48">
        <v>808</v>
      </c>
      <c r="C815" s="277"/>
      <c r="D815" s="284"/>
      <c r="E815" s="44"/>
      <c r="F815" s="44"/>
      <c r="G815" s="49">
        <v>1</v>
      </c>
      <c r="H815" s="73"/>
      <c r="I815" s="44"/>
      <c r="J815" s="48">
        <f t="shared" si="25"/>
        <v>1</v>
      </c>
      <c r="K815" s="48">
        <f>IFERROR(INDEX(TarrifTable,MATCH(Elements!E815,Constants!$V$4:$V$7,0),MATCH(Elements!F815,Constants!$W$3:$AA$3,0)),0)</f>
        <v>0</v>
      </c>
      <c r="L815" s="68">
        <f t="shared" si="26"/>
        <v>0</v>
      </c>
    </row>
    <row r="816" spans="2:12" x14ac:dyDescent="0.85">
      <c r="B816" s="46">
        <v>809</v>
      </c>
      <c r="C816" s="276"/>
      <c r="D816" s="283"/>
      <c r="E816" s="10"/>
      <c r="F816" s="10"/>
      <c r="G816" s="47">
        <v>1</v>
      </c>
      <c r="H816" s="72"/>
      <c r="I816" s="10"/>
      <c r="J816" s="46">
        <f t="shared" si="25"/>
        <v>1</v>
      </c>
      <c r="K816" s="46">
        <f>IFERROR(INDEX(TarrifTable,MATCH(Elements!E816,Constants!$V$4:$V$7,0),MATCH(Elements!F816,Constants!$W$3:$AA$3,0)),0)</f>
        <v>0</v>
      </c>
      <c r="L816" s="69">
        <f t="shared" si="26"/>
        <v>0</v>
      </c>
    </row>
    <row r="817" spans="2:12" x14ac:dyDescent="0.85">
      <c r="B817" s="48">
        <v>810</v>
      </c>
      <c r="C817" s="277"/>
      <c r="D817" s="284"/>
      <c r="E817" s="44"/>
      <c r="F817" s="44"/>
      <c r="G817" s="49">
        <v>1</v>
      </c>
      <c r="H817" s="73"/>
      <c r="I817" s="44"/>
      <c r="J817" s="48">
        <f t="shared" si="25"/>
        <v>1</v>
      </c>
      <c r="K817" s="48">
        <f>IFERROR(INDEX(TarrifTable,MATCH(Elements!E817,Constants!$V$4:$V$7,0),MATCH(Elements!F817,Constants!$W$3:$AA$3,0)),0)</f>
        <v>0</v>
      </c>
      <c r="L817" s="68">
        <f t="shared" si="26"/>
        <v>0</v>
      </c>
    </row>
    <row r="818" spans="2:12" x14ac:dyDescent="0.85">
      <c r="B818" s="46">
        <v>811</v>
      </c>
      <c r="C818" s="276"/>
      <c r="D818" s="283"/>
      <c r="E818" s="10"/>
      <c r="F818" s="10"/>
      <c r="G818" s="47">
        <v>1</v>
      </c>
      <c r="H818" s="72"/>
      <c r="I818" s="10"/>
      <c r="J818" s="46">
        <f t="shared" si="25"/>
        <v>1</v>
      </c>
      <c r="K818" s="46">
        <f>IFERROR(INDEX(TarrifTable,MATCH(Elements!E818,Constants!$V$4:$V$7,0),MATCH(Elements!F818,Constants!$W$3:$AA$3,0)),0)</f>
        <v>0</v>
      </c>
      <c r="L818" s="69">
        <f t="shared" si="26"/>
        <v>0</v>
      </c>
    </row>
    <row r="819" spans="2:12" x14ac:dyDescent="0.85">
      <c r="B819" s="48">
        <v>812</v>
      </c>
      <c r="C819" s="277"/>
      <c r="D819" s="284"/>
      <c r="E819" s="44"/>
      <c r="F819" s="44"/>
      <c r="G819" s="49">
        <v>1</v>
      </c>
      <c r="H819" s="73"/>
      <c r="I819" s="44"/>
      <c r="J819" s="48">
        <f t="shared" si="25"/>
        <v>1</v>
      </c>
      <c r="K819" s="48">
        <f>IFERROR(INDEX(TarrifTable,MATCH(Elements!E819,Constants!$V$4:$V$7,0),MATCH(Elements!F819,Constants!$W$3:$AA$3,0)),0)</f>
        <v>0</v>
      </c>
      <c r="L819" s="68">
        <f t="shared" si="26"/>
        <v>0</v>
      </c>
    </row>
    <row r="820" spans="2:12" x14ac:dyDescent="0.85">
      <c r="B820" s="46">
        <v>813</v>
      </c>
      <c r="C820" s="276"/>
      <c r="D820" s="283"/>
      <c r="E820" s="10"/>
      <c r="F820" s="10"/>
      <c r="G820" s="47">
        <v>1</v>
      </c>
      <c r="H820" s="72"/>
      <c r="I820" s="10"/>
      <c r="J820" s="46">
        <f t="shared" si="25"/>
        <v>1</v>
      </c>
      <c r="K820" s="46">
        <f>IFERROR(INDEX(TarrifTable,MATCH(Elements!E820,Constants!$V$4:$V$7,0),MATCH(Elements!F820,Constants!$W$3:$AA$3,0)),0)</f>
        <v>0</v>
      </c>
      <c r="L820" s="69">
        <f t="shared" si="26"/>
        <v>0</v>
      </c>
    </row>
    <row r="821" spans="2:12" x14ac:dyDescent="0.85">
      <c r="B821" s="48">
        <v>814</v>
      </c>
      <c r="C821" s="277"/>
      <c r="D821" s="284"/>
      <c r="E821" s="44"/>
      <c r="F821" s="44"/>
      <c r="G821" s="49">
        <v>1</v>
      </c>
      <c r="H821" s="73"/>
      <c r="I821" s="44"/>
      <c r="J821" s="48">
        <f t="shared" si="25"/>
        <v>1</v>
      </c>
      <c r="K821" s="48">
        <f>IFERROR(INDEX(TarrifTable,MATCH(Elements!E821,Constants!$V$4:$V$7,0),MATCH(Elements!F821,Constants!$W$3:$AA$3,0)),0)</f>
        <v>0</v>
      </c>
      <c r="L821" s="68">
        <f t="shared" si="26"/>
        <v>0</v>
      </c>
    </row>
    <row r="822" spans="2:12" x14ac:dyDescent="0.85">
      <c r="B822" s="46">
        <v>815</v>
      </c>
      <c r="C822" s="276"/>
      <c r="D822" s="283"/>
      <c r="E822" s="10"/>
      <c r="F822" s="10"/>
      <c r="G822" s="47">
        <v>1</v>
      </c>
      <c r="H822" s="72"/>
      <c r="I822" s="10"/>
      <c r="J822" s="46">
        <f t="shared" si="25"/>
        <v>1</v>
      </c>
      <c r="K822" s="46">
        <f>IFERROR(INDEX(TarrifTable,MATCH(Elements!E822,Constants!$V$4:$V$7,0),MATCH(Elements!F822,Constants!$W$3:$AA$3,0)),0)</f>
        <v>0</v>
      </c>
      <c r="L822" s="69">
        <f t="shared" si="26"/>
        <v>0</v>
      </c>
    </row>
    <row r="823" spans="2:12" x14ac:dyDescent="0.85">
      <c r="B823" s="48">
        <v>816</v>
      </c>
      <c r="C823" s="277"/>
      <c r="D823" s="284"/>
      <c r="E823" s="44"/>
      <c r="F823" s="44"/>
      <c r="G823" s="49">
        <v>1</v>
      </c>
      <c r="H823" s="73"/>
      <c r="I823" s="44"/>
      <c r="J823" s="48">
        <f t="shared" si="25"/>
        <v>1</v>
      </c>
      <c r="K823" s="48">
        <f>IFERROR(INDEX(TarrifTable,MATCH(Elements!E823,Constants!$V$4:$V$7,0),MATCH(Elements!F823,Constants!$W$3:$AA$3,0)),0)</f>
        <v>0</v>
      </c>
      <c r="L823" s="68">
        <f t="shared" si="26"/>
        <v>0</v>
      </c>
    </row>
    <row r="824" spans="2:12" x14ac:dyDescent="0.85">
      <c r="B824" s="46">
        <v>817</v>
      </c>
      <c r="C824" s="276"/>
      <c r="D824" s="283"/>
      <c r="E824" s="10"/>
      <c r="F824" s="10"/>
      <c r="G824" s="47">
        <v>1</v>
      </c>
      <c r="H824" s="72"/>
      <c r="I824" s="10"/>
      <c r="J824" s="46">
        <f t="shared" si="25"/>
        <v>1</v>
      </c>
      <c r="K824" s="46">
        <f>IFERROR(INDEX(TarrifTable,MATCH(Elements!E824,Constants!$V$4:$V$7,0),MATCH(Elements!F824,Constants!$W$3:$AA$3,0)),0)</f>
        <v>0</v>
      </c>
      <c r="L824" s="69">
        <f t="shared" si="26"/>
        <v>0</v>
      </c>
    </row>
    <row r="825" spans="2:12" x14ac:dyDescent="0.85">
      <c r="B825" s="48">
        <v>818</v>
      </c>
      <c r="C825" s="277"/>
      <c r="D825" s="284"/>
      <c r="E825" s="44"/>
      <c r="F825" s="44"/>
      <c r="G825" s="49">
        <v>1</v>
      </c>
      <c r="H825" s="73"/>
      <c r="I825" s="44"/>
      <c r="J825" s="48">
        <f t="shared" si="25"/>
        <v>1</v>
      </c>
      <c r="K825" s="48">
        <f>IFERROR(INDEX(TarrifTable,MATCH(Elements!E825,Constants!$V$4:$V$7,0),MATCH(Elements!F825,Constants!$W$3:$AA$3,0)),0)</f>
        <v>0</v>
      </c>
      <c r="L825" s="68">
        <f t="shared" si="26"/>
        <v>0</v>
      </c>
    </row>
    <row r="826" spans="2:12" x14ac:dyDescent="0.85">
      <c r="B826" s="46">
        <v>819</v>
      </c>
      <c r="C826" s="276"/>
      <c r="D826" s="283"/>
      <c r="E826" s="10"/>
      <c r="F826" s="10"/>
      <c r="G826" s="47">
        <v>1</v>
      </c>
      <c r="H826" s="72"/>
      <c r="I826" s="10"/>
      <c r="J826" s="46">
        <f t="shared" si="25"/>
        <v>1</v>
      </c>
      <c r="K826" s="46">
        <f>IFERROR(INDEX(TarrifTable,MATCH(Elements!E826,Constants!$V$4:$V$7,0),MATCH(Elements!F826,Constants!$W$3:$AA$3,0)),0)</f>
        <v>0</v>
      </c>
      <c r="L826" s="69">
        <f t="shared" si="26"/>
        <v>0</v>
      </c>
    </row>
    <row r="827" spans="2:12" x14ac:dyDescent="0.85">
      <c r="B827" s="48">
        <v>820</v>
      </c>
      <c r="C827" s="277"/>
      <c r="D827" s="284"/>
      <c r="E827" s="44"/>
      <c r="F827" s="44"/>
      <c r="G827" s="49">
        <v>1</v>
      </c>
      <c r="H827" s="73"/>
      <c r="I827" s="44"/>
      <c r="J827" s="48">
        <f t="shared" si="25"/>
        <v>1</v>
      </c>
      <c r="K827" s="48">
        <f>IFERROR(INDEX(TarrifTable,MATCH(Elements!E827,Constants!$V$4:$V$7,0),MATCH(Elements!F827,Constants!$W$3:$AA$3,0)),0)</f>
        <v>0</v>
      </c>
      <c r="L827" s="68">
        <f t="shared" si="26"/>
        <v>0</v>
      </c>
    </row>
    <row r="828" spans="2:12" x14ac:dyDescent="0.85">
      <c r="B828" s="46">
        <v>821</v>
      </c>
      <c r="C828" s="276"/>
      <c r="D828" s="283"/>
      <c r="E828" s="10"/>
      <c r="F828" s="10"/>
      <c r="G828" s="47">
        <v>1</v>
      </c>
      <c r="H828" s="72"/>
      <c r="I828" s="10"/>
      <c r="J828" s="46">
        <f t="shared" si="25"/>
        <v>1</v>
      </c>
      <c r="K828" s="46">
        <f>IFERROR(INDEX(TarrifTable,MATCH(Elements!E828,Constants!$V$4:$V$7,0),MATCH(Elements!F828,Constants!$W$3:$AA$3,0)),0)</f>
        <v>0</v>
      </c>
      <c r="L828" s="69">
        <f t="shared" si="26"/>
        <v>0</v>
      </c>
    </row>
    <row r="829" spans="2:12" x14ac:dyDescent="0.85">
      <c r="B829" s="48">
        <v>822</v>
      </c>
      <c r="C829" s="277"/>
      <c r="D829" s="284"/>
      <c r="E829" s="44"/>
      <c r="F829" s="44"/>
      <c r="G829" s="49">
        <v>1</v>
      </c>
      <c r="H829" s="73"/>
      <c r="I829" s="44"/>
      <c r="J829" s="48">
        <f t="shared" si="25"/>
        <v>1</v>
      </c>
      <c r="K829" s="48">
        <f>IFERROR(INDEX(TarrifTable,MATCH(Elements!E829,Constants!$V$4:$V$7,0),MATCH(Elements!F829,Constants!$W$3:$AA$3,0)),0)</f>
        <v>0</v>
      </c>
      <c r="L829" s="68">
        <f t="shared" si="26"/>
        <v>0</v>
      </c>
    </row>
    <row r="830" spans="2:12" x14ac:dyDescent="0.85">
      <c r="B830" s="46">
        <v>823</v>
      </c>
      <c r="C830" s="276"/>
      <c r="D830" s="283"/>
      <c r="E830" s="10"/>
      <c r="F830" s="10"/>
      <c r="G830" s="47">
        <v>1</v>
      </c>
      <c r="H830" s="72"/>
      <c r="I830" s="10"/>
      <c r="J830" s="46">
        <f t="shared" si="25"/>
        <v>1</v>
      </c>
      <c r="K830" s="46">
        <f>IFERROR(INDEX(TarrifTable,MATCH(Elements!E830,Constants!$V$4:$V$7,0),MATCH(Elements!F830,Constants!$W$3:$AA$3,0)),0)</f>
        <v>0</v>
      </c>
      <c r="L830" s="69">
        <f t="shared" si="26"/>
        <v>0</v>
      </c>
    </row>
    <row r="831" spans="2:12" x14ac:dyDescent="0.85">
      <c r="B831" s="48">
        <v>824</v>
      </c>
      <c r="C831" s="277"/>
      <c r="D831" s="284"/>
      <c r="E831" s="44"/>
      <c r="F831" s="44"/>
      <c r="G831" s="49">
        <v>1</v>
      </c>
      <c r="H831" s="73"/>
      <c r="I831" s="44"/>
      <c r="J831" s="48">
        <f t="shared" si="25"/>
        <v>1</v>
      </c>
      <c r="K831" s="48">
        <f>IFERROR(INDEX(TarrifTable,MATCH(Elements!E831,Constants!$V$4:$V$7,0),MATCH(Elements!F831,Constants!$W$3:$AA$3,0)),0)</f>
        <v>0</v>
      </c>
      <c r="L831" s="68">
        <f t="shared" si="26"/>
        <v>0</v>
      </c>
    </row>
    <row r="832" spans="2:12" x14ac:dyDescent="0.85">
      <c r="B832" s="46">
        <v>825</v>
      </c>
      <c r="C832" s="276"/>
      <c r="D832" s="283"/>
      <c r="E832" s="10"/>
      <c r="F832" s="10"/>
      <c r="G832" s="47">
        <v>1</v>
      </c>
      <c r="H832" s="72"/>
      <c r="I832" s="10"/>
      <c r="J832" s="46">
        <f t="shared" si="25"/>
        <v>1</v>
      </c>
      <c r="K832" s="46">
        <f>IFERROR(INDEX(TarrifTable,MATCH(Elements!E832,Constants!$V$4:$V$7,0),MATCH(Elements!F832,Constants!$W$3:$AA$3,0)),0)</f>
        <v>0</v>
      </c>
      <c r="L832" s="69">
        <f t="shared" si="26"/>
        <v>0</v>
      </c>
    </row>
    <row r="833" spans="2:12" x14ac:dyDescent="0.85">
      <c r="B833" s="48">
        <v>826</v>
      </c>
      <c r="C833" s="277"/>
      <c r="D833" s="284"/>
      <c r="E833" s="44"/>
      <c r="F833" s="44"/>
      <c r="G833" s="49">
        <v>1</v>
      </c>
      <c r="H833" s="73"/>
      <c r="I833" s="44"/>
      <c r="J833" s="48">
        <f t="shared" si="25"/>
        <v>1</v>
      </c>
      <c r="K833" s="48">
        <f>IFERROR(INDEX(TarrifTable,MATCH(Elements!E833,Constants!$V$4:$V$7,0),MATCH(Elements!F833,Constants!$W$3:$AA$3,0)),0)</f>
        <v>0</v>
      </c>
      <c r="L833" s="68">
        <f t="shared" si="26"/>
        <v>0</v>
      </c>
    </row>
    <row r="834" spans="2:12" x14ac:dyDescent="0.85">
      <c r="B834" s="46">
        <v>827</v>
      </c>
      <c r="C834" s="276"/>
      <c r="D834" s="283"/>
      <c r="E834" s="10"/>
      <c r="F834" s="10"/>
      <c r="G834" s="47">
        <v>1</v>
      </c>
      <c r="H834" s="72"/>
      <c r="I834" s="10"/>
      <c r="J834" s="46">
        <f t="shared" si="25"/>
        <v>1</v>
      </c>
      <c r="K834" s="46">
        <f>IFERROR(INDEX(TarrifTable,MATCH(Elements!E834,Constants!$V$4:$V$7,0),MATCH(Elements!F834,Constants!$W$3:$AA$3,0)),0)</f>
        <v>0</v>
      </c>
      <c r="L834" s="69">
        <f t="shared" si="26"/>
        <v>0</v>
      </c>
    </row>
    <row r="835" spans="2:12" x14ac:dyDescent="0.85">
      <c r="B835" s="48">
        <v>828</v>
      </c>
      <c r="C835" s="277"/>
      <c r="D835" s="284"/>
      <c r="E835" s="44"/>
      <c r="F835" s="44"/>
      <c r="G835" s="49">
        <v>1</v>
      </c>
      <c r="H835" s="73"/>
      <c r="I835" s="44"/>
      <c r="J835" s="48">
        <f t="shared" si="25"/>
        <v>1</v>
      </c>
      <c r="K835" s="48">
        <f>IFERROR(INDEX(TarrifTable,MATCH(Elements!E835,Constants!$V$4:$V$7,0),MATCH(Elements!F835,Constants!$W$3:$AA$3,0)),0)</f>
        <v>0</v>
      </c>
      <c r="L835" s="68">
        <f t="shared" si="26"/>
        <v>0</v>
      </c>
    </row>
    <row r="836" spans="2:12" x14ac:dyDescent="0.85">
      <c r="B836" s="46">
        <v>829</v>
      </c>
      <c r="C836" s="276"/>
      <c r="D836" s="283"/>
      <c r="E836" s="10"/>
      <c r="F836" s="10"/>
      <c r="G836" s="47">
        <v>1</v>
      </c>
      <c r="H836" s="72"/>
      <c r="I836" s="10"/>
      <c r="J836" s="46">
        <f t="shared" si="25"/>
        <v>1</v>
      </c>
      <c r="K836" s="46">
        <f>IFERROR(INDEX(TarrifTable,MATCH(Elements!E836,Constants!$V$4:$V$7,0),MATCH(Elements!F836,Constants!$W$3:$AA$3,0)),0)</f>
        <v>0</v>
      </c>
      <c r="L836" s="69">
        <f t="shared" si="26"/>
        <v>0</v>
      </c>
    </row>
    <row r="837" spans="2:12" x14ac:dyDescent="0.85">
      <c r="B837" s="48">
        <v>830</v>
      </c>
      <c r="C837" s="277"/>
      <c r="D837" s="284"/>
      <c r="E837" s="44"/>
      <c r="F837" s="44"/>
      <c r="G837" s="49">
        <v>1</v>
      </c>
      <c r="H837" s="73"/>
      <c r="I837" s="44"/>
      <c r="J837" s="48">
        <f t="shared" si="25"/>
        <v>1</v>
      </c>
      <c r="K837" s="48">
        <f>IFERROR(INDEX(TarrifTable,MATCH(Elements!E837,Constants!$V$4:$V$7,0),MATCH(Elements!F837,Constants!$W$3:$AA$3,0)),0)</f>
        <v>0</v>
      </c>
      <c r="L837" s="68">
        <f t="shared" si="26"/>
        <v>0</v>
      </c>
    </row>
    <row r="838" spans="2:12" x14ac:dyDescent="0.85">
      <c r="B838" s="46">
        <v>831</v>
      </c>
      <c r="C838" s="276"/>
      <c r="D838" s="283"/>
      <c r="E838" s="10"/>
      <c r="F838" s="10"/>
      <c r="G838" s="47">
        <v>1</v>
      </c>
      <c r="H838" s="72"/>
      <c r="I838" s="10"/>
      <c r="J838" s="46">
        <f t="shared" si="25"/>
        <v>1</v>
      </c>
      <c r="K838" s="46">
        <f>IFERROR(INDEX(TarrifTable,MATCH(Elements!E838,Constants!$V$4:$V$7,0),MATCH(Elements!F838,Constants!$W$3:$AA$3,0)),0)</f>
        <v>0</v>
      </c>
      <c r="L838" s="69">
        <f t="shared" si="26"/>
        <v>0</v>
      </c>
    </row>
    <row r="839" spans="2:12" x14ac:dyDescent="0.85">
      <c r="B839" s="48">
        <v>832</v>
      </c>
      <c r="C839" s="277"/>
      <c r="D839" s="284"/>
      <c r="E839" s="44"/>
      <c r="F839" s="44"/>
      <c r="G839" s="49">
        <v>1</v>
      </c>
      <c r="H839" s="73"/>
      <c r="I839" s="44"/>
      <c r="J839" s="48">
        <f t="shared" si="25"/>
        <v>1</v>
      </c>
      <c r="K839" s="48">
        <f>IFERROR(INDEX(TarrifTable,MATCH(Elements!E839,Constants!$V$4:$V$7,0),MATCH(Elements!F839,Constants!$W$3:$AA$3,0)),0)</f>
        <v>0</v>
      </c>
      <c r="L839" s="68">
        <f t="shared" si="26"/>
        <v>0</v>
      </c>
    </row>
    <row r="840" spans="2:12" x14ac:dyDescent="0.85">
      <c r="B840" s="46">
        <v>833</v>
      </c>
      <c r="C840" s="276"/>
      <c r="D840" s="283"/>
      <c r="E840" s="10"/>
      <c r="F840" s="10"/>
      <c r="G840" s="47">
        <v>1</v>
      </c>
      <c r="H840" s="72"/>
      <c r="I840" s="10"/>
      <c r="J840" s="46">
        <f t="shared" ref="J840:J903" si="27">IF(ISBLANK(H840),1,H840)</f>
        <v>1</v>
      </c>
      <c r="K840" s="46">
        <f>IFERROR(INDEX(TarrifTable,MATCH(Elements!E840,Constants!$V$4:$V$7,0),MATCH(Elements!F840,Constants!$W$3:$AA$3,0)),0)</f>
        <v>0</v>
      </c>
      <c r="L840" s="69">
        <f t="shared" ref="L840:L903" si="28">J840*G840*K840</f>
        <v>0</v>
      </c>
    </row>
    <row r="841" spans="2:12" x14ac:dyDescent="0.85">
      <c r="B841" s="48">
        <v>834</v>
      </c>
      <c r="C841" s="277"/>
      <c r="D841" s="284"/>
      <c r="E841" s="44"/>
      <c r="F841" s="44"/>
      <c r="G841" s="49">
        <v>1</v>
      </c>
      <c r="H841" s="73"/>
      <c r="I841" s="44"/>
      <c r="J841" s="48">
        <f t="shared" si="27"/>
        <v>1</v>
      </c>
      <c r="K841" s="48">
        <f>IFERROR(INDEX(TarrifTable,MATCH(Elements!E841,Constants!$V$4:$V$7,0),MATCH(Elements!F841,Constants!$W$3:$AA$3,0)),0)</f>
        <v>0</v>
      </c>
      <c r="L841" s="68">
        <f t="shared" si="28"/>
        <v>0</v>
      </c>
    </row>
    <row r="842" spans="2:12" x14ac:dyDescent="0.85">
      <c r="B842" s="46">
        <v>835</v>
      </c>
      <c r="C842" s="276"/>
      <c r="D842" s="283"/>
      <c r="E842" s="10"/>
      <c r="F842" s="10"/>
      <c r="G842" s="47">
        <v>1</v>
      </c>
      <c r="H842" s="72"/>
      <c r="I842" s="10"/>
      <c r="J842" s="46">
        <f t="shared" si="27"/>
        <v>1</v>
      </c>
      <c r="K842" s="46">
        <f>IFERROR(INDEX(TarrifTable,MATCH(Elements!E842,Constants!$V$4:$V$7,0),MATCH(Elements!F842,Constants!$W$3:$AA$3,0)),0)</f>
        <v>0</v>
      </c>
      <c r="L842" s="69">
        <f t="shared" si="28"/>
        <v>0</v>
      </c>
    </row>
    <row r="843" spans="2:12" x14ac:dyDescent="0.85">
      <c r="B843" s="48">
        <v>836</v>
      </c>
      <c r="C843" s="277"/>
      <c r="D843" s="284"/>
      <c r="E843" s="44"/>
      <c r="F843" s="44"/>
      <c r="G843" s="49">
        <v>1</v>
      </c>
      <c r="H843" s="73"/>
      <c r="I843" s="44"/>
      <c r="J843" s="48">
        <f t="shared" si="27"/>
        <v>1</v>
      </c>
      <c r="K843" s="48">
        <f>IFERROR(INDEX(TarrifTable,MATCH(Elements!E843,Constants!$V$4:$V$7,0),MATCH(Elements!F843,Constants!$W$3:$AA$3,0)),0)</f>
        <v>0</v>
      </c>
      <c r="L843" s="68">
        <f t="shared" si="28"/>
        <v>0</v>
      </c>
    </row>
    <row r="844" spans="2:12" x14ac:dyDescent="0.85">
      <c r="B844" s="46">
        <v>837</v>
      </c>
      <c r="C844" s="276"/>
      <c r="D844" s="283"/>
      <c r="E844" s="10"/>
      <c r="F844" s="10"/>
      <c r="G844" s="47">
        <v>1</v>
      </c>
      <c r="H844" s="72"/>
      <c r="I844" s="10"/>
      <c r="J844" s="46">
        <f t="shared" si="27"/>
        <v>1</v>
      </c>
      <c r="K844" s="46">
        <f>IFERROR(INDEX(TarrifTable,MATCH(Elements!E844,Constants!$V$4:$V$7,0),MATCH(Elements!F844,Constants!$W$3:$AA$3,0)),0)</f>
        <v>0</v>
      </c>
      <c r="L844" s="69">
        <f t="shared" si="28"/>
        <v>0</v>
      </c>
    </row>
    <row r="845" spans="2:12" x14ac:dyDescent="0.85">
      <c r="B845" s="48">
        <v>838</v>
      </c>
      <c r="C845" s="277"/>
      <c r="D845" s="284"/>
      <c r="E845" s="44"/>
      <c r="F845" s="44"/>
      <c r="G845" s="49">
        <v>1</v>
      </c>
      <c r="H845" s="73"/>
      <c r="I845" s="44"/>
      <c r="J845" s="48">
        <f t="shared" si="27"/>
        <v>1</v>
      </c>
      <c r="K845" s="48">
        <f>IFERROR(INDEX(TarrifTable,MATCH(Elements!E845,Constants!$V$4:$V$7,0),MATCH(Elements!F845,Constants!$W$3:$AA$3,0)),0)</f>
        <v>0</v>
      </c>
      <c r="L845" s="68">
        <f t="shared" si="28"/>
        <v>0</v>
      </c>
    </row>
    <row r="846" spans="2:12" x14ac:dyDescent="0.85">
      <c r="B846" s="46">
        <v>839</v>
      </c>
      <c r="C846" s="276"/>
      <c r="D846" s="283"/>
      <c r="E846" s="10"/>
      <c r="F846" s="10"/>
      <c r="G846" s="47">
        <v>1</v>
      </c>
      <c r="H846" s="72"/>
      <c r="I846" s="10"/>
      <c r="J846" s="46">
        <f t="shared" si="27"/>
        <v>1</v>
      </c>
      <c r="K846" s="46">
        <f>IFERROR(INDEX(TarrifTable,MATCH(Elements!E846,Constants!$V$4:$V$7,0),MATCH(Elements!F846,Constants!$W$3:$AA$3,0)),0)</f>
        <v>0</v>
      </c>
      <c r="L846" s="69">
        <f t="shared" si="28"/>
        <v>0</v>
      </c>
    </row>
    <row r="847" spans="2:12" x14ac:dyDescent="0.85">
      <c r="B847" s="48">
        <v>840</v>
      </c>
      <c r="C847" s="277"/>
      <c r="D847" s="284"/>
      <c r="E847" s="44"/>
      <c r="F847" s="44"/>
      <c r="G847" s="49">
        <v>1</v>
      </c>
      <c r="H847" s="73"/>
      <c r="I847" s="44"/>
      <c r="J847" s="48">
        <f t="shared" si="27"/>
        <v>1</v>
      </c>
      <c r="K847" s="48">
        <f>IFERROR(INDEX(TarrifTable,MATCH(Elements!E847,Constants!$V$4:$V$7,0),MATCH(Elements!F847,Constants!$W$3:$AA$3,0)),0)</f>
        <v>0</v>
      </c>
      <c r="L847" s="68">
        <f t="shared" si="28"/>
        <v>0</v>
      </c>
    </row>
    <row r="848" spans="2:12" x14ac:dyDescent="0.85">
      <c r="B848" s="46">
        <v>841</v>
      </c>
      <c r="C848" s="276"/>
      <c r="D848" s="283"/>
      <c r="E848" s="10"/>
      <c r="F848" s="10"/>
      <c r="G848" s="47">
        <v>1</v>
      </c>
      <c r="H848" s="72"/>
      <c r="I848" s="10"/>
      <c r="J848" s="46">
        <f t="shared" si="27"/>
        <v>1</v>
      </c>
      <c r="K848" s="46">
        <f>IFERROR(INDEX(TarrifTable,MATCH(Elements!E848,Constants!$V$4:$V$7,0),MATCH(Elements!F848,Constants!$W$3:$AA$3,0)),0)</f>
        <v>0</v>
      </c>
      <c r="L848" s="69">
        <f t="shared" si="28"/>
        <v>0</v>
      </c>
    </row>
    <row r="849" spans="2:12" x14ac:dyDescent="0.85">
      <c r="B849" s="48">
        <v>842</v>
      </c>
      <c r="C849" s="277"/>
      <c r="D849" s="284"/>
      <c r="E849" s="44"/>
      <c r="F849" s="44"/>
      <c r="G849" s="49">
        <v>1</v>
      </c>
      <c r="H849" s="73"/>
      <c r="I849" s="44"/>
      <c r="J849" s="48">
        <f t="shared" si="27"/>
        <v>1</v>
      </c>
      <c r="K849" s="48">
        <f>IFERROR(INDEX(TarrifTable,MATCH(Elements!E849,Constants!$V$4:$V$7,0),MATCH(Elements!F849,Constants!$W$3:$AA$3,0)),0)</f>
        <v>0</v>
      </c>
      <c r="L849" s="68">
        <f t="shared" si="28"/>
        <v>0</v>
      </c>
    </row>
    <row r="850" spans="2:12" x14ac:dyDescent="0.85">
      <c r="B850" s="46">
        <v>843</v>
      </c>
      <c r="C850" s="276"/>
      <c r="D850" s="283"/>
      <c r="E850" s="10"/>
      <c r="F850" s="10"/>
      <c r="G850" s="47">
        <v>1</v>
      </c>
      <c r="H850" s="72"/>
      <c r="I850" s="10"/>
      <c r="J850" s="46">
        <f t="shared" si="27"/>
        <v>1</v>
      </c>
      <c r="K850" s="46">
        <f>IFERROR(INDEX(TarrifTable,MATCH(Elements!E850,Constants!$V$4:$V$7,0),MATCH(Elements!F850,Constants!$W$3:$AA$3,0)),0)</f>
        <v>0</v>
      </c>
      <c r="L850" s="69">
        <f t="shared" si="28"/>
        <v>0</v>
      </c>
    </row>
    <row r="851" spans="2:12" x14ac:dyDescent="0.85">
      <c r="B851" s="48">
        <v>844</v>
      </c>
      <c r="C851" s="277"/>
      <c r="D851" s="284"/>
      <c r="E851" s="44"/>
      <c r="F851" s="44"/>
      <c r="G851" s="49">
        <v>1</v>
      </c>
      <c r="H851" s="73"/>
      <c r="I851" s="44"/>
      <c r="J851" s="48">
        <f t="shared" si="27"/>
        <v>1</v>
      </c>
      <c r="K851" s="48">
        <f>IFERROR(INDEX(TarrifTable,MATCH(Elements!E851,Constants!$V$4:$V$7,0),MATCH(Elements!F851,Constants!$W$3:$AA$3,0)),0)</f>
        <v>0</v>
      </c>
      <c r="L851" s="68">
        <f t="shared" si="28"/>
        <v>0</v>
      </c>
    </row>
    <row r="852" spans="2:12" x14ac:dyDescent="0.85">
      <c r="B852" s="46">
        <v>845</v>
      </c>
      <c r="C852" s="276"/>
      <c r="D852" s="283"/>
      <c r="E852" s="10"/>
      <c r="F852" s="10"/>
      <c r="G852" s="47">
        <v>1</v>
      </c>
      <c r="H852" s="72"/>
      <c r="I852" s="10"/>
      <c r="J852" s="46">
        <f t="shared" si="27"/>
        <v>1</v>
      </c>
      <c r="K852" s="46">
        <f>IFERROR(INDEX(TarrifTable,MATCH(Elements!E852,Constants!$V$4:$V$7,0),MATCH(Elements!F852,Constants!$W$3:$AA$3,0)),0)</f>
        <v>0</v>
      </c>
      <c r="L852" s="69">
        <f t="shared" si="28"/>
        <v>0</v>
      </c>
    </row>
    <row r="853" spans="2:12" x14ac:dyDescent="0.85">
      <c r="B853" s="48">
        <v>846</v>
      </c>
      <c r="C853" s="277"/>
      <c r="D853" s="284"/>
      <c r="E853" s="44"/>
      <c r="F853" s="44"/>
      <c r="G853" s="49">
        <v>1</v>
      </c>
      <c r="H853" s="73"/>
      <c r="I853" s="44"/>
      <c r="J853" s="48">
        <f t="shared" si="27"/>
        <v>1</v>
      </c>
      <c r="K853" s="48">
        <f>IFERROR(INDEX(TarrifTable,MATCH(Elements!E853,Constants!$V$4:$V$7,0),MATCH(Elements!F853,Constants!$W$3:$AA$3,0)),0)</f>
        <v>0</v>
      </c>
      <c r="L853" s="68">
        <f t="shared" si="28"/>
        <v>0</v>
      </c>
    </row>
    <row r="854" spans="2:12" x14ac:dyDescent="0.85">
      <c r="B854" s="46">
        <v>847</v>
      </c>
      <c r="C854" s="276"/>
      <c r="D854" s="283"/>
      <c r="E854" s="10"/>
      <c r="F854" s="10"/>
      <c r="G854" s="47">
        <v>1</v>
      </c>
      <c r="H854" s="72"/>
      <c r="I854" s="10"/>
      <c r="J854" s="46">
        <f t="shared" si="27"/>
        <v>1</v>
      </c>
      <c r="K854" s="46">
        <f>IFERROR(INDEX(TarrifTable,MATCH(Elements!E854,Constants!$V$4:$V$7,0),MATCH(Elements!F854,Constants!$W$3:$AA$3,0)),0)</f>
        <v>0</v>
      </c>
      <c r="L854" s="69">
        <f t="shared" si="28"/>
        <v>0</v>
      </c>
    </row>
    <row r="855" spans="2:12" x14ac:dyDescent="0.85">
      <c r="B855" s="48">
        <v>848</v>
      </c>
      <c r="C855" s="277"/>
      <c r="D855" s="284"/>
      <c r="E855" s="44"/>
      <c r="F855" s="44"/>
      <c r="G855" s="49">
        <v>1</v>
      </c>
      <c r="H855" s="73"/>
      <c r="I855" s="44"/>
      <c r="J855" s="48">
        <f t="shared" si="27"/>
        <v>1</v>
      </c>
      <c r="K855" s="48">
        <f>IFERROR(INDEX(TarrifTable,MATCH(Elements!E855,Constants!$V$4:$V$7,0),MATCH(Elements!F855,Constants!$W$3:$AA$3,0)),0)</f>
        <v>0</v>
      </c>
      <c r="L855" s="68">
        <f t="shared" si="28"/>
        <v>0</v>
      </c>
    </row>
    <row r="856" spans="2:12" x14ac:dyDescent="0.85">
      <c r="B856" s="46">
        <v>849</v>
      </c>
      <c r="C856" s="276"/>
      <c r="D856" s="283"/>
      <c r="E856" s="10"/>
      <c r="F856" s="10"/>
      <c r="G856" s="47">
        <v>1</v>
      </c>
      <c r="H856" s="72"/>
      <c r="I856" s="10"/>
      <c r="J856" s="46">
        <f t="shared" si="27"/>
        <v>1</v>
      </c>
      <c r="K856" s="46">
        <f>IFERROR(INDEX(TarrifTable,MATCH(Elements!E856,Constants!$V$4:$V$7,0),MATCH(Elements!F856,Constants!$W$3:$AA$3,0)),0)</f>
        <v>0</v>
      </c>
      <c r="L856" s="69">
        <f t="shared" si="28"/>
        <v>0</v>
      </c>
    </row>
    <row r="857" spans="2:12" x14ac:dyDescent="0.85">
      <c r="B857" s="48">
        <v>850</v>
      </c>
      <c r="C857" s="277"/>
      <c r="D857" s="284"/>
      <c r="E857" s="44"/>
      <c r="F857" s="44"/>
      <c r="G857" s="49">
        <v>1</v>
      </c>
      <c r="H857" s="73"/>
      <c r="I857" s="44"/>
      <c r="J857" s="48">
        <f t="shared" si="27"/>
        <v>1</v>
      </c>
      <c r="K857" s="48">
        <f>IFERROR(INDEX(TarrifTable,MATCH(Elements!E857,Constants!$V$4:$V$7,0),MATCH(Elements!F857,Constants!$W$3:$AA$3,0)),0)</f>
        <v>0</v>
      </c>
      <c r="L857" s="68">
        <f t="shared" si="28"/>
        <v>0</v>
      </c>
    </row>
    <row r="858" spans="2:12" x14ac:dyDescent="0.85">
      <c r="B858" s="46">
        <v>851</v>
      </c>
      <c r="C858" s="276"/>
      <c r="D858" s="283"/>
      <c r="E858" s="10"/>
      <c r="F858" s="10"/>
      <c r="G858" s="47">
        <v>1</v>
      </c>
      <c r="H858" s="72"/>
      <c r="I858" s="10"/>
      <c r="J858" s="46">
        <f t="shared" si="27"/>
        <v>1</v>
      </c>
      <c r="K858" s="46">
        <f>IFERROR(INDEX(TarrifTable,MATCH(Elements!E858,Constants!$V$4:$V$7,0),MATCH(Elements!F858,Constants!$W$3:$AA$3,0)),0)</f>
        <v>0</v>
      </c>
      <c r="L858" s="69">
        <f t="shared" si="28"/>
        <v>0</v>
      </c>
    </row>
    <row r="859" spans="2:12" x14ac:dyDescent="0.85">
      <c r="B859" s="48">
        <v>852</v>
      </c>
      <c r="C859" s="277"/>
      <c r="D859" s="284"/>
      <c r="E859" s="44"/>
      <c r="F859" s="44"/>
      <c r="G859" s="49">
        <v>1</v>
      </c>
      <c r="H859" s="73"/>
      <c r="I859" s="44"/>
      <c r="J859" s="48">
        <f t="shared" si="27"/>
        <v>1</v>
      </c>
      <c r="K859" s="48">
        <f>IFERROR(INDEX(TarrifTable,MATCH(Elements!E859,Constants!$V$4:$V$7,0),MATCH(Elements!F859,Constants!$W$3:$AA$3,0)),0)</f>
        <v>0</v>
      </c>
      <c r="L859" s="68">
        <f t="shared" si="28"/>
        <v>0</v>
      </c>
    </row>
    <row r="860" spans="2:12" x14ac:dyDescent="0.85">
      <c r="B860" s="46">
        <v>853</v>
      </c>
      <c r="C860" s="276"/>
      <c r="D860" s="283"/>
      <c r="E860" s="10"/>
      <c r="F860" s="10"/>
      <c r="G860" s="47">
        <v>1</v>
      </c>
      <c r="H860" s="72"/>
      <c r="I860" s="10"/>
      <c r="J860" s="46">
        <f t="shared" si="27"/>
        <v>1</v>
      </c>
      <c r="K860" s="46">
        <f>IFERROR(INDEX(TarrifTable,MATCH(Elements!E860,Constants!$V$4:$V$7,0),MATCH(Elements!F860,Constants!$W$3:$AA$3,0)),0)</f>
        <v>0</v>
      </c>
      <c r="L860" s="69">
        <f t="shared" si="28"/>
        <v>0</v>
      </c>
    </row>
    <row r="861" spans="2:12" x14ac:dyDescent="0.85">
      <c r="B861" s="48">
        <v>854</v>
      </c>
      <c r="C861" s="277"/>
      <c r="D861" s="284"/>
      <c r="E861" s="44"/>
      <c r="F861" s="44"/>
      <c r="G861" s="49">
        <v>1</v>
      </c>
      <c r="H861" s="73"/>
      <c r="I861" s="44"/>
      <c r="J861" s="48">
        <f t="shared" si="27"/>
        <v>1</v>
      </c>
      <c r="K861" s="48">
        <f>IFERROR(INDEX(TarrifTable,MATCH(Elements!E861,Constants!$V$4:$V$7,0),MATCH(Elements!F861,Constants!$W$3:$AA$3,0)),0)</f>
        <v>0</v>
      </c>
      <c r="L861" s="68">
        <f t="shared" si="28"/>
        <v>0</v>
      </c>
    </row>
    <row r="862" spans="2:12" x14ac:dyDescent="0.85">
      <c r="B862" s="46">
        <v>855</v>
      </c>
      <c r="C862" s="276"/>
      <c r="D862" s="283"/>
      <c r="E862" s="10"/>
      <c r="F862" s="10"/>
      <c r="G862" s="47">
        <v>1</v>
      </c>
      <c r="H862" s="72"/>
      <c r="I862" s="10"/>
      <c r="J862" s="46">
        <f t="shared" si="27"/>
        <v>1</v>
      </c>
      <c r="K862" s="46">
        <f>IFERROR(INDEX(TarrifTable,MATCH(Elements!E862,Constants!$V$4:$V$7,0),MATCH(Elements!F862,Constants!$W$3:$AA$3,0)),0)</f>
        <v>0</v>
      </c>
      <c r="L862" s="69">
        <f t="shared" si="28"/>
        <v>0</v>
      </c>
    </row>
    <row r="863" spans="2:12" x14ac:dyDescent="0.85">
      <c r="B863" s="48">
        <v>856</v>
      </c>
      <c r="C863" s="277"/>
      <c r="D863" s="284"/>
      <c r="E863" s="44"/>
      <c r="F863" s="44"/>
      <c r="G863" s="49">
        <v>1</v>
      </c>
      <c r="H863" s="73"/>
      <c r="I863" s="44"/>
      <c r="J863" s="48">
        <f t="shared" si="27"/>
        <v>1</v>
      </c>
      <c r="K863" s="48">
        <f>IFERROR(INDEX(TarrifTable,MATCH(Elements!E863,Constants!$V$4:$V$7,0),MATCH(Elements!F863,Constants!$W$3:$AA$3,0)),0)</f>
        <v>0</v>
      </c>
      <c r="L863" s="68">
        <f t="shared" si="28"/>
        <v>0</v>
      </c>
    </row>
    <row r="864" spans="2:12" x14ac:dyDescent="0.85">
      <c r="B864" s="46">
        <v>857</v>
      </c>
      <c r="C864" s="276"/>
      <c r="D864" s="283"/>
      <c r="E864" s="10"/>
      <c r="F864" s="10"/>
      <c r="G864" s="47">
        <v>1</v>
      </c>
      <c r="H864" s="72"/>
      <c r="I864" s="10"/>
      <c r="J864" s="46">
        <f t="shared" si="27"/>
        <v>1</v>
      </c>
      <c r="K864" s="46">
        <f>IFERROR(INDEX(TarrifTable,MATCH(Elements!E864,Constants!$V$4:$V$7,0),MATCH(Elements!F864,Constants!$W$3:$AA$3,0)),0)</f>
        <v>0</v>
      </c>
      <c r="L864" s="69">
        <f t="shared" si="28"/>
        <v>0</v>
      </c>
    </row>
    <row r="865" spans="2:12" x14ac:dyDescent="0.85">
      <c r="B865" s="48">
        <v>858</v>
      </c>
      <c r="C865" s="277"/>
      <c r="D865" s="284"/>
      <c r="E865" s="44"/>
      <c r="F865" s="44"/>
      <c r="G865" s="49">
        <v>1</v>
      </c>
      <c r="H865" s="73"/>
      <c r="I865" s="44"/>
      <c r="J865" s="48">
        <f t="shared" si="27"/>
        <v>1</v>
      </c>
      <c r="K865" s="48">
        <f>IFERROR(INDEX(TarrifTable,MATCH(Elements!E865,Constants!$V$4:$V$7,0),MATCH(Elements!F865,Constants!$W$3:$AA$3,0)),0)</f>
        <v>0</v>
      </c>
      <c r="L865" s="68">
        <f t="shared" si="28"/>
        <v>0</v>
      </c>
    </row>
    <row r="866" spans="2:12" x14ac:dyDescent="0.85">
      <c r="B866" s="46">
        <v>859</v>
      </c>
      <c r="C866" s="276"/>
      <c r="D866" s="283"/>
      <c r="E866" s="10"/>
      <c r="F866" s="10"/>
      <c r="G866" s="47">
        <v>1</v>
      </c>
      <c r="H866" s="72"/>
      <c r="I866" s="10"/>
      <c r="J866" s="46">
        <f t="shared" si="27"/>
        <v>1</v>
      </c>
      <c r="K866" s="46">
        <f>IFERROR(INDEX(TarrifTable,MATCH(Elements!E866,Constants!$V$4:$V$7,0),MATCH(Elements!F866,Constants!$W$3:$AA$3,0)),0)</f>
        <v>0</v>
      </c>
      <c r="L866" s="69">
        <f t="shared" si="28"/>
        <v>0</v>
      </c>
    </row>
    <row r="867" spans="2:12" x14ac:dyDescent="0.85">
      <c r="B867" s="48">
        <v>860</v>
      </c>
      <c r="C867" s="277"/>
      <c r="D867" s="284"/>
      <c r="E867" s="44"/>
      <c r="F867" s="44"/>
      <c r="G867" s="49">
        <v>1</v>
      </c>
      <c r="H867" s="73"/>
      <c r="I867" s="44"/>
      <c r="J867" s="48">
        <f t="shared" si="27"/>
        <v>1</v>
      </c>
      <c r="K867" s="48">
        <f>IFERROR(INDEX(TarrifTable,MATCH(Elements!E867,Constants!$V$4:$V$7,0),MATCH(Elements!F867,Constants!$W$3:$AA$3,0)),0)</f>
        <v>0</v>
      </c>
      <c r="L867" s="68">
        <f t="shared" si="28"/>
        <v>0</v>
      </c>
    </row>
    <row r="868" spans="2:12" x14ac:dyDescent="0.85">
      <c r="B868" s="46">
        <v>861</v>
      </c>
      <c r="C868" s="276"/>
      <c r="D868" s="283"/>
      <c r="E868" s="10"/>
      <c r="F868" s="10"/>
      <c r="G868" s="47">
        <v>1</v>
      </c>
      <c r="H868" s="72"/>
      <c r="I868" s="10"/>
      <c r="J868" s="46">
        <f t="shared" si="27"/>
        <v>1</v>
      </c>
      <c r="K868" s="46">
        <f>IFERROR(INDEX(TarrifTable,MATCH(Elements!E868,Constants!$V$4:$V$7,0),MATCH(Elements!F868,Constants!$W$3:$AA$3,0)),0)</f>
        <v>0</v>
      </c>
      <c r="L868" s="69">
        <f t="shared" si="28"/>
        <v>0</v>
      </c>
    </row>
    <row r="869" spans="2:12" x14ac:dyDescent="0.85">
      <c r="B869" s="48">
        <v>862</v>
      </c>
      <c r="C869" s="277"/>
      <c r="D869" s="284"/>
      <c r="E869" s="44"/>
      <c r="F869" s="44"/>
      <c r="G869" s="49">
        <v>1</v>
      </c>
      <c r="H869" s="73"/>
      <c r="I869" s="44"/>
      <c r="J869" s="48">
        <f t="shared" si="27"/>
        <v>1</v>
      </c>
      <c r="K869" s="48">
        <f>IFERROR(INDEX(TarrifTable,MATCH(Elements!E869,Constants!$V$4:$V$7,0),MATCH(Elements!F869,Constants!$W$3:$AA$3,0)),0)</f>
        <v>0</v>
      </c>
      <c r="L869" s="68">
        <f t="shared" si="28"/>
        <v>0</v>
      </c>
    </row>
    <row r="870" spans="2:12" x14ac:dyDescent="0.85">
      <c r="B870" s="46">
        <v>863</v>
      </c>
      <c r="C870" s="276"/>
      <c r="D870" s="283"/>
      <c r="E870" s="10"/>
      <c r="F870" s="10"/>
      <c r="G870" s="47">
        <v>1</v>
      </c>
      <c r="H870" s="72"/>
      <c r="I870" s="10"/>
      <c r="J870" s="46">
        <f t="shared" si="27"/>
        <v>1</v>
      </c>
      <c r="K870" s="46">
        <f>IFERROR(INDEX(TarrifTable,MATCH(Elements!E870,Constants!$V$4:$V$7,0),MATCH(Elements!F870,Constants!$W$3:$AA$3,0)),0)</f>
        <v>0</v>
      </c>
      <c r="L870" s="69">
        <f t="shared" si="28"/>
        <v>0</v>
      </c>
    </row>
    <row r="871" spans="2:12" x14ac:dyDescent="0.85">
      <c r="B871" s="48">
        <v>864</v>
      </c>
      <c r="C871" s="277"/>
      <c r="D871" s="284"/>
      <c r="E871" s="44"/>
      <c r="F871" s="44"/>
      <c r="G871" s="49">
        <v>1</v>
      </c>
      <c r="H871" s="73"/>
      <c r="I871" s="44"/>
      <c r="J871" s="48">
        <f t="shared" si="27"/>
        <v>1</v>
      </c>
      <c r="K871" s="48">
        <f>IFERROR(INDEX(TarrifTable,MATCH(Elements!E871,Constants!$V$4:$V$7,0),MATCH(Elements!F871,Constants!$W$3:$AA$3,0)),0)</f>
        <v>0</v>
      </c>
      <c r="L871" s="68">
        <f t="shared" si="28"/>
        <v>0</v>
      </c>
    </row>
    <row r="872" spans="2:12" x14ac:dyDescent="0.85">
      <c r="B872" s="46">
        <v>865</v>
      </c>
      <c r="C872" s="276"/>
      <c r="D872" s="283"/>
      <c r="E872" s="10"/>
      <c r="F872" s="10"/>
      <c r="G872" s="47">
        <v>1</v>
      </c>
      <c r="H872" s="72"/>
      <c r="I872" s="10"/>
      <c r="J872" s="46">
        <f t="shared" si="27"/>
        <v>1</v>
      </c>
      <c r="K872" s="46">
        <f>IFERROR(INDEX(TarrifTable,MATCH(Elements!E872,Constants!$V$4:$V$7,0),MATCH(Elements!F872,Constants!$W$3:$AA$3,0)),0)</f>
        <v>0</v>
      </c>
      <c r="L872" s="69">
        <f t="shared" si="28"/>
        <v>0</v>
      </c>
    </row>
    <row r="873" spans="2:12" x14ac:dyDescent="0.85">
      <c r="B873" s="48">
        <v>866</v>
      </c>
      <c r="C873" s="277"/>
      <c r="D873" s="284"/>
      <c r="E873" s="44"/>
      <c r="F873" s="44"/>
      <c r="G873" s="49">
        <v>1</v>
      </c>
      <c r="H873" s="73"/>
      <c r="I873" s="44"/>
      <c r="J873" s="48">
        <f t="shared" si="27"/>
        <v>1</v>
      </c>
      <c r="K873" s="48">
        <f>IFERROR(INDEX(TarrifTable,MATCH(Elements!E873,Constants!$V$4:$V$7,0),MATCH(Elements!F873,Constants!$W$3:$AA$3,0)),0)</f>
        <v>0</v>
      </c>
      <c r="L873" s="68">
        <f t="shared" si="28"/>
        <v>0</v>
      </c>
    </row>
    <row r="874" spans="2:12" x14ac:dyDescent="0.85">
      <c r="B874" s="46">
        <v>867</v>
      </c>
      <c r="C874" s="276"/>
      <c r="D874" s="283"/>
      <c r="E874" s="10"/>
      <c r="F874" s="10"/>
      <c r="G874" s="47">
        <v>1</v>
      </c>
      <c r="H874" s="72"/>
      <c r="I874" s="10"/>
      <c r="J874" s="46">
        <f t="shared" si="27"/>
        <v>1</v>
      </c>
      <c r="K874" s="46">
        <f>IFERROR(INDEX(TarrifTable,MATCH(Elements!E874,Constants!$V$4:$V$7,0),MATCH(Elements!F874,Constants!$W$3:$AA$3,0)),0)</f>
        <v>0</v>
      </c>
      <c r="L874" s="69">
        <f t="shared" si="28"/>
        <v>0</v>
      </c>
    </row>
    <row r="875" spans="2:12" x14ac:dyDescent="0.85">
      <c r="B875" s="48">
        <v>868</v>
      </c>
      <c r="C875" s="277"/>
      <c r="D875" s="284"/>
      <c r="E875" s="44"/>
      <c r="F875" s="44"/>
      <c r="G875" s="49">
        <v>1</v>
      </c>
      <c r="H875" s="73"/>
      <c r="I875" s="44"/>
      <c r="J875" s="48">
        <f t="shared" si="27"/>
        <v>1</v>
      </c>
      <c r="K875" s="48">
        <f>IFERROR(INDEX(TarrifTable,MATCH(Elements!E875,Constants!$V$4:$V$7,0),MATCH(Elements!F875,Constants!$W$3:$AA$3,0)),0)</f>
        <v>0</v>
      </c>
      <c r="L875" s="68">
        <f t="shared" si="28"/>
        <v>0</v>
      </c>
    </row>
    <row r="876" spans="2:12" x14ac:dyDescent="0.85">
      <c r="B876" s="46">
        <v>869</v>
      </c>
      <c r="C876" s="276"/>
      <c r="D876" s="283"/>
      <c r="E876" s="10"/>
      <c r="F876" s="10"/>
      <c r="G876" s="47">
        <v>1</v>
      </c>
      <c r="H876" s="72"/>
      <c r="I876" s="10"/>
      <c r="J876" s="46">
        <f t="shared" si="27"/>
        <v>1</v>
      </c>
      <c r="K876" s="46">
        <f>IFERROR(INDEX(TarrifTable,MATCH(Elements!E876,Constants!$V$4:$V$7,0),MATCH(Elements!F876,Constants!$W$3:$AA$3,0)),0)</f>
        <v>0</v>
      </c>
      <c r="L876" s="69">
        <f t="shared" si="28"/>
        <v>0</v>
      </c>
    </row>
    <row r="877" spans="2:12" x14ac:dyDescent="0.85">
      <c r="B877" s="48">
        <v>870</v>
      </c>
      <c r="C877" s="277"/>
      <c r="D877" s="284"/>
      <c r="E877" s="44"/>
      <c r="F877" s="44"/>
      <c r="G877" s="49">
        <v>1</v>
      </c>
      <c r="H877" s="73"/>
      <c r="I877" s="44"/>
      <c r="J877" s="48">
        <f t="shared" si="27"/>
        <v>1</v>
      </c>
      <c r="K877" s="48">
        <f>IFERROR(INDEX(TarrifTable,MATCH(Elements!E877,Constants!$V$4:$V$7,0),MATCH(Elements!F877,Constants!$W$3:$AA$3,0)),0)</f>
        <v>0</v>
      </c>
      <c r="L877" s="68">
        <f t="shared" si="28"/>
        <v>0</v>
      </c>
    </row>
    <row r="878" spans="2:12" x14ac:dyDescent="0.85">
      <c r="B878" s="46">
        <v>871</v>
      </c>
      <c r="C878" s="276"/>
      <c r="D878" s="283"/>
      <c r="E878" s="10"/>
      <c r="F878" s="10"/>
      <c r="G878" s="47">
        <v>1</v>
      </c>
      <c r="H878" s="72"/>
      <c r="I878" s="10"/>
      <c r="J878" s="46">
        <f t="shared" si="27"/>
        <v>1</v>
      </c>
      <c r="K878" s="46">
        <f>IFERROR(INDEX(TarrifTable,MATCH(Elements!E878,Constants!$V$4:$V$7,0),MATCH(Elements!F878,Constants!$W$3:$AA$3,0)),0)</f>
        <v>0</v>
      </c>
      <c r="L878" s="69">
        <f t="shared" si="28"/>
        <v>0</v>
      </c>
    </row>
    <row r="879" spans="2:12" x14ac:dyDescent="0.85">
      <c r="B879" s="48">
        <v>872</v>
      </c>
      <c r="C879" s="277"/>
      <c r="D879" s="284"/>
      <c r="E879" s="44"/>
      <c r="F879" s="44"/>
      <c r="G879" s="49">
        <v>1</v>
      </c>
      <c r="H879" s="73"/>
      <c r="I879" s="44"/>
      <c r="J879" s="48">
        <f t="shared" si="27"/>
        <v>1</v>
      </c>
      <c r="K879" s="48">
        <f>IFERROR(INDEX(TarrifTable,MATCH(Elements!E879,Constants!$V$4:$V$7,0),MATCH(Elements!F879,Constants!$W$3:$AA$3,0)),0)</f>
        <v>0</v>
      </c>
      <c r="L879" s="68">
        <f t="shared" si="28"/>
        <v>0</v>
      </c>
    </row>
    <row r="880" spans="2:12" x14ac:dyDescent="0.85">
      <c r="B880" s="46">
        <v>873</v>
      </c>
      <c r="C880" s="276"/>
      <c r="D880" s="283"/>
      <c r="E880" s="10"/>
      <c r="F880" s="10"/>
      <c r="G880" s="47">
        <v>1</v>
      </c>
      <c r="H880" s="72"/>
      <c r="I880" s="10"/>
      <c r="J880" s="46">
        <f t="shared" si="27"/>
        <v>1</v>
      </c>
      <c r="K880" s="46">
        <f>IFERROR(INDEX(TarrifTable,MATCH(Elements!E880,Constants!$V$4:$V$7,0),MATCH(Elements!F880,Constants!$W$3:$AA$3,0)),0)</f>
        <v>0</v>
      </c>
      <c r="L880" s="69">
        <f t="shared" si="28"/>
        <v>0</v>
      </c>
    </row>
    <row r="881" spans="2:12" x14ac:dyDescent="0.85">
      <c r="B881" s="48">
        <v>874</v>
      </c>
      <c r="C881" s="277"/>
      <c r="D881" s="284"/>
      <c r="E881" s="44"/>
      <c r="F881" s="44"/>
      <c r="G881" s="49">
        <v>1</v>
      </c>
      <c r="H881" s="73"/>
      <c r="I881" s="44"/>
      <c r="J881" s="48">
        <f t="shared" si="27"/>
        <v>1</v>
      </c>
      <c r="K881" s="48">
        <f>IFERROR(INDEX(TarrifTable,MATCH(Elements!E881,Constants!$V$4:$V$7,0),MATCH(Elements!F881,Constants!$W$3:$AA$3,0)),0)</f>
        <v>0</v>
      </c>
      <c r="L881" s="68">
        <f t="shared" si="28"/>
        <v>0</v>
      </c>
    </row>
    <row r="882" spans="2:12" x14ac:dyDescent="0.85">
      <c r="B882" s="46">
        <v>875</v>
      </c>
      <c r="C882" s="276"/>
      <c r="D882" s="283"/>
      <c r="E882" s="10"/>
      <c r="F882" s="10"/>
      <c r="G882" s="47">
        <v>1</v>
      </c>
      <c r="H882" s="72"/>
      <c r="I882" s="10"/>
      <c r="J882" s="46">
        <f t="shared" si="27"/>
        <v>1</v>
      </c>
      <c r="K882" s="46">
        <f>IFERROR(INDEX(TarrifTable,MATCH(Elements!E882,Constants!$V$4:$V$7,0),MATCH(Elements!F882,Constants!$W$3:$AA$3,0)),0)</f>
        <v>0</v>
      </c>
      <c r="L882" s="69">
        <f t="shared" si="28"/>
        <v>0</v>
      </c>
    </row>
    <row r="883" spans="2:12" x14ac:dyDescent="0.85">
      <c r="B883" s="48">
        <v>876</v>
      </c>
      <c r="C883" s="277"/>
      <c r="D883" s="284"/>
      <c r="E883" s="44"/>
      <c r="F883" s="44"/>
      <c r="G883" s="49">
        <v>1</v>
      </c>
      <c r="H883" s="73"/>
      <c r="I883" s="44"/>
      <c r="J883" s="48">
        <f t="shared" si="27"/>
        <v>1</v>
      </c>
      <c r="K883" s="48">
        <f>IFERROR(INDEX(TarrifTable,MATCH(Elements!E883,Constants!$V$4:$V$7,0),MATCH(Elements!F883,Constants!$W$3:$AA$3,0)),0)</f>
        <v>0</v>
      </c>
      <c r="L883" s="68">
        <f t="shared" si="28"/>
        <v>0</v>
      </c>
    </row>
    <row r="884" spans="2:12" x14ac:dyDescent="0.85">
      <c r="B884" s="46">
        <v>877</v>
      </c>
      <c r="C884" s="276"/>
      <c r="D884" s="283"/>
      <c r="E884" s="10"/>
      <c r="F884" s="10"/>
      <c r="G884" s="47">
        <v>1</v>
      </c>
      <c r="H884" s="72"/>
      <c r="I884" s="10"/>
      <c r="J884" s="46">
        <f t="shared" si="27"/>
        <v>1</v>
      </c>
      <c r="K884" s="46">
        <f>IFERROR(INDEX(TarrifTable,MATCH(Elements!E884,Constants!$V$4:$V$7,0),MATCH(Elements!F884,Constants!$W$3:$AA$3,0)),0)</f>
        <v>0</v>
      </c>
      <c r="L884" s="69">
        <f t="shared" si="28"/>
        <v>0</v>
      </c>
    </row>
    <row r="885" spans="2:12" x14ac:dyDescent="0.85">
      <c r="B885" s="48">
        <v>878</v>
      </c>
      <c r="C885" s="277"/>
      <c r="D885" s="284"/>
      <c r="E885" s="44"/>
      <c r="F885" s="44"/>
      <c r="G885" s="49">
        <v>1</v>
      </c>
      <c r="H885" s="73"/>
      <c r="I885" s="44"/>
      <c r="J885" s="48">
        <f t="shared" si="27"/>
        <v>1</v>
      </c>
      <c r="K885" s="48">
        <f>IFERROR(INDEX(TarrifTable,MATCH(Elements!E885,Constants!$V$4:$V$7,0),MATCH(Elements!F885,Constants!$W$3:$AA$3,0)),0)</f>
        <v>0</v>
      </c>
      <c r="L885" s="68">
        <f t="shared" si="28"/>
        <v>0</v>
      </c>
    </row>
    <row r="886" spans="2:12" x14ac:dyDescent="0.85">
      <c r="B886" s="46">
        <v>879</v>
      </c>
      <c r="C886" s="276"/>
      <c r="D886" s="283"/>
      <c r="E886" s="10"/>
      <c r="F886" s="10"/>
      <c r="G886" s="47">
        <v>1</v>
      </c>
      <c r="H886" s="72"/>
      <c r="I886" s="10"/>
      <c r="J886" s="46">
        <f t="shared" si="27"/>
        <v>1</v>
      </c>
      <c r="K886" s="46">
        <f>IFERROR(INDEX(TarrifTable,MATCH(Elements!E886,Constants!$V$4:$V$7,0),MATCH(Elements!F886,Constants!$W$3:$AA$3,0)),0)</f>
        <v>0</v>
      </c>
      <c r="L886" s="69">
        <f t="shared" si="28"/>
        <v>0</v>
      </c>
    </row>
    <row r="887" spans="2:12" x14ac:dyDescent="0.85">
      <c r="B887" s="48">
        <v>880</v>
      </c>
      <c r="C887" s="277"/>
      <c r="D887" s="284"/>
      <c r="E887" s="44"/>
      <c r="F887" s="44"/>
      <c r="G887" s="49">
        <v>1</v>
      </c>
      <c r="H887" s="73"/>
      <c r="I887" s="44"/>
      <c r="J887" s="48">
        <f t="shared" si="27"/>
        <v>1</v>
      </c>
      <c r="K887" s="48">
        <f>IFERROR(INDEX(TarrifTable,MATCH(Elements!E887,Constants!$V$4:$V$7,0),MATCH(Elements!F887,Constants!$W$3:$AA$3,0)),0)</f>
        <v>0</v>
      </c>
      <c r="L887" s="68">
        <f t="shared" si="28"/>
        <v>0</v>
      </c>
    </row>
    <row r="888" spans="2:12" x14ac:dyDescent="0.85">
      <c r="B888" s="46">
        <v>881</v>
      </c>
      <c r="C888" s="276"/>
      <c r="D888" s="283"/>
      <c r="E888" s="10"/>
      <c r="F888" s="10"/>
      <c r="G888" s="47">
        <v>1</v>
      </c>
      <c r="H888" s="72"/>
      <c r="I888" s="10"/>
      <c r="J888" s="46">
        <f t="shared" si="27"/>
        <v>1</v>
      </c>
      <c r="K888" s="46">
        <f>IFERROR(INDEX(TarrifTable,MATCH(Elements!E888,Constants!$V$4:$V$7,0),MATCH(Elements!F888,Constants!$W$3:$AA$3,0)),0)</f>
        <v>0</v>
      </c>
      <c r="L888" s="69">
        <f t="shared" si="28"/>
        <v>0</v>
      </c>
    </row>
    <row r="889" spans="2:12" x14ac:dyDescent="0.85">
      <c r="B889" s="48">
        <v>882</v>
      </c>
      <c r="C889" s="277"/>
      <c r="D889" s="284"/>
      <c r="E889" s="44"/>
      <c r="F889" s="44"/>
      <c r="G889" s="49">
        <v>1</v>
      </c>
      <c r="H889" s="73"/>
      <c r="I889" s="44"/>
      <c r="J889" s="48">
        <f t="shared" si="27"/>
        <v>1</v>
      </c>
      <c r="K889" s="48">
        <f>IFERROR(INDEX(TarrifTable,MATCH(Elements!E889,Constants!$V$4:$V$7,0),MATCH(Elements!F889,Constants!$W$3:$AA$3,0)),0)</f>
        <v>0</v>
      </c>
      <c r="L889" s="68">
        <f t="shared" si="28"/>
        <v>0</v>
      </c>
    </row>
    <row r="890" spans="2:12" x14ac:dyDescent="0.85">
      <c r="B890" s="46">
        <v>883</v>
      </c>
      <c r="C890" s="276"/>
      <c r="D890" s="283"/>
      <c r="E890" s="10"/>
      <c r="F890" s="10"/>
      <c r="G890" s="47">
        <v>1</v>
      </c>
      <c r="H890" s="72"/>
      <c r="I890" s="10"/>
      <c r="J890" s="46">
        <f t="shared" si="27"/>
        <v>1</v>
      </c>
      <c r="K890" s="46">
        <f>IFERROR(INDEX(TarrifTable,MATCH(Elements!E890,Constants!$V$4:$V$7,0),MATCH(Elements!F890,Constants!$W$3:$AA$3,0)),0)</f>
        <v>0</v>
      </c>
      <c r="L890" s="69">
        <f t="shared" si="28"/>
        <v>0</v>
      </c>
    </row>
    <row r="891" spans="2:12" x14ac:dyDescent="0.85">
      <c r="B891" s="48">
        <v>884</v>
      </c>
      <c r="C891" s="277"/>
      <c r="D891" s="284"/>
      <c r="E891" s="44"/>
      <c r="F891" s="44"/>
      <c r="G891" s="49">
        <v>1</v>
      </c>
      <c r="H891" s="73"/>
      <c r="I891" s="44"/>
      <c r="J891" s="48">
        <f t="shared" si="27"/>
        <v>1</v>
      </c>
      <c r="K891" s="48">
        <f>IFERROR(INDEX(TarrifTable,MATCH(Elements!E891,Constants!$V$4:$V$7,0),MATCH(Elements!F891,Constants!$W$3:$AA$3,0)),0)</f>
        <v>0</v>
      </c>
      <c r="L891" s="68">
        <f t="shared" si="28"/>
        <v>0</v>
      </c>
    </row>
    <row r="892" spans="2:12" x14ac:dyDescent="0.85">
      <c r="B892" s="46">
        <v>885</v>
      </c>
      <c r="C892" s="276"/>
      <c r="D892" s="283"/>
      <c r="E892" s="10"/>
      <c r="F892" s="10"/>
      <c r="G892" s="47">
        <v>1</v>
      </c>
      <c r="H892" s="72"/>
      <c r="I892" s="10"/>
      <c r="J892" s="46">
        <f t="shared" si="27"/>
        <v>1</v>
      </c>
      <c r="K892" s="46">
        <f>IFERROR(INDEX(TarrifTable,MATCH(Elements!E892,Constants!$V$4:$V$7,0),MATCH(Elements!F892,Constants!$W$3:$AA$3,0)),0)</f>
        <v>0</v>
      </c>
      <c r="L892" s="69">
        <f t="shared" si="28"/>
        <v>0</v>
      </c>
    </row>
    <row r="893" spans="2:12" x14ac:dyDescent="0.85">
      <c r="B893" s="48">
        <v>886</v>
      </c>
      <c r="C893" s="277"/>
      <c r="D893" s="284"/>
      <c r="E893" s="44"/>
      <c r="F893" s="44"/>
      <c r="G893" s="49">
        <v>1</v>
      </c>
      <c r="H893" s="73"/>
      <c r="I893" s="44"/>
      <c r="J893" s="48">
        <f t="shared" si="27"/>
        <v>1</v>
      </c>
      <c r="K893" s="48">
        <f>IFERROR(INDEX(TarrifTable,MATCH(Elements!E893,Constants!$V$4:$V$7,0),MATCH(Elements!F893,Constants!$W$3:$AA$3,0)),0)</f>
        <v>0</v>
      </c>
      <c r="L893" s="68">
        <f t="shared" si="28"/>
        <v>0</v>
      </c>
    </row>
    <row r="894" spans="2:12" x14ac:dyDescent="0.85">
      <c r="B894" s="46">
        <v>887</v>
      </c>
      <c r="C894" s="276"/>
      <c r="D894" s="283"/>
      <c r="E894" s="10"/>
      <c r="F894" s="10"/>
      <c r="G894" s="47">
        <v>1</v>
      </c>
      <c r="H894" s="72"/>
      <c r="I894" s="10"/>
      <c r="J894" s="46">
        <f t="shared" si="27"/>
        <v>1</v>
      </c>
      <c r="K894" s="46">
        <f>IFERROR(INDEX(TarrifTable,MATCH(Elements!E894,Constants!$V$4:$V$7,0),MATCH(Elements!F894,Constants!$W$3:$AA$3,0)),0)</f>
        <v>0</v>
      </c>
      <c r="L894" s="69">
        <f t="shared" si="28"/>
        <v>0</v>
      </c>
    </row>
    <row r="895" spans="2:12" x14ac:dyDescent="0.85">
      <c r="B895" s="48">
        <v>888</v>
      </c>
      <c r="C895" s="277"/>
      <c r="D895" s="284"/>
      <c r="E895" s="44"/>
      <c r="F895" s="44"/>
      <c r="G895" s="49">
        <v>1</v>
      </c>
      <c r="H895" s="73"/>
      <c r="I895" s="44"/>
      <c r="J895" s="48">
        <f t="shared" si="27"/>
        <v>1</v>
      </c>
      <c r="K895" s="48">
        <f>IFERROR(INDEX(TarrifTable,MATCH(Elements!E895,Constants!$V$4:$V$7,0),MATCH(Elements!F895,Constants!$W$3:$AA$3,0)),0)</f>
        <v>0</v>
      </c>
      <c r="L895" s="68">
        <f t="shared" si="28"/>
        <v>0</v>
      </c>
    </row>
    <row r="896" spans="2:12" x14ac:dyDescent="0.85">
      <c r="B896" s="46">
        <v>889</v>
      </c>
      <c r="C896" s="276"/>
      <c r="D896" s="283"/>
      <c r="E896" s="10"/>
      <c r="F896" s="10"/>
      <c r="G896" s="47">
        <v>1</v>
      </c>
      <c r="H896" s="72"/>
      <c r="I896" s="10"/>
      <c r="J896" s="46">
        <f t="shared" si="27"/>
        <v>1</v>
      </c>
      <c r="K896" s="46">
        <f>IFERROR(INDEX(TarrifTable,MATCH(Elements!E896,Constants!$V$4:$V$7,0),MATCH(Elements!F896,Constants!$W$3:$AA$3,0)),0)</f>
        <v>0</v>
      </c>
      <c r="L896" s="69">
        <f t="shared" si="28"/>
        <v>0</v>
      </c>
    </row>
    <row r="897" spans="2:12" x14ac:dyDescent="0.85">
      <c r="B897" s="48">
        <v>890</v>
      </c>
      <c r="C897" s="277"/>
      <c r="D897" s="284"/>
      <c r="E897" s="44"/>
      <c r="F897" s="44"/>
      <c r="G897" s="49">
        <v>1</v>
      </c>
      <c r="H897" s="73"/>
      <c r="I897" s="44"/>
      <c r="J897" s="48">
        <f t="shared" si="27"/>
        <v>1</v>
      </c>
      <c r="K897" s="48">
        <f>IFERROR(INDEX(TarrifTable,MATCH(Elements!E897,Constants!$V$4:$V$7,0),MATCH(Elements!F897,Constants!$W$3:$AA$3,0)),0)</f>
        <v>0</v>
      </c>
      <c r="L897" s="68">
        <f t="shared" si="28"/>
        <v>0</v>
      </c>
    </row>
    <row r="898" spans="2:12" x14ac:dyDescent="0.85">
      <c r="B898" s="46">
        <v>891</v>
      </c>
      <c r="C898" s="276"/>
      <c r="D898" s="283"/>
      <c r="E898" s="10"/>
      <c r="F898" s="10"/>
      <c r="G898" s="47">
        <v>1</v>
      </c>
      <c r="H898" s="72"/>
      <c r="I898" s="10"/>
      <c r="J898" s="46">
        <f t="shared" si="27"/>
        <v>1</v>
      </c>
      <c r="K898" s="46">
        <f>IFERROR(INDEX(TarrifTable,MATCH(Elements!E898,Constants!$V$4:$V$7,0),MATCH(Elements!F898,Constants!$W$3:$AA$3,0)),0)</f>
        <v>0</v>
      </c>
      <c r="L898" s="69">
        <f t="shared" si="28"/>
        <v>0</v>
      </c>
    </row>
    <row r="899" spans="2:12" x14ac:dyDescent="0.85">
      <c r="B899" s="48">
        <v>892</v>
      </c>
      <c r="C899" s="277"/>
      <c r="D899" s="284"/>
      <c r="E899" s="44"/>
      <c r="F899" s="44"/>
      <c r="G899" s="49">
        <v>1</v>
      </c>
      <c r="H899" s="73"/>
      <c r="I899" s="44"/>
      <c r="J899" s="48">
        <f t="shared" si="27"/>
        <v>1</v>
      </c>
      <c r="K899" s="48">
        <f>IFERROR(INDEX(TarrifTable,MATCH(Elements!E899,Constants!$V$4:$V$7,0),MATCH(Elements!F899,Constants!$W$3:$AA$3,0)),0)</f>
        <v>0</v>
      </c>
      <c r="L899" s="68">
        <f t="shared" si="28"/>
        <v>0</v>
      </c>
    </row>
    <row r="900" spans="2:12" x14ac:dyDescent="0.85">
      <c r="B900" s="46">
        <v>893</v>
      </c>
      <c r="C900" s="276"/>
      <c r="D900" s="283"/>
      <c r="E900" s="10"/>
      <c r="F900" s="10"/>
      <c r="G900" s="47">
        <v>1</v>
      </c>
      <c r="H900" s="72"/>
      <c r="I900" s="10"/>
      <c r="J900" s="46">
        <f t="shared" si="27"/>
        <v>1</v>
      </c>
      <c r="K900" s="46">
        <f>IFERROR(INDEX(TarrifTable,MATCH(Elements!E900,Constants!$V$4:$V$7,0),MATCH(Elements!F900,Constants!$W$3:$AA$3,0)),0)</f>
        <v>0</v>
      </c>
      <c r="L900" s="69">
        <f t="shared" si="28"/>
        <v>0</v>
      </c>
    </row>
    <row r="901" spans="2:12" x14ac:dyDescent="0.85">
      <c r="B901" s="48">
        <v>894</v>
      </c>
      <c r="C901" s="277"/>
      <c r="D901" s="284"/>
      <c r="E901" s="44"/>
      <c r="F901" s="44"/>
      <c r="G901" s="49">
        <v>1</v>
      </c>
      <c r="H901" s="73"/>
      <c r="I901" s="44"/>
      <c r="J901" s="48">
        <f t="shared" si="27"/>
        <v>1</v>
      </c>
      <c r="K901" s="48">
        <f>IFERROR(INDEX(TarrifTable,MATCH(Elements!E901,Constants!$V$4:$V$7,0),MATCH(Elements!F901,Constants!$W$3:$AA$3,0)),0)</f>
        <v>0</v>
      </c>
      <c r="L901" s="68">
        <f t="shared" si="28"/>
        <v>0</v>
      </c>
    </row>
    <row r="902" spans="2:12" x14ac:dyDescent="0.85">
      <c r="B902" s="46">
        <v>895</v>
      </c>
      <c r="C902" s="276"/>
      <c r="D902" s="283"/>
      <c r="E902" s="10"/>
      <c r="F902" s="10"/>
      <c r="G902" s="47">
        <v>1</v>
      </c>
      <c r="H902" s="72"/>
      <c r="I902" s="10"/>
      <c r="J902" s="46">
        <f t="shared" si="27"/>
        <v>1</v>
      </c>
      <c r="K902" s="46">
        <f>IFERROR(INDEX(TarrifTable,MATCH(Elements!E902,Constants!$V$4:$V$7,0),MATCH(Elements!F902,Constants!$W$3:$AA$3,0)),0)</f>
        <v>0</v>
      </c>
      <c r="L902" s="69">
        <f t="shared" si="28"/>
        <v>0</v>
      </c>
    </row>
    <row r="903" spans="2:12" x14ac:dyDescent="0.85">
      <c r="B903" s="48">
        <v>896</v>
      </c>
      <c r="C903" s="277"/>
      <c r="D903" s="284"/>
      <c r="E903" s="44"/>
      <c r="F903" s="44"/>
      <c r="G903" s="49">
        <v>1</v>
      </c>
      <c r="H903" s="73"/>
      <c r="I903" s="44"/>
      <c r="J903" s="48">
        <f t="shared" si="27"/>
        <v>1</v>
      </c>
      <c r="K903" s="48">
        <f>IFERROR(INDEX(TarrifTable,MATCH(Elements!E903,Constants!$V$4:$V$7,0),MATCH(Elements!F903,Constants!$W$3:$AA$3,0)),0)</f>
        <v>0</v>
      </c>
      <c r="L903" s="68">
        <f t="shared" si="28"/>
        <v>0</v>
      </c>
    </row>
    <row r="904" spans="2:12" x14ac:dyDescent="0.85">
      <c r="B904" s="46">
        <v>897</v>
      </c>
      <c r="C904" s="276"/>
      <c r="D904" s="283"/>
      <c r="E904" s="10"/>
      <c r="F904" s="10"/>
      <c r="G904" s="47">
        <v>1</v>
      </c>
      <c r="H904" s="72"/>
      <c r="I904" s="10"/>
      <c r="J904" s="46">
        <f t="shared" ref="J904:J967" si="29">IF(ISBLANK(H904),1,H904)</f>
        <v>1</v>
      </c>
      <c r="K904" s="46">
        <f>IFERROR(INDEX(TarrifTable,MATCH(Elements!E904,Constants!$V$4:$V$7,0),MATCH(Elements!F904,Constants!$W$3:$AA$3,0)),0)</f>
        <v>0</v>
      </c>
      <c r="L904" s="69">
        <f t="shared" ref="L904:L967" si="30">J904*G904*K904</f>
        <v>0</v>
      </c>
    </row>
    <row r="905" spans="2:12" x14ac:dyDescent="0.85">
      <c r="B905" s="48">
        <v>898</v>
      </c>
      <c r="C905" s="277"/>
      <c r="D905" s="284"/>
      <c r="E905" s="44"/>
      <c r="F905" s="44"/>
      <c r="G905" s="49">
        <v>1</v>
      </c>
      <c r="H905" s="73"/>
      <c r="I905" s="44"/>
      <c r="J905" s="48">
        <f t="shared" si="29"/>
        <v>1</v>
      </c>
      <c r="K905" s="48">
        <f>IFERROR(INDEX(TarrifTable,MATCH(Elements!E905,Constants!$V$4:$V$7,0),MATCH(Elements!F905,Constants!$W$3:$AA$3,0)),0)</f>
        <v>0</v>
      </c>
      <c r="L905" s="68">
        <f t="shared" si="30"/>
        <v>0</v>
      </c>
    </row>
    <row r="906" spans="2:12" x14ac:dyDescent="0.85">
      <c r="B906" s="46">
        <v>899</v>
      </c>
      <c r="C906" s="276"/>
      <c r="D906" s="283"/>
      <c r="E906" s="10"/>
      <c r="F906" s="10"/>
      <c r="G906" s="47">
        <v>1</v>
      </c>
      <c r="H906" s="72"/>
      <c r="I906" s="10"/>
      <c r="J906" s="46">
        <f t="shared" si="29"/>
        <v>1</v>
      </c>
      <c r="K906" s="46">
        <f>IFERROR(INDEX(TarrifTable,MATCH(Elements!E906,Constants!$V$4:$V$7,0),MATCH(Elements!F906,Constants!$W$3:$AA$3,0)),0)</f>
        <v>0</v>
      </c>
      <c r="L906" s="69">
        <f t="shared" si="30"/>
        <v>0</v>
      </c>
    </row>
    <row r="907" spans="2:12" x14ac:dyDescent="0.85">
      <c r="B907" s="48">
        <v>900</v>
      </c>
      <c r="C907" s="277"/>
      <c r="D907" s="284"/>
      <c r="E907" s="44"/>
      <c r="F907" s="44"/>
      <c r="G907" s="49">
        <v>1</v>
      </c>
      <c r="H907" s="73"/>
      <c r="I907" s="44"/>
      <c r="J907" s="48">
        <f t="shared" si="29"/>
        <v>1</v>
      </c>
      <c r="K907" s="48">
        <f>IFERROR(INDEX(TarrifTable,MATCH(Elements!E907,Constants!$V$4:$V$7,0),MATCH(Elements!F907,Constants!$W$3:$AA$3,0)),0)</f>
        <v>0</v>
      </c>
      <c r="L907" s="68">
        <f t="shared" si="30"/>
        <v>0</v>
      </c>
    </row>
    <row r="908" spans="2:12" x14ac:dyDescent="0.85">
      <c r="B908" s="46">
        <v>901</v>
      </c>
      <c r="C908" s="276"/>
      <c r="D908" s="283"/>
      <c r="E908" s="10"/>
      <c r="F908" s="10"/>
      <c r="G908" s="47">
        <v>1</v>
      </c>
      <c r="H908" s="72"/>
      <c r="I908" s="10"/>
      <c r="J908" s="46">
        <f t="shared" si="29"/>
        <v>1</v>
      </c>
      <c r="K908" s="46">
        <f>IFERROR(INDEX(TarrifTable,MATCH(Elements!E908,Constants!$V$4:$V$7,0),MATCH(Elements!F908,Constants!$W$3:$AA$3,0)),0)</f>
        <v>0</v>
      </c>
      <c r="L908" s="69">
        <f t="shared" si="30"/>
        <v>0</v>
      </c>
    </row>
    <row r="909" spans="2:12" x14ac:dyDescent="0.85">
      <c r="B909" s="48">
        <v>902</v>
      </c>
      <c r="C909" s="277"/>
      <c r="D909" s="284"/>
      <c r="E909" s="44"/>
      <c r="F909" s="44"/>
      <c r="G909" s="49">
        <v>1</v>
      </c>
      <c r="H909" s="73"/>
      <c r="I909" s="44"/>
      <c r="J909" s="48">
        <f t="shared" si="29"/>
        <v>1</v>
      </c>
      <c r="K909" s="48">
        <f>IFERROR(INDEX(TarrifTable,MATCH(Elements!E909,Constants!$V$4:$V$7,0),MATCH(Elements!F909,Constants!$W$3:$AA$3,0)),0)</f>
        <v>0</v>
      </c>
      <c r="L909" s="68">
        <f t="shared" si="30"/>
        <v>0</v>
      </c>
    </row>
    <row r="910" spans="2:12" x14ac:dyDescent="0.85">
      <c r="B910" s="46">
        <v>903</v>
      </c>
      <c r="C910" s="276"/>
      <c r="D910" s="283"/>
      <c r="E910" s="10"/>
      <c r="F910" s="10"/>
      <c r="G910" s="47">
        <v>1</v>
      </c>
      <c r="H910" s="72"/>
      <c r="I910" s="10"/>
      <c r="J910" s="46">
        <f t="shared" si="29"/>
        <v>1</v>
      </c>
      <c r="K910" s="46">
        <f>IFERROR(INDEX(TarrifTable,MATCH(Elements!E910,Constants!$V$4:$V$7,0),MATCH(Elements!F910,Constants!$W$3:$AA$3,0)),0)</f>
        <v>0</v>
      </c>
      <c r="L910" s="69">
        <f t="shared" si="30"/>
        <v>0</v>
      </c>
    </row>
    <row r="911" spans="2:12" x14ac:dyDescent="0.85">
      <c r="B911" s="48">
        <v>904</v>
      </c>
      <c r="C911" s="277"/>
      <c r="D911" s="284"/>
      <c r="E911" s="44"/>
      <c r="F911" s="44"/>
      <c r="G911" s="49">
        <v>1</v>
      </c>
      <c r="H911" s="73"/>
      <c r="I911" s="44"/>
      <c r="J911" s="48">
        <f t="shared" si="29"/>
        <v>1</v>
      </c>
      <c r="K911" s="48">
        <f>IFERROR(INDEX(TarrifTable,MATCH(Elements!E911,Constants!$V$4:$V$7,0),MATCH(Elements!F911,Constants!$W$3:$AA$3,0)),0)</f>
        <v>0</v>
      </c>
      <c r="L911" s="68">
        <f t="shared" si="30"/>
        <v>0</v>
      </c>
    </row>
    <row r="912" spans="2:12" x14ac:dyDescent="0.85">
      <c r="B912" s="46">
        <v>905</v>
      </c>
      <c r="C912" s="276"/>
      <c r="D912" s="283"/>
      <c r="E912" s="10"/>
      <c r="F912" s="10"/>
      <c r="G912" s="47">
        <v>1</v>
      </c>
      <c r="H912" s="72"/>
      <c r="I912" s="10"/>
      <c r="J912" s="46">
        <f t="shared" si="29"/>
        <v>1</v>
      </c>
      <c r="K912" s="46">
        <f>IFERROR(INDEX(TarrifTable,MATCH(Elements!E912,Constants!$V$4:$V$7,0),MATCH(Elements!F912,Constants!$W$3:$AA$3,0)),0)</f>
        <v>0</v>
      </c>
      <c r="L912" s="69">
        <f t="shared" si="30"/>
        <v>0</v>
      </c>
    </row>
    <row r="913" spans="2:12" x14ac:dyDescent="0.85">
      <c r="B913" s="48">
        <v>906</v>
      </c>
      <c r="C913" s="277"/>
      <c r="D913" s="284"/>
      <c r="E913" s="44"/>
      <c r="F913" s="44"/>
      <c r="G913" s="49">
        <v>1</v>
      </c>
      <c r="H913" s="73"/>
      <c r="I913" s="44"/>
      <c r="J913" s="48">
        <f t="shared" si="29"/>
        <v>1</v>
      </c>
      <c r="K913" s="48">
        <f>IFERROR(INDEX(TarrifTable,MATCH(Elements!E913,Constants!$V$4:$V$7,0),MATCH(Elements!F913,Constants!$W$3:$AA$3,0)),0)</f>
        <v>0</v>
      </c>
      <c r="L913" s="68">
        <f t="shared" si="30"/>
        <v>0</v>
      </c>
    </row>
    <row r="914" spans="2:12" x14ac:dyDescent="0.85">
      <c r="B914" s="46">
        <v>907</v>
      </c>
      <c r="C914" s="276"/>
      <c r="D914" s="283"/>
      <c r="E914" s="10"/>
      <c r="F914" s="10"/>
      <c r="G914" s="47">
        <v>1</v>
      </c>
      <c r="H914" s="72"/>
      <c r="I914" s="10"/>
      <c r="J914" s="46">
        <f t="shared" si="29"/>
        <v>1</v>
      </c>
      <c r="K914" s="46">
        <f>IFERROR(INDEX(TarrifTable,MATCH(Elements!E914,Constants!$V$4:$V$7,0),MATCH(Elements!F914,Constants!$W$3:$AA$3,0)),0)</f>
        <v>0</v>
      </c>
      <c r="L914" s="69">
        <f t="shared" si="30"/>
        <v>0</v>
      </c>
    </row>
    <row r="915" spans="2:12" x14ac:dyDescent="0.85">
      <c r="B915" s="48">
        <v>908</v>
      </c>
      <c r="C915" s="277"/>
      <c r="D915" s="284"/>
      <c r="E915" s="44"/>
      <c r="F915" s="44"/>
      <c r="G915" s="49">
        <v>1</v>
      </c>
      <c r="H915" s="73"/>
      <c r="I915" s="44"/>
      <c r="J915" s="48">
        <f t="shared" si="29"/>
        <v>1</v>
      </c>
      <c r="K915" s="48">
        <f>IFERROR(INDEX(TarrifTable,MATCH(Elements!E915,Constants!$V$4:$V$7,0),MATCH(Elements!F915,Constants!$W$3:$AA$3,0)),0)</f>
        <v>0</v>
      </c>
      <c r="L915" s="68">
        <f t="shared" si="30"/>
        <v>0</v>
      </c>
    </row>
    <row r="916" spans="2:12" x14ac:dyDescent="0.85">
      <c r="B916" s="46">
        <v>909</v>
      </c>
      <c r="C916" s="276"/>
      <c r="D916" s="283"/>
      <c r="E916" s="10"/>
      <c r="F916" s="10"/>
      <c r="G916" s="47">
        <v>1</v>
      </c>
      <c r="H916" s="72"/>
      <c r="I916" s="10"/>
      <c r="J916" s="46">
        <f t="shared" si="29"/>
        <v>1</v>
      </c>
      <c r="K916" s="46">
        <f>IFERROR(INDEX(TarrifTable,MATCH(Elements!E916,Constants!$V$4:$V$7,0),MATCH(Elements!F916,Constants!$W$3:$AA$3,0)),0)</f>
        <v>0</v>
      </c>
      <c r="L916" s="69">
        <f t="shared" si="30"/>
        <v>0</v>
      </c>
    </row>
    <row r="917" spans="2:12" x14ac:dyDescent="0.85">
      <c r="B917" s="48">
        <v>910</v>
      </c>
      <c r="C917" s="277"/>
      <c r="D917" s="284"/>
      <c r="E917" s="44"/>
      <c r="F917" s="44"/>
      <c r="G917" s="49">
        <v>1</v>
      </c>
      <c r="H917" s="73"/>
      <c r="I917" s="44"/>
      <c r="J917" s="48">
        <f t="shared" si="29"/>
        <v>1</v>
      </c>
      <c r="K917" s="48">
        <f>IFERROR(INDEX(TarrifTable,MATCH(Elements!E917,Constants!$V$4:$V$7,0),MATCH(Elements!F917,Constants!$W$3:$AA$3,0)),0)</f>
        <v>0</v>
      </c>
      <c r="L917" s="68">
        <f t="shared" si="30"/>
        <v>0</v>
      </c>
    </row>
    <row r="918" spans="2:12" x14ac:dyDescent="0.85">
      <c r="B918" s="46">
        <v>911</v>
      </c>
      <c r="C918" s="276"/>
      <c r="D918" s="283"/>
      <c r="E918" s="10"/>
      <c r="F918" s="10"/>
      <c r="G918" s="47">
        <v>1</v>
      </c>
      <c r="H918" s="72"/>
      <c r="I918" s="10"/>
      <c r="J918" s="46">
        <f t="shared" si="29"/>
        <v>1</v>
      </c>
      <c r="K918" s="46">
        <f>IFERROR(INDEX(TarrifTable,MATCH(Elements!E918,Constants!$V$4:$V$7,0),MATCH(Elements!F918,Constants!$W$3:$AA$3,0)),0)</f>
        <v>0</v>
      </c>
      <c r="L918" s="69">
        <f t="shared" si="30"/>
        <v>0</v>
      </c>
    </row>
    <row r="919" spans="2:12" x14ac:dyDescent="0.85">
      <c r="B919" s="48">
        <v>912</v>
      </c>
      <c r="C919" s="277"/>
      <c r="D919" s="284"/>
      <c r="E919" s="44"/>
      <c r="F919" s="44"/>
      <c r="G919" s="49">
        <v>1</v>
      </c>
      <c r="H919" s="73"/>
      <c r="I919" s="44"/>
      <c r="J919" s="48">
        <f t="shared" si="29"/>
        <v>1</v>
      </c>
      <c r="K919" s="48">
        <f>IFERROR(INDEX(TarrifTable,MATCH(Elements!E919,Constants!$V$4:$V$7,0),MATCH(Elements!F919,Constants!$W$3:$AA$3,0)),0)</f>
        <v>0</v>
      </c>
      <c r="L919" s="68">
        <f t="shared" si="30"/>
        <v>0</v>
      </c>
    </row>
    <row r="920" spans="2:12" x14ac:dyDescent="0.85">
      <c r="B920" s="46">
        <v>913</v>
      </c>
      <c r="C920" s="276"/>
      <c r="D920" s="283"/>
      <c r="E920" s="10"/>
      <c r="F920" s="10"/>
      <c r="G920" s="47">
        <v>1</v>
      </c>
      <c r="H920" s="72"/>
      <c r="I920" s="10"/>
      <c r="J920" s="46">
        <f t="shared" si="29"/>
        <v>1</v>
      </c>
      <c r="K920" s="46">
        <f>IFERROR(INDEX(TarrifTable,MATCH(Elements!E920,Constants!$V$4:$V$7,0),MATCH(Elements!F920,Constants!$W$3:$AA$3,0)),0)</f>
        <v>0</v>
      </c>
      <c r="L920" s="69">
        <f t="shared" si="30"/>
        <v>0</v>
      </c>
    </row>
    <row r="921" spans="2:12" x14ac:dyDescent="0.85">
      <c r="B921" s="48">
        <v>914</v>
      </c>
      <c r="C921" s="277"/>
      <c r="D921" s="284"/>
      <c r="E921" s="44"/>
      <c r="F921" s="44"/>
      <c r="G921" s="49">
        <v>1</v>
      </c>
      <c r="H921" s="73"/>
      <c r="I921" s="44"/>
      <c r="J921" s="48">
        <f t="shared" si="29"/>
        <v>1</v>
      </c>
      <c r="K921" s="48">
        <f>IFERROR(INDEX(TarrifTable,MATCH(Elements!E921,Constants!$V$4:$V$7,0),MATCH(Elements!F921,Constants!$W$3:$AA$3,0)),0)</f>
        <v>0</v>
      </c>
      <c r="L921" s="68">
        <f t="shared" si="30"/>
        <v>0</v>
      </c>
    </row>
    <row r="922" spans="2:12" x14ac:dyDescent="0.85">
      <c r="B922" s="46">
        <v>915</v>
      </c>
      <c r="C922" s="276"/>
      <c r="D922" s="283"/>
      <c r="E922" s="10"/>
      <c r="F922" s="10"/>
      <c r="G922" s="47">
        <v>1</v>
      </c>
      <c r="H922" s="72"/>
      <c r="I922" s="10"/>
      <c r="J922" s="46">
        <f t="shared" si="29"/>
        <v>1</v>
      </c>
      <c r="K922" s="46">
        <f>IFERROR(INDEX(TarrifTable,MATCH(Elements!E922,Constants!$V$4:$V$7,0),MATCH(Elements!F922,Constants!$W$3:$AA$3,0)),0)</f>
        <v>0</v>
      </c>
      <c r="L922" s="69">
        <f t="shared" si="30"/>
        <v>0</v>
      </c>
    </row>
    <row r="923" spans="2:12" x14ac:dyDescent="0.85">
      <c r="B923" s="48">
        <v>916</v>
      </c>
      <c r="C923" s="277"/>
      <c r="D923" s="284"/>
      <c r="E923" s="44"/>
      <c r="F923" s="44"/>
      <c r="G923" s="49">
        <v>1</v>
      </c>
      <c r="H923" s="73"/>
      <c r="I923" s="44"/>
      <c r="J923" s="48">
        <f t="shared" si="29"/>
        <v>1</v>
      </c>
      <c r="K923" s="48">
        <f>IFERROR(INDEX(TarrifTable,MATCH(Elements!E923,Constants!$V$4:$V$7,0),MATCH(Elements!F923,Constants!$W$3:$AA$3,0)),0)</f>
        <v>0</v>
      </c>
      <c r="L923" s="68">
        <f t="shared" si="30"/>
        <v>0</v>
      </c>
    </row>
    <row r="924" spans="2:12" x14ac:dyDescent="0.85">
      <c r="B924" s="46">
        <v>917</v>
      </c>
      <c r="C924" s="276"/>
      <c r="D924" s="283"/>
      <c r="E924" s="10"/>
      <c r="F924" s="10"/>
      <c r="G924" s="47">
        <v>1</v>
      </c>
      <c r="H924" s="72"/>
      <c r="I924" s="10"/>
      <c r="J924" s="46">
        <f t="shared" si="29"/>
        <v>1</v>
      </c>
      <c r="K924" s="46">
        <f>IFERROR(INDEX(TarrifTable,MATCH(Elements!E924,Constants!$V$4:$V$7,0),MATCH(Elements!F924,Constants!$W$3:$AA$3,0)),0)</f>
        <v>0</v>
      </c>
      <c r="L924" s="69">
        <f t="shared" si="30"/>
        <v>0</v>
      </c>
    </row>
    <row r="925" spans="2:12" x14ac:dyDescent="0.85">
      <c r="B925" s="48">
        <v>918</v>
      </c>
      <c r="C925" s="277"/>
      <c r="D925" s="284"/>
      <c r="E925" s="44"/>
      <c r="F925" s="44"/>
      <c r="G925" s="49">
        <v>1</v>
      </c>
      <c r="H925" s="73"/>
      <c r="I925" s="44"/>
      <c r="J925" s="48">
        <f t="shared" si="29"/>
        <v>1</v>
      </c>
      <c r="K925" s="48">
        <f>IFERROR(INDEX(TarrifTable,MATCH(Elements!E925,Constants!$V$4:$V$7,0),MATCH(Elements!F925,Constants!$W$3:$AA$3,0)),0)</f>
        <v>0</v>
      </c>
      <c r="L925" s="68">
        <f t="shared" si="30"/>
        <v>0</v>
      </c>
    </row>
    <row r="926" spans="2:12" x14ac:dyDescent="0.85">
      <c r="B926" s="46">
        <v>919</v>
      </c>
      <c r="C926" s="276"/>
      <c r="D926" s="283"/>
      <c r="E926" s="10"/>
      <c r="F926" s="10"/>
      <c r="G926" s="47">
        <v>1</v>
      </c>
      <c r="H926" s="72"/>
      <c r="I926" s="10"/>
      <c r="J926" s="46">
        <f t="shared" si="29"/>
        <v>1</v>
      </c>
      <c r="K926" s="46">
        <f>IFERROR(INDEX(TarrifTable,MATCH(Elements!E926,Constants!$V$4:$V$7,0),MATCH(Elements!F926,Constants!$W$3:$AA$3,0)),0)</f>
        <v>0</v>
      </c>
      <c r="L926" s="69">
        <f t="shared" si="30"/>
        <v>0</v>
      </c>
    </row>
    <row r="927" spans="2:12" x14ac:dyDescent="0.85">
      <c r="B927" s="48">
        <v>920</v>
      </c>
      <c r="C927" s="277"/>
      <c r="D927" s="284"/>
      <c r="E927" s="44"/>
      <c r="F927" s="44"/>
      <c r="G927" s="49">
        <v>1</v>
      </c>
      <c r="H927" s="73"/>
      <c r="I927" s="44"/>
      <c r="J927" s="48">
        <f t="shared" si="29"/>
        <v>1</v>
      </c>
      <c r="K927" s="48">
        <f>IFERROR(INDEX(TarrifTable,MATCH(Elements!E927,Constants!$V$4:$V$7,0),MATCH(Elements!F927,Constants!$W$3:$AA$3,0)),0)</f>
        <v>0</v>
      </c>
      <c r="L927" s="68">
        <f t="shared" si="30"/>
        <v>0</v>
      </c>
    </row>
    <row r="928" spans="2:12" x14ac:dyDescent="0.85">
      <c r="B928" s="46">
        <v>921</v>
      </c>
      <c r="C928" s="276"/>
      <c r="D928" s="283"/>
      <c r="E928" s="10"/>
      <c r="F928" s="10"/>
      <c r="G928" s="47">
        <v>1</v>
      </c>
      <c r="H928" s="72"/>
      <c r="I928" s="10"/>
      <c r="J928" s="46">
        <f t="shared" si="29"/>
        <v>1</v>
      </c>
      <c r="K928" s="46">
        <f>IFERROR(INDEX(TarrifTable,MATCH(Elements!E928,Constants!$V$4:$V$7,0),MATCH(Elements!F928,Constants!$W$3:$AA$3,0)),0)</f>
        <v>0</v>
      </c>
      <c r="L928" s="69">
        <f t="shared" si="30"/>
        <v>0</v>
      </c>
    </row>
    <row r="929" spans="2:12" x14ac:dyDescent="0.85">
      <c r="B929" s="48">
        <v>922</v>
      </c>
      <c r="C929" s="277"/>
      <c r="D929" s="284"/>
      <c r="E929" s="44"/>
      <c r="F929" s="44"/>
      <c r="G929" s="49">
        <v>1</v>
      </c>
      <c r="H929" s="73"/>
      <c r="I929" s="44"/>
      <c r="J929" s="48">
        <f t="shared" si="29"/>
        <v>1</v>
      </c>
      <c r="K929" s="48">
        <f>IFERROR(INDEX(TarrifTable,MATCH(Elements!E929,Constants!$V$4:$V$7,0),MATCH(Elements!F929,Constants!$W$3:$AA$3,0)),0)</f>
        <v>0</v>
      </c>
      <c r="L929" s="68">
        <f t="shared" si="30"/>
        <v>0</v>
      </c>
    </row>
    <row r="930" spans="2:12" x14ac:dyDescent="0.85">
      <c r="B930" s="46">
        <v>923</v>
      </c>
      <c r="C930" s="276"/>
      <c r="D930" s="283"/>
      <c r="E930" s="10"/>
      <c r="F930" s="10"/>
      <c r="G930" s="47">
        <v>1</v>
      </c>
      <c r="H930" s="72"/>
      <c r="I930" s="10"/>
      <c r="J930" s="46">
        <f t="shared" si="29"/>
        <v>1</v>
      </c>
      <c r="K930" s="46">
        <f>IFERROR(INDEX(TarrifTable,MATCH(Elements!E930,Constants!$V$4:$V$7,0),MATCH(Elements!F930,Constants!$W$3:$AA$3,0)),0)</f>
        <v>0</v>
      </c>
      <c r="L930" s="69">
        <f t="shared" si="30"/>
        <v>0</v>
      </c>
    </row>
    <row r="931" spans="2:12" x14ac:dyDescent="0.85">
      <c r="B931" s="48">
        <v>924</v>
      </c>
      <c r="C931" s="277"/>
      <c r="D931" s="284"/>
      <c r="E931" s="44"/>
      <c r="F931" s="44"/>
      <c r="G931" s="49">
        <v>1</v>
      </c>
      <c r="H931" s="73"/>
      <c r="I931" s="44"/>
      <c r="J931" s="48">
        <f t="shared" si="29"/>
        <v>1</v>
      </c>
      <c r="K931" s="48">
        <f>IFERROR(INDEX(TarrifTable,MATCH(Elements!E931,Constants!$V$4:$V$7,0),MATCH(Elements!F931,Constants!$W$3:$AA$3,0)),0)</f>
        <v>0</v>
      </c>
      <c r="L931" s="68">
        <f t="shared" si="30"/>
        <v>0</v>
      </c>
    </row>
    <row r="932" spans="2:12" x14ac:dyDescent="0.85">
      <c r="B932" s="46">
        <v>925</v>
      </c>
      <c r="C932" s="276"/>
      <c r="D932" s="283"/>
      <c r="E932" s="10"/>
      <c r="F932" s="10"/>
      <c r="G932" s="47">
        <v>1</v>
      </c>
      <c r="H932" s="72"/>
      <c r="I932" s="10"/>
      <c r="J932" s="46">
        <f t="shared" si="29"/>
        <v>1</v>
      </c>
      <c r="K932" s="46">
        <f>IFERROR(INDEX(TarrifTable,MATCH(Elements!E932,Constants!$V$4:$V$7,0),MATCH(Elements!F932,Constants!$W$3:$AA$3,0)),0)</f>
        <v>0</v>
      </c>
      <c r="L932" s="69">
        <f t="shared" si="30"/>
        <v>0</v>
      </c>
    </row>
    <row r="933" spans="2:12" x14ac:dyDescent="0.85">
      <c r="B933" s="48">
        <v>926</v>
      </c>
      <c r="C933" s="277"/>
      <c r="D933" s="284"/>
      <c r="E933" s="44"/>
      <c r="F933" s="44"/>
      <c r="G933" s="49">
        <v>1</v>
      </c>
      <c r="H933" s="73"/>
      <c r="I933" s="44"/>
      <c r="J933" s="48">
        <f t="shared" si="29"/>
        <v>1</v>
      </c>
      <c r="K933" s="48">
        <f>IFERROR(INDEX(TarrifTable,MATCH(Elements!E933,Constants!$V$4:$V$7,0),MATCH(Elements!F933,Constants!$W$3:$AA$3,0)),0)</f>
        <v>0</v>
      </c>
      <c r="L933" s="68">
        <f t="shared" si="30"/>
        <v>0</v>
      </c>
    </row>
    <row r="934" spans="2:12" x14ac:dyDescent="0.85">
      <c r="B934" s="46">
        <v>927</v>
      </c>
      <c r="C934" s="276"/>
      <c r="D934" s="283"/>
      <c r="E934" s="10"/>
      <c r="F934" s="10"/>
      <c r="G934" s="47">
        <v>1</v>
      </c>
      <c r="H934" s="72"/>
      <c r="I934" s="10"/>
      <c r="J934" s="46">
        <f t="shared" si="29"/>
        <v>1</v>
      </c>
      <c r="K934" s="46">
        <f>IFERROR(INDEX(TarrifTable,MATCH(Elements!E934,Constants!$V$4:$V$7,0),MATCH(Elements!F934,Constants!$W$3:$AA$3,0)),0)</f>
        <v>0</v>
      </c>
      <c r="L934" s="69">
        <f t="shared" si="30"/>
        <v>0</v>
      </c>
    </row>
    <row r="935" spans="2:12" x14ac:dyDescent="0.85">
      <c r="B935" s="48">
        <v>928</v>
      </c>
      <c r="C935" s="277"/>
      <c r="D935" s="284"/>
      <c r="E935" s="44"/>
      <c r="F935" s="44"/>
      <c r="G935" s="49">
        <v>1</v>
      </c>
      <c r="H935" s="73"/>
      <c r="I935" s="44"/>
      <c r="J935" s="48">
        <f t="shared" si="29"/>
        <v>1</v>
      </c>
      <c r="K935" s="48">
        <f>IFERROR(INDEX(TarrifTable,MATCH(Elements!E935,Constants!$V$4:$V$7,0),MATCH(Elements!F935,Constants!$W$3:$AA$3,0)),0)</f>
        <v>0</v>
      </c>
      <c r="L935" s="68">
        <f t="shared" si="30"/>
        <v>0</v>
      </c>
    </row>
    <row r="936" spans="2:12" x14ac:dyDescent="0.85">
      <c r="B936" s="46">
        <v>929</v>
      </c>
      <c r="C936" s="276"/>
      <c r="D936" s="283"/>
      <c r="E936" s="10"/>
      <c r="F936" s="10"/>
      <c r="G936" s="47">
        <v>1</v>
      </c>
      <c r="H936" s="72"/>
      <c r="I936" s="10"/>
      <c r="J936" s="46">
        <f t="shared" si="29"/>
        <v>1</v>
      </c>
      <c r="K936" s="46">
        <f>IFERROR(INDEX(TarrifTable,MATCH(Elements!E936,Constants!$V$4:$V$7,0),MATCH(Elements!F936,Constants!$W$3:$AA$3,0)),0)</f>
        <v>0</v>
      </c>
      <c r="L936" s="69">
        <f t="shared" si="30"/>
        <v>0</v>
      </c>
    </row>
    <row r="937" spans="2:12" x14ac:dyDescent="0.85">
      <c r="B937" s="48">
        <v>930</v>
      </c>
      <c r="C937" s="277"/>
      <c r="D937" s="284"/>
      <c r="E937" s="44"/>
      <c r="F937" s="44"/>
      <c r="G937" s="49">
        <v>1</v>
      </c>
      <c r="H937" s="73"/>
      <c r="I937" s="44"/>
      <c r="J937" s="48">
        <f t="shared" si="29"/>
        <v>1</v>
      </c>
      <c r="K937" s="48">
        <f>IFERROR(INDEX(TarrifTable,MATCH(Elements!E937,Constants!$V$4:$V$7,0),MATCH(Elements!F937,Constants!$W$3:$AA$3,0)),0)</f>
        <v>0</v>
      </c>
      <c r="L937" s="68">
        <f t="shared" si="30"/>
        <v>0</v>
      </c>
    </row>
    <row r="938" spans="2:12" x14ac:dyDescent="0.85">
      <c r="B938" s="46">
        <v>931</v>
      </c>
      <c r="C938" s="276"/>
      <c r="D938" s="283"/>
      <c r="E938" s="10"/>
      <c r="F938" s="10"/>
      <c r="G938" s="47">
        <v>1</v>
      </c>
      <c r="H938" s="72"/>
      <c r="I938" s="10"/>
      <c r="J938" s="46">
        <f t="shared" si="29"/>
        <v>1</v>
      </c>
      <c r="K938" s="46">
        <f>IFERROR(INDEX(TarrifTable,MATCH(Elements!E938,Constants!$V$4:$V$7,0),MATCH(Elements!F938,Constants!$W$3:$AA$3,0)),0)</f>
        <v>0</v>
      </c>
      <c r="L938" s="69">
        <f t="shared" si="30"/>
        <v>0</v>
      </c>
    </row>
    <row r="939" spans="2:12" x14ac:dyDescent="0.85">
      <c r="B939" s="48">
        <v>932</v>
      </c>
      <c r="C939" s="277"/>
      <c r="D939" s="284"/>
      <c r="E939" s="44"/>
      <c r="F939" s="44"/>
      <c r="G939" s="49">
        <v>1</v>
      </c>
      <c r="H939" s="73"/>
      <c r="I939" s="44"/>
      <c r="J939" s="48">
        <f t="shared" si="29"/>
        <v>1</v>
      </c>
      <c r="K939" s="48">
        <f>IFERROR(INDEX(TarrifTable,MATCH(Elements!E939,Constants!$V$4:$V$7,0),MATCH(Elements!F939,Constants!$W$3:$AA$3,0)),0)</f>
        <v>0</v>
      </c>
      <c r="L939" s="68">
        <f t="shared" si="30"/>
        <v>0</v>
      </c>
    </row>
    <row r="940" spans="2:12" x14ac:dyDescent="0.85">
      <c r="B940" s="46">
        <v>933</v>
      </c>
      <c r="C940" s="276"/>
      <c r="D940" s="283"/>
      <c r="E940" s="10"/>
      <c r="F940" s="10"/>
      <c r="G940" s="47">
        <v>1</v>
      </c>
      <c r="H940" s="72"/>
      <c r="I940" s="10"/>
      <c r="J940" s="46">
        <f t="shared" si="29"/>
        <v>1</v>
      </c>
      <c r="K940" s="46">
        <f>IFERROR(INDEX(TarrifTable,MATCH(Elements!E940,Constants!$V$4:$V$7,0),MATCH(Elements!F940,Constants!$W$3:$AA$3,0)),0)</f>
        <v>0</v>
      </c>
      <c r="L940" s="69">
        <f t="shared" si="30"/>
        <v>0</v>
      </c>
    </row>
    <row r="941" spans="2:12" x14ac:dyDescent="0.85">
      <c r="B941" s="48">
        <v>934</v>
      </c>
      <c r="C941" s="277"/>
      <c r="D941" s="284"/>
      <c r="E941" s="44"/>
      <c r="F941" s="44"/>
      <c r="G941" s="49">
        <v>1</v>
      </c>
      <c r="H941" s="73"/>
      <c r="I941" s="44"/>
      <c r="J941" s="48">
        <f t="shared" si="29"/>
        <v>1</v>
      </c>
      <c r="K941" s="48">
        <f>IFERROR(INDEX(TarrifTable,MATCH(Elements!E941,Constants!$V$4:$V$7,0),MATCH(Elements!F941,Constants!$W$3:$AA$3,0)),0)</f>
        <v>0</v>
      </c>
      <c r="L941" s="68">
        <f t="shared" si="30"/>
        <v>0</v>
      </c>
    </row>
    <row r="942" spans="2:12" x14ac:dyDescent="0.85">
      <c r="B942" s="46">
        <v>935</v>
      </c>
      <c r="C942" s="276"/>
      <c r="D942" s="283"/>
      <c r="E942" s="10"/>
      <c r="F942" s="10"/>
      <c r="G942" s="47">
        <v>1</v>
      </c>
      <c r="H942" s="72"/>
      <c r="I942" s="10"/>
      <c r="J942" s="46">
        <f t="shared" si="29"/>
        <v>1</v>
      </c>
      <c r="K942" s="46">
        <f>IFERROR(INDEX(TarrifTable,MATCH(Elements!E942,Constants!$V$4:$V$7,0),MATCH(Elements!F942,Constants!$W$3:$AA$3,0)),0)</f>
        <v>0</v>
      </c>
      <c r="L942" s="69">
        <f t="shared" si="30"/>
        <v>0</v>
      </c>
    </row>
    <row r="943" spans="2:12" x14ac:dyDescent="0.85">
      <c r="B943" s="48">
        <v>936</v>
      </c>
      <c r="C943" s="277"/>
      <c r="D943" s="284"/>
      <c r="E943" s="44"/>
      <c r="F943" s="44"/>
      <c r="G943" s="49">
        <v>1</v>
      </c>
      <c r="H943" s="73"/>
      <c r="I943" s="44"/>
      <c r="J943" s="48">
        <f t="shared" si="29"/>
        <v>1</v>
      </c>
      <c r="K943" s="48">
        <f>IFERROR(INDEX(TarrifTable,MATCH(Elements!E943,Constants!$V$4:$V$7,0),MATCH(Elements!F943,Constants!$W$3:$AA$3,0)),0)</f>
        <v>0</v>
      </c>
      <c r="L943" s="68">
        <f t="shared" si="30"/>
        <v>0</v>
      </c>
    </row>
    <row r="944" spans="2:12" x14ac:dyDescent="0.85">
      <c r="B944" s="46">
        <v>937</v>
      </c>
      <c r="C944" s="276"/>
      <c r="D944" s="283"/>
      <c r="E944" s="10"/>
      <c r="F944" s="10"/>
      <c r="G944" s="47">
        <v>1</v>
      </c>
      <c r="H944" s="72"/>
      <c r="I944" s="10"/>
      <c r="J944" s="46">
        <f t="shared" si="29"/>
        <v>1</v>
      </c>
      <c r="K944" s="46">
        <f>IFERROR(INDEX(TarrifTable,MATCH(Elements!E944,Constants!$V$4:$V$7,0),MATCH(Elements!F944,Constants!$W$3:$AA$3,0)),0)</f>
        <v>0</v>
      </c>
      <c r="L944" s="69">
        <f t="shared" si="30"/>
        <v>0</v>
      </c>
    </row>
    <row r="945" spans="2:12" x14ac:dyDescent="0.85">
      <c r="B945" s="48">
        <v>938</v>
      </c>
      <c r="C945" s="277"/>
      <c r="D945" s="284"/>
      <c r="E945" s="44"/>
      <c r="F945" s="44"/>
      <c r="G945" s="49">
        <v>1</v>
      </c>
      <c r="H945" s="73"/>
      <c r="I945" s="44"/>
      <c r="J945" s="48">
        <f t="shared" si="29"/>
        <v>1</v>
      </c>
      <c r="K945" s="48">
        <f>IFERROR(INDEX(TarrifTable,MATCH(Elements!E945,Constants!$V$4:$V$7,0),MATCH(Elements!F945,Constants!$W$3:$AA$3,0)),0)</f>
        <v>0</v>
      </c>
      <c r="L945" s="68">
        <f t="shared" si="30"/>
        <v>0</v>
      </c>
    </row>
    <row r="946" spans="2:12" x14ac:dyDescent="0.85">
      <c r="B946" s="46">
        <v>939</v>
      </c>
      <c r="C946" s="276"/>
      <c r="D946" s="283"/>
      <c r="E946" s="10"/>
      <c r="F946" s="10"/>
      <c r="G946" s="47">
        <v>1</v>
      </c>
      <c r="H946" s="72"/>
      <c r="I946" s="10"/>
      <c r="J946" s="46">
        <f t="shared" si="29"/>
        <v>1</v>
      </c>
      <c r="K946" s="46">
        <f>IFERROR(INDEX(TarrifTable,MATCH(Elements!E946,Constants!$V$4:$V$7,0),MATCH(Elements!F946,Constants!$W$3:$AA$3,0)),0)</f>
        <v>0</v>
      </c>
      <c r="L946" s="69">
        <f t="shared" si="30"/>
        <v>0</v>
      </c>
    </row>
    <row r="947" spans="2:12" x14ac:dyDescent="0.85">
      <c r="B947" s="48">
        <v>940</v>
      </c>
      <c r="C947" s="277"/>
      <c r="D947" s="284"/>
      <c r="E947" s="44"/>
      <c r="F947" s="44"/>
      <c r="G947" s="49">
        <v>1</v>
      </c>
      <c r="H947" s="73"/>
      <c r="I947" s="44"/>
      <c r="J947" s="48">
        <f t="shared" si="29"/>
        <v>1</v>
      </c>
      <c r="K947" s="48">
        <f>IFERROR(INDEX(TarrifTable,MATCH(Elements!E947,Constants!$V$4:$V$7,0),MATCH(Elements!F947,Constants!$W$3:$AA$3,0)),0)</f>
        <v>0</v>
      </c>
      <c r="L947" s="68">
        <f t="shared" si="30"/>
        <v>0</v>
      </c>
    </row>
    <row r="948" spans="2:12" x14ac:dyDescent="0.85">
      <c r="B948" s="46">
        <v>941</v>
      </c>
      <c r="C948" s="276"/>
      <c r="D948" s="283"/>
      <c r="E948" s="10"/>
      <c r="F948" s="10"/>
      <c r="G948" s="47">
        <v>1</v>
      </c>
      <c r="H948" s="72"/>
      <c r="I948" s="10"/>
      <c r="J948" s="46">
        <f t="shared" si="29"/>
        <v>1</v>
      </c>
      <c r="K948" s="46">
        <f>IFERROR(INDEX(TarrifTable,MATCH(Elements!E948,Constants!$V$4:$V$7,0),MATCH(Elements!F948,Constants!$W$3:$AA$3,0)),0)</f>
        <v>0</v>
      </c>
      <c r="L948" s="69">
        <f t="shared" si="30"/>
        <v>0</v>
      </c>
    </row>
    <row r="949" spans="2:12" x14ac:dyDescent="0.85">
      <c r="B949" s="48">
        <v>942</v>
      </c>
      <c r="C949" s="277"/>
      <c r="D949" s="284"/>
      <c r="E949" s="44"/>
      <c r="F949" s="44"/>
      <c r="G949" s="49">
        <v>1</v>
      </c>
      <c r="H949" s="73"/>
      <c r="I949" s="44"/>
      <c r="J949" s="48">
        <f t="shared" si="29"/>
        <v>1</v>
      </c>
      <c r="K949" s="48">
        <f>IFERROR(INDEX(TarrifTable,MATCH(Elements!E949,Constants!$V$4:$V$7,0),MATCH(Elements!F949,Constants!$W$3:$AA$3,0)),0)</f>
        <v>0</v>
      </c>
      <c r="L949" s="68">
        <f t="shared" si="30"/>
        <v>0</v>
      </c>
    </row>
    <row r="950" spans="2:12" x14ac:dyDescent="0.85">
      <c r="B950" s="46">
        <v>943</v>
      </c>
      <c r="C950" s="276"/>
      <c r="D950" s="283"/>
      <c r="E950" s="10"/>
      <c r="F950" s="10"/>
      <c r="G950" s="47">
        <v>1</v>
      </c>
      <c r="H950" s="72"/>
      <c r="I950" s="10"/>
      <c r="J950" s="46">
        <f t="shared" si="29"/>
        <v>1</v>
      </c>
      <c r="K950" s="46">
        <f>IFERROR(INDEX(TarrifTable,MATCH(Elements!E950,Constants!$V$4:$V$7,0),MATCH(Elements!F950,Constants!$W$3:$AA$3,0)),0)</f>
        <v>0</v>
      </c>
      <c r="L950" s="69">
        <f t="shared" si="30"/>
        <v>0</v>
      </c>
    </row>
    <row r="951" spans="2:12" x14ac:dyDescent="0.85">
      <c r="B951" s="48">
        <v>944</v>
      </c>
      <c r="C951" s="277"/>
      <c r="D951" s="284"/>
      <c r="E951" s="44"/>
      <c r="F951" s="44"/>
      <c r="G951" s="49">
        <v>1</v>
      </c>
      <c r="H951" s="73"/>
      <c r="I951" s="44"/>
      <c r="J951" s="48">
        <f t="shared" si="29"/>
        <v>1</v>
      </c>
      <c r="K951" s="48">
        <f>IFERROR(INDEX(TarrifTable,MATCH(Elements!E951,Constants!$V$4:$V$7,0),MATCH(Elements!F951,Constants!$W$3:$AA$3,0)),0)</f>
        <v>0</v>
      </c>
      <c r="L951" s="68">
        <f t="shared" si="30"/>
        <v>0</v>
      </c>
    </row>
    <row r="952" spans="2:12" x14ac:dyDescent="0.85">
      <c r="B952" s="46">
        <v>945</v>
      </c>
      <c r="C952" s="276"/>
      <c r="D952" s="283"/>
      <c r="E952" s="10"/>
      <c r="F952" s="10"/>
      <c r="G952" s="47">
        <v>1</v>
      </c>
      <c r="H952" s="72"/>
      <c r="I952" s="10"/>
      <c r="J952" s="46">
        <f t="shared" si="29"/>
        <v>1</v>
      </c>
      <c r="K952" s="46">
        <f>IFERROR(INDEX(TarrifTable,MATCH(Elements!E952,Constants!$V$4:$V$7,0),MATCH(Elements!F952,Constants!$W$3:$AA$3,0)),0)</f>
        <v>0</v>
      </c>
      <c r="L952" s="69">
        <f t="shared" si="30"/>
        <v>0</v>
      </c>
    </row>
    <row r="953" spans="2:12" x14ac:dyDescent="0.85">
      <c r="B953" s="48">
        <v>946</v>
      </c>
      <c r="C953" s="277"/>
      <c r="D953" s="284"/>
      <c r="E953" s="44"/>
      <c r="F953" s="44"/>
      <c r="G953" s="49">
        <v>1</v>
      </c>
      <c r="H953" s="73"/>
      <c r="I953" s="44"/>
      <c r="J953" s="48">
        <f t="shared" si="29"/>
        <v>1</v>
      </c>
      <c r="K953" s="48">
        <f>IFERROR(INDEX(TarrifTable,MATCH(Elements!E953,Constants!$V$4:$V$7,0),MATCH(Elements!F953,Constants!$W$3:$AA$3,0)),0)</f>
        <v>0</v>
      </c>
      <c r="L953" s="68">
        <f t="shared" si="30"/>
        <v>0</v>
      </c>
    </row>
    <row r="954" spans="2:12" x14ac:dyDescent="0.85">
      <c r="B954" s="46">
        <v>947</v>
      </c>
      <c r="C954" s="276"/>
      <c r="D954" s="283"/>
      <c r="E954" s="10"/>
      <c r="F954" s="10"/>
      <c r="G954" s="47">
        <v>1</v>
      </c>
      <c r="H954" s="72"/>
      <c r="I954" s="10"/>
      <c r="J954" s="46">
        <f t="shared" si="29"/>
        <v>1</v>
      </c>
      <c r="K954" s="46">
        <f>IFERROR(INDEX(TarrifTable,MATCH(Elements!E954,Constants!$V$4:$V$7,0),MATCH(Elements!F954,Constants!$W$3:$AA$3,0)),0)</f>
        <v>0</v>
      </c>
      <c r="L954" s="69">
        <f t="shared" si="30"/>
        <v>0</v>
      </c>
    </row>
    <row r="955" spans="2:12" x14ac:dyDescent="0.85">
      <c r="B955" s="48">
        <v>948</v>
      </c>
      <c r="C955" s="277"/>
      <c r="D955" s="284"/>
      <c r="E955" s="44"/>
      <c r="F955" s="44"/>
      <c r="G955" s="49">
        <v>1</v>
      </c>
      <c r="H955" s="73"/>
      <c r="I955" s="44"/>
      <c r="J955" s="48">
        <f t="shared" si="29"/>
        <v>1</v>
      </c>
      <c r="K955" s="48">
        <f>IFERROR(INDEX(TarrifTable,MATCH(Elements!E955,Constants!$V$4:$V$7,0),MATCH(Elements!F955,Constants!$W$3:$AA$3,0)),0)</f>
        <v>0</v>
      </c>
      <c r="L955" s="68">
        <f t="shared" si="30"/>
        <v>0</v>
      </c>
    </row>
    <row r="956" spans="2:12" x14ac:dyDescent="0.85">
      <c r="B956" s="46">
        <v>949</v>
      </c>
      <c r="C956" s="276"/>
      <c r="D956" s="283"/>
      <c r="E956" s="10"/>
      <c r="F956" s="10"/>
      <c r="G956" s="47">
        <v>1</v>
      </c>
      <c r="H956" s="72"/>
      <c r="I956" s="10"/>
      <c r="J956" s="46">
        <f t="shared" si="29"/>
        <v>1</v>
      </c>
      <c r="K956" s="46">
        <f>IFERROR(INDEX(TarrifTable,MATCH(Elements!E956,Constants!$V$4:$V$7,0),MATCH(Elements!F956,Constants!$W$3:$AA$3,0)),0)</f>
        <v>0</v>
      </c>
      <c r="L956" s="69">
        <f t="shared" si="30"/>
        <v>0</v>
      </c>
    </row>
    <row r="957" spans="2:12" x14ac:dyDescent="0.85">
      <c r="B957" s="48">
        <v>950</v>
      </c>
      <c r="C957" s="277"/>
      <c r="D957" s="284"/>
      <c r="E957" s="44"/>
      <c r="F957" s="44"/>
      <c r="G957" s="49">
        <v>1</v>
      </c>
      <c r="H957" s="73"/>
      <c r="I957" s="44"/>
      <c r="J957" s="48">
        <f t="shared" si="29"/>
        <v>1</v>
      </c>
      <c r="K957" s="48">
        <f>IFERROR(INDEX(TarrifTable,MATCH(Elements!E957,Constants!$V$4:$V$7,0),MATCH(Elements!F957,Constants!$W$3:$AA$3,0)),0)</f>
        <v>0</v>
      </c>
      <c r="L957" s="68">
        <f t="shared" si="30"/>
        <v>0</v>
      </c>
    </row>
    <row r="958" spans="2:12" x14ac:dyDescent="0.85">
      <c r="B958" s="46">
        <v>951</v>
      </c>
      <c r="C958" s="276"/>
      <c r="D958" s="283"/>
      <c r="E958" s="10"/>
      <c r="F958" s="10"/>
      <c r="G958" s="47">
        <v>1</v>
      </c>
      <c r="H958" s="72"/>
      <c r="I958" s="10"/>
      <c r="J958" s="46">
        <f t="shared" si="29"/>
        <v>1</v>
      </c>
      <c r="K958" s="46">
        <f>IFERROR(INDEX(TarrifTable,MATCH(Elements!E958,Constants!$V$4:$V$7,0),MATCH(Elements!F958,Constants!$W$3:$AA$3,0)),0)</f>
        <v>0</v>
      </c>
      <c r="L958" s="69">
        <f t="shared" si="30"/>
        <v>0</v>
      </c>
    </row>
    <row r="959" spans="2:12" x14ac:dyDescent="0.85">
      <c r="B959" s="48">
        <v>952</v>
      </c>
      <c r="C959" s="277"/>
      <c r="D959" s="284"/>
      <c r="E959" s="44"/>
      <c r="F959" s="44"/>
      <c r="G959" s="49">
        <v>1</v>
      </c>
      <c r="H959" s="73"/>
      <c r="I959" s="44"/>
      <c r="J959" s="48">
        <f t="shared" si="29"/>
        <v>1</v>
      </c>
      <c r="K959" s="48">
        <f>IFERROR(INDEX(TarrifTable,MATCH(Elements!E959,Constants!$V$4:$V$7,0),MATCH(Elements!F959,Constants!$W$3:$AA$3,0)),0)</f>
        <v>0</v>
      </c>
      <c r="L959" s="68">
        <f t="shared" si="30"/>
        <v>0</v>
      </c>
    </row>
    <row r="960" spans="2:12" x14ac:dyDescent="0.85">
      <c r="B960" s="46">
        <v>953</v>
      </c>
      <c r="C960" s="276"/>
      <c r="D960" s="283"/>
      <c r="E960" s="10"/>
      <c r="F960" s="10"/>
      <c r="G960" s="47">
        <v>1</v>
      </c>
      <c r="H960" s="72"/>
      <c r="I960" s="10"/>
      <c r="J960" s="46">
        <f t="shared" si="29"/>
        <v>1</v>
      </c>
      <c r="K960" s="46">
        <f>IFERROR(INDEX(TarrifTable,MATCH(Elements!E960,Constants!$V$4:$V$7,0),MATCH(Elements!F960,Constants!$W$3:$AA$3,0)),0)</f>
        <v>0</v>
      </c>
      <c r="L960" s="69">
        <f t="shared" si="30"/>
        <v>0</v>
      </c>
    </row>
    <row r="961" spans="2:12" x14ac:dyDescent="0.85">
      <c r="B961" s="48">
        <v>954</v>
      </c>
      <c r="C961" s="277"/>
      <c r="D961" s="284"/>
      <c r="E961" s="44"/>
      <c r="F961" s="44"/>
      <c r="G961" s="49">
        <v>1</v>
      </c>
      <c r="H961" s="73"/>
      <c r="I961" s="44"/>
      <c r="J961" s="48">
        <f t="shared" si="29"/>
        <v>1</v>
      </c>
      <c r="K961" s="48">
        <f>IFERROR(INDEX(TarrifTable,MATCH(Elements!E961,Constants!$V$4:$V$7,0),MATCH(Elements!F961,Constants!$W$3:$AA$3,0)),0)</f>
        <v>0</v>
      </c>
      <c r="L961" s="68">
        <f t="shared" si="30"/>
        <v>0</v>
      </c>
    </row>
    <row r="962" spans="2:12" x14ac:dyDescent="0.85">
      <c r="B962" s="46">
        <v>955</v>
      </c>
      <c r="C962" s="276"/>
      <c r="D962" s="283"/>
      <c r="E962" s="10"/>
      <c r="F962" s="10"/>
      <c r="G962" s="47">
        <v>1</v>
      </c>
      <c r="H962" s="72"/>
      <c r="I962" s="10"/>
      <c r="J962" s="46">
        <f t="shared" si="29"/>
        <v>1</v>
      </c>
      <c r="K962" s="46">
        <f>IFERROR(INDEX(TarrifTable,MATCH(Elements!E962,Constants!$V$4:$V$7,0),MATCH(Elements!F962,Constants!$W$3:$AA$3,0)),0)</f>
        <v>0</v>
      </c>
      <c r="L962" s="69">
        <f t="shared" si="30"/>
        <v>0</v>
      </c>
    </row>
    <row r="963" spans="2:12" x14ac:dyDescent="0.85">
      <c r="B963" s="48">
        <v>956</v>
      </c>
      <c r="C963" s="277"/>
      <c r="D963" s="284"/>
      <c r="E963" s="44"/>
      <c r="F963" s="44"/>
      <c r="G963" s="49">
        <v>1</v>
      </c>
      <c r="H963" s="73"/>
      <c r="I963" s="44"/>
      <c r="J963" s="48">
        <f t="shared" si="29"/>
        <v>1</v>
      </c>
      <c r="K963" s="48">
        <f>IFERROR(INDEX(TarrifTable,MATCH(Elements!E963,Constants!$V$4:$V$7,0),MATCH(Elements!F963,Constants!$W$3:$AA$3,0)),0)</f>
        <v>0</v>
      </c>
      <c r="L963" s="68">
        <f t="shared" si="30"/>
        <v>0</v>
      </c>
    </row>
    <row r="964" spans="2:12" x14ac:dyDescent="0.85">
      <c r="B964" s="46">
        <v>957</v>
      </c>
      <c r="C964" s="276"/>
      <c r="D964" s="283"/>
      <c r="E964" s="10"/>
      <c r="F964" s="10"/>
      <c r="G964" s="47">
        <v>1</v>
      </c>
      <c r="H964" s="72"/>
      <c r="I964" s="10"/>
      <c r="J964" s="46">
        <f t="shared" si="29"/>
        <v>1</v>
      </c>
      <c r="K964" s="46">
        <f>IFERROR(INDEX(TarrifTable,MATCH(Elements!E964,Constants!$V$4:$V$7,0),MATCH(Elements!F964,Constants!$W$3:$AA$3,0)),0)</f>
        <v>0</v>
      </c>
      <c r="L964" s="69">
        <f t="shared" si="30"/>
        <v>0</v>
      </c>
    </row>
    <row r="965" spans="2:12" x14ac:dyDescent="0.85">
      <c r="B965" s="48">
        <v>958</v>
      </c>
      <c r="C965" s="277"/>
      <c r="D965" s="284"/>
      <c r="E965" s="44"/>
      <c r="F965" s="44"/>
      <c r="G965" s="49">
        <v>1</v>
      </c>
      <c r="H965" s="73"/>
      <c r="I965" s="44"/>
      <c r="J965" s="48">
        <f t="shared" si="29"/>
        <v>1</v>
      </c>
      <c r="K965" s="48">
        <f>IFERROR(INDEX(TarrifTable,MATCH(Elements!E965,Constants!$V$4:$V$7,0),MATCH(Elements!F965,Constants!$W$3:$AA$3,0)),0)</f>
        <v>0</v>
      </c>
      <c r="L965" s="68">
        <f t="shared" si="30"/>
        <v>0</v>
      </c>
    </row>
    <row r="966" spans="2:12" x14ac:dyDescent="0.85">
      <c r="B966" s="46">
        <v>959</v>
      </c>
      <c r="C966" s="276"/>
      <c r="D966" s="283"/>
      <c r="E966" s="10"/>
      <c r="F966" s="10"/>
      <c r="G966" s="47">
        <v>1</v>
      </c>
      <c r="H966" s="72"/>
      <c r="I966" s="10"/>
      <c r="J966" s="46">
        <f t="shared" si="29"/>
        <v>1</v>
      </c>
      <c r="K966" s="46">
        <f>IFERROR(INDEX(TarrifTable,MATCH(Elements!E966,Constants!$V$4:$V$7,0),MATCH(Elements!F966,Constants!$W$3:$AA$3,0)),0)</f>
        <v>0</v>
      </c>
      <c r="L966" s="69">
        <f t="shared" si="30"/>
        <v>0</v>
      </c>
    </row>
    <row r="967" spans="2:12" x14ac:dyDescent="0.85">
      <c r="B967" s="48">
        <v>960</v>
      </c>
      <c r="C967" s="277"/>
      <c r="D967" s="284"/>
      <c r="E967" s="44"/>
      <c r="F967" s="44"/>
      <c r="G967" s="49">
        <v>1</v>
      </c>
      <c r="H967" s="73"/>
      <c r="I967" s="44"/>
      <c r="J967" s="48">
        <f t="shared" si="29"/>
        <v>1</v>
      </c>
      <c r="K967" s="48">
        <f>IFERROR(INDEX(TarrifTable,MATCH(Elements!E967,Constants!$V$4:$V$7,0),MATCH(Elements!F967,Constants!$W$3:$AA$3,0)),0)</f>
        <v>0</v>
      </c>
      <c r="L967" s="68">
        <f t="shared" si="30"/>
        <v>0</v>
      </c>
    </row>
    <row r="968" spans="2:12" x14ac:dyDescent="0.85">
      <c r="B968" s="46">
        <v>961</v>
      </c>
      <c r="C968" s="276"/>
      <c r="D968" s="283"/>
      <c r="E968" s="10"/>
      <c r="F968" s="10"/>
      <c r="G968" s="47">
        <v>1</v>
      </c>
      <c r="H968" s="72"/>
      <c r="I968" s="10"/>
      <c r="J968" s="46">
        <f t="shared" ref="J968:J1031" si="31">IF(ISBLANK(H968),1,H968)</f>
        <v>1</v>
      </c>
      <c r="K968" s="46">
        <f>IFERROR(INDEX(TarrifTable,MATCH(Elements!E968,Constants!$V$4:$V$7,0),MATCH(Elements!F968,Constants!$W$3:$AA$3,0)),0)</f>
        <v>0</v>
      </c>
      <c r="L968" s="69">
        <f t="shared" ref="L968:L1031" si="32">J968*G968*K968</f>
        <v>0</v>
      </c>
    </row>
    <row r="969" spans="2:12" x14ac:dyDescent="0.85">
      <c r="B969" s="48">
        <v>962</v>
      </c>
      <c r="C969" s="277"/>
      <c r="D969" s="284"/>
      <c r="E969" s="44"/>
      <c r="F969" s="44"/>
      <c r="G969" s="49">
        <v>1</v>
      </c>
      <c r="H969" s="73"/>
      <c r="I969" s="44"/>
      <c r="J969" s="48">
        <f t="shared" si="31"/>
        <v>1</v>
      </c>
      <c r="K969" s="48">
        <f>IFERROR(INDEX(TarrifTable,MATCH(Elements!E969,Constants!$V$4:$V$7,0),MATCH(Elements!F969,Constants!$W$3:$AA$3,0)),0)</f>
        <v>0</v>
      </c>
      <c r="L969" s="68">
        <f t="shared" si="32"/>
        <v>0</v>
      </c>
    </row>
    <row r="970" spans="2:12" x14ac:dyDescent="0.85">
      <c r="B970" s="46">
        <v>963</v>
      </c>
      <c r="C970" s="276"/>
      <c r="D970" s="283"/>
      <c r="E970" s="10"/>
      <c r="F970" s="10"/>
      <c r="G970" s="47">
        <v>1</v>
      </c>
      <c r="H970" s="72"/>
      <c r="I970" s="10"/>
      <c r="J970" s="46">
        <f t="shared" si="31"/>
        <v>1</v>
      </c>
      <c r="K970" s="46">
        <f>IFERROR(INDEX(TarrifTable,MATCH(Elements!E970,Constants!$V$4:$V$7,0),MATCH(Elements!F970,Constants!$W$3:$AA$3,0)),0)</f>
        <v>0</v>
      </c>
      <c r="L970" s="69">
        <f t="shared" si="32"/>
        <v>0</v>
      </c>
    </row>
    <row r="971" spans="2:12" x14ac:dyDescent="0.85">
      <c r="B971" s="48">
        <v>964</v>
      </c>
      <c r="C971" s="277"/>
      <c r="D971" s="284"/>
      <c r="E971" s="44"/>
      <c r="F971" s="44"/>
      <c r="G971" s="49">
        <v>1</v>
      </c>
      <c r="H971" s="73"/>
      <c r="I971" s="44"/>
      <c r="J971" s="48">
        <f t="shared" si="31"/>
        <v>1</v>
      </c>
      <c r="K971" s="48">
        <f>IFERROR(INDEX(TarrifTable,MATCH(Elements!E971,Constants!$V$4:$V$7,0),MATCH(Elements!F971,Constants!$W$3:$AA$3,0)),0)</f>
        <v>0</v>
      </c>
      <c r="L971" s="68">
        <f t="shared" si="32"/>
        <v>0</v>
      </c>
    </row>
    <row r="972" spans="2:12" x14ac:dyDescent="0.85">
      <c r="B972" s="46">
        <v>965</v>
      </c>
      <c r="C972" s="276"/>
      <c r="D972" s="283"/>
      <c r="E972" s="10"/>
      <c r="F972" s="10"/>
      <c r="G972" s="47">
        <v>1</v>
      </c>
      <c r="H972" s="72"/>
      <c r="I972" s="10"/>
      <c r="J972" s="46">
        <f t="shared" si="31"/>
        <v>1</v>
      </c>
      <c r="K972" s="46">
        <f>IFERROR(INDEX(TarrifTable,MATCH(Elements!E972,Constants!$V$4:$V$7,0),MATCH(Elements!F972,Constants!$W$3:$AA$3,0)),0)</f>
        <v>0</v>
      </c>
      <c r="L972" s="69">
        <f t="shared" si="32"/>
        <v>0</v>
      </c>
    </row>
    <row r="973" spans="2:12" x14ac:dyDescent="0.85">
      <c r="B973" s="48">
        <v>966</v>
      </c>
      <c r="C973" s="277"/>
      <c r="D973" s="284"/>
      <c r="E973" s="44"/>
      <c r="F973" s="44"/>
      <c r="G973" s="49">
        <v>1</v>
      </c>
      <c r="H973" s="73"/>
      <c r="I973" s="44"/>
      <c r="J973" s="48">
        <f t="shared" si="31"/>
        <v>1</v>
      </c>
      <c r="K973" s="48">
        <f>IFERROR(INDEX(TarrifTable,MATCH(Elements!E973,Constants!$V$4:$V$7,0),MATCH(Elements!F973,Constants!$W$3:$AA$3,0)),0)</f>
        <v>0</v>
      </c>
      <c r="L973" s="68">
        <f t="shared" si="32"/>
        <v>0</v>
      </c>
    </row>
    <row r="974" spans="2:12" x14ac:dyDescent="0.85">
      <c r="B974" s="46">
        <v>967</v>
      </c>
      <c r="C974" s="276"/>
      <c r="D974" s="283"/>
      <c r="E974" s="10"/>
      <c r="F974" s="10"/>
      <c r="G974" s="47">
        <v>1</v>
      </c>
      <c r="H974" s="72"/>
      <c r="I974" s="10"/>
      <c r="J974" s="46">
        <f t="shared" si="31"/>
        <v>1</v>
      </c>
      <c r="K974" s="46">
        <f>IFERROR(INDEX(TarrifTable,MATCH(Elements!E974,Constants!$V$4:$V$7,0),MATCH(Elements!F974,Constants!$W$3:$AA$3,0)),0)</f>
        <v>0</v>
      </c>
      <c r="L974" s="69">
        <f t="shared" si="32"/>
        <v>0</v>
      </c>
    </row>
    <row r="975" spans="2:12" x14ac:dyDescent="0.85">
      <c r="B975" s="48">
        <v>968</v>
      </c>
      <c r="C975" s="277"/>
      <c r="D975" s="284"/>
      <c r="E975" s="44"/>
      <c r="F975" s="44"/>
      <c r="G975" s="49">
        <v>1</v>
      </c>
      <c r="H975" s="73"/>
      <c r="I975" s="44"/>
      <c r="J975" s="48">
        <f t="shared" si="31"/>
        <v>1</v>
      </c>
      <c r="K975" s="48">
        <f>IFERROR(INDEX(TarrifTable,MATCH(Elements!E975,Constants!$V$4:$V$7,0),MATCH(Elements!F975,Constants!$W$3:$AA$3,0)),0)</f>
        <v>0</v>
      </c>
      <c r="L975" s="68">
        <f t="shared" si="32"/>
        <v>0</v>
      </c>
    </row>
    <row r="976" spans="2:12" x14ac:dyDescent="0.85">
      <c r="B976" s="46">
        <v>969</v>
      </c>
      <c r="C976" s="276"/>
      <c r="D976" s="283"/>
      <c r="E976" s="10"/>
      <c r="F976" s="10"/>
      <c r="G976" s="47">
        <v>1</v>
      </c>
      <c r="H976" s="72"/>
      <c r="I976" s="10"/>
      <c r="J976" s="46">
        <f t="shared" si="31"/>
        <v>1</v>
      </c>
      <c r="K976" s="46">
        <f>IFERROR(INDEX(TarrifTable,MATCH(Elements!E976,Constants!$V$4:$V$7,0),MATCH(Elements!F976,Constants!$W$3:$AA$3,0)),0)</f>
        <v>0</v>
      </c>
      <c r="L976" s="69">
        <f t="shared" si="32"/>
        <v>0</v>
      </c>
    </row>
    <row r="977" spans="2:12" x14ac:dyDescent="0.85">
      <c r="B977" s="48">
        <v>970</v>
      </c>
      <c r="C977" s="277"/>
      <c r="D977" s="284"/>
      <c r="E977" s="44"/>
      <c r="F977" s="44"/>
      <c r="G977" s="49">
        <v>1</v>
      </c>
      <c r="H977" s="73"/>
      <c r="I977" s="44"/>
      <c r="J977" s="48">
        <f t="shared" si="31"/>
        <v>1</v>
      </c>
      <c r="K977" s="48">
        <f>IFERROR(INDEX(TarrifTable,MATCH(Elements!E977,Constants!$V$4:$V$7,0),MATCH(Elements!F977,Constants!$W$3:$AA$3,0)),0)</f>
        <v>0</v>
      </c>
      <c r="L977" s="68">
        <f t="shared" si="32"/>
        <v>0</v>
      </c>
    </row>
    <row r="978" spans="2:12" x14ac:dyDescent="0.85">
      <c r="B978" s="46">
        <v>971</v>
      </c>
      <c r="C978" s="276"/>
      <c r="D978" s="283"/>
      <c r="E978" s="10"/>
      <c r="F978" s="10"/>
      <c r="G978" s="47">
        <v>1</v>
      </c>
      <c r="H978" s="72"/>
      <c r="I978" s="10"/>
      <c r="J978" s="46">
        <f t="shared" si="31"/>
        <v>1</v>
      </c>
      <c r="K978" s="46">
        <f>IFERROR(INDEX(TarrifTable,MATCH(Elements!E978,Constants!$V$4:$V$7,0),MATCH(Elements!F978,Constants!$W$3:$AA$3,0)),0)</f>
        <v>0</v>
      </c>
      <c r="L978" s="69">
        <f t="shared" si="32"/>
        <v>0</v>
      </c>
    </row>
    <row r="979" spans="2:12" x14ac:dyDescent="0.85">
      <c r="B979" s="48">
        <v>972</v>
      </c>
      <c r="C979" s="277"/>
      <c r="D979" s="284"/>
      <c r="E979" s="44"/>
      <c r="F979" s="44"/>
      <c r="G979" s="49">
        <v>1</v>
      </c>
      <c r="H979" s="73"/>
      <c r="I979" s="44"/>
      <c r="J979" s="48">
        <f t="shared" si="31"/>
        <v>1</v>
      </c>
      <c r="K979" s="48">
        <f>IFERROR(INDEX(TarrifTable,MATCH(Elements!E979,Constants!$V$4:$V$7,0),MATCH(Elements!F979,Constants!$W$3:$AA$3,0)),0)</f>
        <v>0</v>
      </c>
      <c r="L979" s="68">
        <f t="shared" si="32"/>
        <v>0</v>
      </c>
    </row>
    <row r="980" spans="2:12" x14ac:dyDescent="0.85">
      <c r="B980" s="46">
        <v>973</v>
      </c>
      <c r="C980" s="276"/>
      <c r="D980" s="283"/>
      <c r="E980" s="10"/>
      <c r="F980" s="10"/>
      <c r="G980" s="47">
        <v>1</v>
      </c>
      <c r="H980" s="72"/>
      <c r="I980" s="10"/>
      <c r="J980" s="46">
        <f t="shared" si="31"/>
        <v>1</v>
      </c>
      <c r="K980" s="46">
        <f>IFERROR(INDEX(TarrifTable,MATCH(Elements!E980,Constants!$V$4:$V$7,0),MATCH(Elements!F980,Constants!$W$3:$AA$3,0)),0)</f>
        <v>0</v>
      </c>
      <c r="L980" s="69">
        <f t="shared" si="32"/>
        <v>0</v>
      </c>
    </row>
    <row r="981" spans="2:12" x14ac:dyDescent="0.85">
      <c r="B981" s="48">
        <v>974</v>
      </c>
      <c r="C981" s="277"/>
      <c r="D981" s="284"/>
      <c r="E981" s="44"/>
      <c r="F981" s="44"/>
      <c r="G981" s="49">
        <v>1</v>
      </c>
      <c r="H981" s="73"/>
      <c r="I981" s="44"/>
      <c r="J981" s="48">
        <f t="shared" si="31"/>
        <v>1</v>
      </c>
      <c r="K981" s="48">
        <f>IFERROR(INDEX(TarrifTable,MATCH(Elements!E981,Constants!$V$4:$V$7,0),MATCH(Elements!F981,Constants!$W$3:$AA$3,0)),0)</f>
        <v>0</v>
      </c>
      <c r="L981" s="68">
        <f t="shared" si="32"/>
        <v>0</v>
      </c>
    </row>
    <row r="982" spans="2:12" x14ac:dyDescent="0.85">
      <c r="B982" s="46">
        <v>975</v>
      </c>
      <c r="C982" s="276"/>
      <c r="D982" s="283"/>
      <c r="E982" s="10"/>
      <c r="F982" s="10"/>
      <c r="G982" s="47">
        <v>1</v>
      </c>
      <c r="H982" s="72"/>
      <c r="I982" s="10"/>
      <c r="J982" s="46">
        <f t="shared" si="31"/>
        <v>1</v>
      </c>
      <c r="K982" s="46">
        <f>IFERROR(INDEX(TarrifTable,MATCH(Elements!E982,Constants!$V$4:$V$7,0),MATCH(Elements!F982,Constants!$W$3:$AA$3,0)),0)</f>
        <v>0</v>
      </c>
      <c r="L982" s="69">
        <f t="shared" si="32"/>
        <v>0</v>
      </c>
    </row>
    <row r="983" spans="2:12" x14ac:dyDescent="0.85">
      <c r="B983" s="48">
        <v>976</v>
      </c>
      <c r="C983" s="277"/>
      <c r="D983" s="284"/>
      <c r="E983" s="44"/>
      <c r="F983" s="44"/>
      <c r="G983" s="49">
        <v>1</v>
      </c>
      <c r="H983" s="73"/>
      <c r="I983" s="44"/>
      <c r="J983" s="48">
        <f t="shared" si="31"/>
        <v>1</v>
      </c>
      <c r="K983" s="48">
        <f>IFERROR(INDEX(TarrifTable,MATCH(Elements!E983,Constants!$V$4:$V$7,0),MATCH(Elements!F983,Constants!$W$3:$AA$3,0)),0)</f>
        <v>0</v>
      </c>
      <c r="L983" s="68">
        <f t="shared" si="32"/>
        <v>0</v>
      </c>
    </row>
    <row r="984" spans="2:12" x14ac:dyDescent="0.85">
      <c r="B984" s="46">
        <v>977</v>
      </c>
      <c r="C984" s="276"/>
      <c r="D984" s="283"/>
      <c r="E984" s="10"/>
      <c r="F984" s="10"/>
      <c r="G984" s="47">
        <v>1</v>
      </c>
      <c r="H984" s="72"/>
      <c r="I984" s="10"/>
      <c r="J984" s="46">
        <f t="shared" si="31"/>
        <v>1</v>
      </c>
      <c r="K984" s="46">
        <f>IFERROR(INDEX(TarrifTable,MATCH(Elements!E984,Constants!$V$4:$V$7,0),MATCH(Elements!F984,Constants!$W$3:$AA$3,0)),0)</f>
        <v>0</v>
      </c>
      <c r="L984" s="69">
        <f t="shared" si="32"/>
        <v>0</v>
      </c>
    </row>
    <row r="985" spans="2:12" x14ac:dyDescent="0.85">
      <c r="B985" s="48">
        <v>978</v>
      </c>
      <c r="C985" s="277"/>
      <c r="D985" s="284"/>
      <c r="E985" s="44"/>
      <c r="F985" s="44"/>
      <c r="G985" s="49">
        <v>1</v>
      </c>
      <c r="H985" s="73"/>
      <c r="I985" s="44"/>
      <c r="J985" s="48">
        <f t="shared" si="31"/>
        <v>1</v>
      </c>
      <c r="K985" s="48">
        <f>IFERROR(INDEX(TarrifTable,MATCH(Elements!E985,Constants!$V$4:$V$7,0),MATCH(Elements!F985,Constants!$W$3:$AA$3,0)),0)</f>
        <v>0</v>
      </c>
      <c r="L985" s="68">
        <f t="shared" si="32"/>
        <v>0</v>
      </c>
    </row>
    <row r="986" spans="2:12" x14ac:dyDescent="0.85">
      <c r="B986" s="46">
        <v>979</v>
      </c>
      <c r="C986" s="276"/>
      <c r="D986" s="283"/>
      <c r="E986" s="10"/>
      <c r="F986" s="10"/>
      <c r="G986" s="47">
        <v>1</v>
      </c>
      <c r="H986" s="72"/>
      <c r="I986" s="10"/>
      <c r="J986" s="46">
        <f t="shared" si="31"/>
        <v>1</v>
      </c>
      <c r="K986" s="46">
        <f>IFERROR(INDEX(TarrifTable,MATCH(Elements!E986,Constants!$V$4:$V$7,0),MATCH(Elements!F986,Constants!$W$3:$AA$3,0)),0)</f>
        <v>0</v>
      </c>
      <c r="L986" s="69">
        <f t="shared" si="32"/>
        <v>0</v>
      </c>
    </row>
    <row r="987" spans="2:12" x14ac:dyDescent="0.85">
      <c r="B987" s="48">
        <v>980</v>
      </c>
      <c r="C987" s="277"/>
      <c r="D987" s="284"/>
      <c r="E987" s="44"/>
      <c r="F987" s="44"/>
      <c r="G987" s="49">
        <v>1</v>
      </c>
      <c r="H987" s="73"/>
      <c r="I987" s="44"/>
      <c r="J987" s="48">
        <f t="shared" si="31"/>
        <v>1</v>
      </c>
      <c r="K987" s="48">
        <f>IFERROR(INDEX(TarrifTable,MATCH(Elements!E987,Constants!$V$4:$V$7,0),MATCH(Elements!F987,Constants!$W$3:$AA$3,0)),0)</f>
        <v>0</v>
      </c>
      <c r="L987" s="68">
        <f t="shared" si="32"/>
        <v>0</v>
      </c>
    </row>
    <row r="988" spans="2:12" x14ac:dyDescent="0.85">
      <c r="B988" s="46">
        <v>981</v>
      </c>
      <c r="C988" s="276"/>
      <c r="D988" s="283"/>
      <c r="E988" s="10"/>
      <c r="F988" s="10"/>
      <c r="G988" s="47">
        <v>1</v>
      </c>
      <c r="H988" s="72"/>
      <c r="I988" s="10"/>
      <c r="J988" s="46">
        <f t="shared" si="31"/>
        <v>1</v>
      </c>
      <c r="K988" s="46">
        <f>IFERROR(INDEX(TarrifTable,MATCH(Elements!E988,Constants!$V$4:$V$7,0),MATCH(Elements!F988,Constants!$W$3:$AA$3,0)),0)</f>
        <v>0</v>
      </c>
      <c r="L988" s="69">
        <f t="shared" si="32"/>
        <v>0</v>
      </c>
    </row>
    <row r="989" spans="2:12" x14ac:dyDescent="0.85">
      <c r="B989" s="48">
        <v>982</v>
      </c>
      <c r="C989" s="277"/>
      <c r="D989" s="284"/>
      <c r="E989" s="44"/>
      <c r="F989" s="44"/>
      <c r="G989" s="49">
        <v>1</v>
      </c>
      <c r="H989" s="73"/>
      <c r="I989" s="44"/>
      <c r="J989" s="48">
        <f t="shared" si="31"/>
        <v>1</v>
      </c>
      <c r="K989" s="48">
        <f>IFERROR(INDEX(TarrifTable,MATCH(Elements!E989,Constants!$V$4:$V$7,0),MATCH(Elements!F989,Constants!$W$3:$AA$3,0)),0)</f>
        <v>0</v>
      </c>
      <c r="L989" s="68">
        <f t="shared" si="32"/>
        <v>0</v>
      </c>
    </row>
    <row r="990" spans="2:12" x14ac:dyDescent="0.85">
      <c r="B990" s="46">
        <v>983</v>
      </c>
      <c r="C990" s="276"/>
      <c r="D990" s="283"/>
      <c r="E990" s="10"/>
      <c r="F990" s="10"/>
      <c r="G990" s="47">
        <v>1</v>
      </c>
      <c r="H990" s="72"/>
      <c r="I990" s="10"/>
      <c r="J990" s="46">
        <f t="shared" si="31"/>
        <v>1</v>
      </c>
      <c r="K990" s="46">
        <f>IFERROR(INDEX(TarrifTable,MATCH(Elements!E990,Constants!$V$4:$V$7,0),MATCH(Elements!F990,Constants!$W$3:$AA$3,0)),0)</f>
        <v>0</v>
      </c>
      <c r="L990" s="69">
        <f t="shared" si="32"/>
        <v>0</v>
      </c>
    </row>
    <row r="991" spans="2:12" x14ac:dyDescent="0.85">
      <c r="B991" s="48">
        <v>984</v>
      </c>
      <c r="C991" s="277"/>
      <c r="D991" s="284"/>
      <c r="E991" s="44"/>
      <c r="F991" s="44"/>
      <c r="G991" s="49">
        <v>1</v>
      </c>
      <c r="H991" s="73"/>
      <c r="I991" s="44"/>
      <c r="J991" s="48">
        <f t="shared" si="31"/>
        <v>1</v>
      </c>
      <c r="K991" s="48">
        <f>IFERROR(INDEX(TarrifTable,MATCH(Elements!E991,Constants!$V$4:$V$7,0),MATCH(Elements!F991,Constants!$W$3:$AA$3,0)),0)</f>
        <v>0</v>
      </c>
      <c r="L991" s="68">
        <f t="shared" si="32"/>
        <v>0</v>
      </c>
    </row>
    <row r="992" spans="2:12" x14ac:dyDescent="0.85">
      <c r="B992" s="46">
        <v>985</v>
      </c>
      <c r="C992" s="276"/>
      <c r="D992" s="283"/>
      <c r="E992" s="10"/>
      <c r="F992" s="10"/>
      <c r="G992" s="47">
        <v>1</v>
      </c>
      <c r="H992" s="72"/>
      <c r="I992" s="10"/>
      <c r="J992" s="46">
        <f t="shared" si="31"/>
        <v>1</v>
      </c>
      <c r="K992" s="46">
        <f>IFERROR(INDEX(TarrifTable,MATCH(Elements!E992,Constants!$V$4:$V$7,0),MATCH(Elements!F992,Constants!$W$3:$AA$3,0)),0)</f>
        <v>0</v>
      </c>
      <c r="L992" s="69">
        <f t="shared" si="32"/>
        <v>0</v>
      </c>
    </row>
    <row r="993" spans="2:12" x14ac:dyDescent="0.85">
      <c r="B993" s="48">
        <v>986</v>
      </c>
      <c r="C993" s="277"/>
      <c r="D993" s="284"/>
      <c r="E993" s="44"/>
      <c r="F993" s="44"/>
      <c r="G993" s="49">
        <v>1</v>
      </c>
      <c r="H993" s="73"/>
      <c r="I993" s="44"/>
      <c r="J993" s="48">
        <f t="shared" si="31"/>
        <v>1</v>
      </c>
      <c r="K993" s="48">
        <f>IFERROR(INDEX(TarrifTable,MATCH(Elements!E993,Constants!$V$4:$V$7,0),MATCH(Elements!F993,Constants!$W$3:$AA$3,0)),0)</f>
        <v>0</v>
      </c>
      <c r="L993" s="68">
        <f t="shared" si="32"/>
        <v>0</v>
      </c>
    </row>
    <row r="994" spans="2:12" x14ac:dyDescent="0.85">
      <c r="B994" s="46">
        <v>987</v>
      </c>
      <c r="C994" s="276"/>
      <c r="D994" s="283"/>
      <c r="E994" s="10"/>
      <c r="F994" s="10"/>
      <c r="G994" s="47">
        <v>1</v>
      </c>
      <c r="H994" s="72"/>
      <c r="I994" s="10"/>
      <c r="J994" s="46">
        <f t="shared" si="31"/>
        <v>1</v>
      </c>
      <c r="K994" s="46">
        <f>IFERROR(INDEX(TarrifTable,MATCH(Elements!E994,Constants!$V$4:$V$7,0),MATCH(Elements!F994,Constants!$W$3:$AA$3,0)),0)</f>
        <v>0</v>
      </c>
      <c r="L994" s="69">
        <f t="shared" si="32"/>
        <v>0</v>
      </c>
    </row>
    <row r="995" spans="2:12" x14ac:dyDescent="0.85">
      <c r="B995" s="48">
        <v>988</v>
      </c>
      <c r="C995" s="277"/>
      <c r="D995" s="284"/>
      <c r="E995" s="44"/>
      <c r="F995" s="44"/>
      <c r="G995" s="49">
        <v>1</v>
      </c>
      <c r="H995" s="73"/>
      <c r="I995" s="44"/>
      <c r="J995" s="48">
        <f t="shared" si="31"/>
        <v>1</v>
      </c>
      <c r="K995" s="48">
        <f>IFERROR(INDEX(TarrifTable,MATCH(Elements!E995,Constants!$V$4:$V$7,0),MATCH(Elements!F995,Constants!$W$3:$AA$3,0)),0)</f>
        <v>0</v>
      </c>
      <c r="L995" s="68">
        <f t="shared" si="32"/>
        <v>0</v>
      </c>
    </row>
    <row r="996" spans="2:12" x14ac:dyDescent="0.85">
      <c r="B996" s="46">
        <v>989</v>
      </c>
      <c r="C996" s="276"/>
      <c r="D996" s="283"/>
      <c r="E996" s="10"/>
      <c r="F996" s="10"/>
      <c r="G996" s="47">
        <v>1</v>
      </c>
      <c r="H996" s="72"/>
      <c r="I996" s="10"/>
      <c r="J996" s="46">
        <f t="shared" si="31"/>
        <v>1</v>
      </c>
      <c r="K996" s="46">
        <f>IFERROR(INDEX(TarrifTable,MATCH(Elements!E996,Constants!$V$4:$V$7,0),MATCH(Elements!F996,Constants!$W$3:$AA$3,0)),0)</f>
        <v>0</v>
      </c>
      <c r="L996" s="69">
        <f t="shared" si="32"/>
        <v>0</v>
      </c>
    </row>
    <row r="997" spans="2:12" x14ac:dyDescent="0.85">
      <c r="B997" s="48">
        <v>990</v>
      </c>
      <c r="C997" s="277"/>
      <c r="D997" s="284"/>
      <c r="E997" s="44"/>
      <c r="F997" s="44"/>
      <c r="G997" s="49">
        <v>1</v>
      </c>
      <c r="H997" s="73"/>
      <c r="I997" s="44"/>
      <c r="J997" s="48">
        <f t="shared" si="31"/>
        <v>1</v>
      </c>
      <c r="K997" s="48">
        <f>IFERROR(INDEX(TarrifTable,MATCH(Elements!E997,Constants!$V$4:$V$7,0),MATCH(Elements!F997,Constants!$W$3:$AA$3,0)),0)</f>
        <v>0</v>
      </c>
      <c r="L997" s="68">
        <f t="shared" si="32"/>
        <v>0</v>
      </c>
    </row>
    <row r="998" spans="2:12" x14ac:dyDescent="0.85">
      <c r="B998" s="46">
        <v>991</v>
      </c>
      <c r="C998" s="276"/>
      <c r="D998" s="283"/>
      <c r="E998" s="10"/>
      <c r="F998" s="10"/>
      <c r="G998" s="47">
        <v>1</v>
      </c>
      <c r="H998" s="72"/>
      <c r="I998" s="10"/>
      <c r="J998" s="46">
        <f t="shared" si="31"/>
        <v>1</v>
      </c>
      <c r="K998" s="46">
        <f>IFERROR(INDEX(TarrifTable,MATCH(Elements!E998,Constants!$V$4:$V$7,0),MATCH(Elements!F998,Constants!$W$3:$AA$3,0)),0)</f>
        <v>0</v>
      </c>
      <c r="L998" s="69">
        <f t="shared" si="32"/>
        <v>0</v>
      </c>
    </row>
    <row r="999" spans="2:12" x14ac:dyDescent="0.85">
      <c r="B999" s="48">
        <v>992</v>
      </c>
      <c r="C999" s="277"/>
      <c r="D999" s="284"/>
      <c r="E999" s="44"/>
      <c r="F999" s="44"/>
      <c r="G999" s="49">
        <v>1</v>
      </c>
      <c r="H999" s="73"/>
      <c r="I999" s="44"/>
      <c r="J999" s="48">
        <f t="shared" si="31"/>
        <v>1</v>
      </c>
      <c r="K999" s="48">
        <f>IFERROR(INDEX(TarrifTable,MATCH(Elements!E999,Constants!$V$4:$V$7,0),MATCH(Elements!F999,Constants!$W$3:$AA$3,0)),0)</f>
        <v>0</v>
      </c>
      <c r="L999" s="68">
        <f t="shared" si="32"/>
        <v>0</v>
      </c>
    </row>
    <row r="1000" spans="2:12" x14ac:dyDescent="0.85">
      <c r="B1000" s="46">
        <v>993</v>
      </c>
      <c r="C1000" s="276"/>
      <c r="D1000" s="283"/>
      <c r="E1000" s="10"/>
      <c r="F1000" s="10"/>
      <c r="G1000" s="47">
        <v>1</v>
      </c>
      <c r="H1000" s="72"/>
      <c r="I1000" s="10"/>
      <c r="J1000" s="46">
        <f t="shared" si="31"/>
        <v>1</v>
      </c>
      <c r="K1000" s="46">
        <f>IFERROR(INDEX(TarrifTable,MATCH(Elements!E1000,Constants!$V$4:$V$7,0),MATCH(Elements!F1000,Constants!$W$3:$AA$3,0)),0)</f>
        <v>0</v>
      </c>
      <c r="L1000" s="69">
        <f t="shared" si="32"/>
        <v>0</v>
      </c>
    </row>
    <row r="1001" spans="2:12" x14ac:dyDescent="0.85">
      <c r="B1001" s="48">
        <v>994</v>
      </c>
      <c r="C1001" s="277"/>
      <c r="D1001" s="284"/>
      <c r="E1001" s="44"/>
      <c r="F1001" s="44"/>
      <c r="G1001" s="49">
        <v>1</v>
      </c>
      <c r="H1001" s="73"/>
      <c r="I1001" s="44"/>
      <c r="J1001" s="48">
        <f t="shared" si="31"/>
        <v>1</v>
      </c>
      <c r="K1001" s="48">
        <f>IFERROR(INDEX(TarrifTable,MATCH(Elements!E1001,Constants!$V$4:$V$7,0),MATCH(Elements!F1001,Constants!$W$3:$AA$3,0)),0)</f>
        <v>0</v>
      </c>
      <c r="L1001" s="68">
        <f t="shared" si="32"/>
        <v>0</v>
      </c>
    </row>
    <row r="1002" spans="2:12" x14ac:dyDescent="0.85">
      <c r="B1002" s="46">
        <v>995</v>
      </c>
      <c r="C1002" s="276"/>
      <c r="D1002" s="283"/>
      <c r="E1002" s="10"/>
      <c r="F1002" s="10"/>
      <c r="G1002" s="47">
        <v>1</v>
      </c>
      <c r="H1002" s="72"/>
      <c r="I1002" s="10"/>
      <c r="J1002" s="46">
        <f t="shared" si="31"/>
        <v>1</v>
      </c>
      <c r="K1002" s="46">
        <f>IFERROR(INDEX(TarrifTable,MATCH(Elements!E1002,Constants!$V$4:$V$7,0),MATCH(Elements!F1002,Constants!$W$3:$AA$3,0)),0)</f>
        <v>0</v>
      </c>
      <c r="L1002" s="69">
        <f t="shared" si="32"/>
        <v>0</v>
      </c>
    </row>
    <row r="1003" spans="2:12" x14ac:dyDescent="0.85">
      <c r="B1003" s="48">
        <v>996</v>
      </c>
      <c r="C1003" s="277"/>
      <c r="D1003" s="284"/>
      <c r="E1003" s="44"/>
      <c r="F1003" s="44"/>
      <c r="G1003" s="49">
        <v>1</v>
      </c>
      <c r="H1003" s="73"/>
      <c r="I1003" s="44"/>
      <c r="J1003" s="48">
        <f t="shared" si="31"/>
        <v>1</v>
      </c>
      <c r="K1003" s="48">
        <f>IFERROR(INDEX(TarrifTable,MATCH(Elements!E1003,Constants!$V$4:$V$7,0),MATCH(Elements!F1003,Constants!$W$3:$AA$3,0)),0)</f>
        <v>0</v>
      </c>
      <c r="L1003" s="68">
        <f t="shared" si="32"/>
        <v>0</v>
      </c>
    </row>
    <row r="1004" spans="2:12" x14ac:dyDescent="0.85">
      <c r="B1004" s="46">
        <v>997</v>
      </c>
      <c r="C1004" s="276"/>
      <c r="D1004" s="283"/>
      <c r="E1004" s="10"/>
      <c r="F1004" s="10"/>
      <c r="G1004" s="47">
        <v>1</v>
      </c>
      <c r="H1004" s="72"/>
      <c r="I1004" s="10"/>
      <c r="J1004" s="46">
        <f t="shared" si="31"/>
        <v>1</v>
      </c>
      <c r="K1004" s="46">
        <f>IFERROR(INDEX(TarrifTable,MATCH(Elements!E1004,Constants!$V$4:$V$7,0),MATCH(Elements!F1004,Constants!$W$3:$AA$3,0)),0)</f>
        <v>0</v>
      </c>
      <c r="L1004" s="69">
        <f t="shared" si="32"/>
        <v>0</v>
      </c>
    </row>
    <row r="1005" spans="2:12" x14ac:dyDescent="0.85">
      <c r="B1005" s="48">
        <v>998</v>
      </c>
      <c r="C1005" s="277"/>
      <c r="D1005" s="284"/>
      <c r="E1005" s="44"/>
      <c r="F1005" s="44"/>
      <c r="G1005" s="49">
        <v>1</v>
      </c>
      <c r="H1005" s="73"/>
      <c r="I1005" s="44"/>
      <c r="J1005" s="48">
        <f t="shared" si="31"/>
        <v>1</v>
      </c>
      <c r="K1005" s="48">
        <f>IFERROR(INDEX(TarrifTable,MATCH(Elements!E1005,Constants!$V$4:$V$7,0),MATCH(Elements!F1005,Constants!$W$3:$AA$3,0)),0)</f>
        <v>0</v>
      </c>
      <c r="L1005" s="68">
        <f t="shared" si="32"/>
        <v>0</v>
      </c>
    </row>
    <row r="1006" spans="2:12" x14ac:dyDescent="0.85">
      <c r="B1006" s="46">
        <v>999</v>
      </c>
      <c r="C1006" s="276"/>
      <c r="D1006" s="283"/>
      <c r="E1006" s="10"/>
      <c r="F1006" s="10"/>
      <c r="G1006" s="47">
        <v>1</v>
      </c>
      <c r="H1006" s="72"/>
      <c r="I1006" s="10"/>
      <c r="J1006" s="46">
        <f t="shared" si="31"/>
        <v>1</v>
      </c>
      <c r="K1006" s="46">
        <f>IFERROR(INDEX(TarrifTable,MATCH(Elements!E1006,Constants!$V$4:$V$7,0),MATCH(Elements!F1006,Constants!$W$3:$AA$3,0)),0)</f>
        <v>0</v>
      </c>
      <c r="L1006" s="69">
        <f t="shared" si="32"/>
        <v>0</v>
      </c>
    </row>
    <row r="1007" spans="2:12" x14ac:dyDescent="0.85">
      <c r="B1007" s="48">
        <v>1000</v>
      </c>
      <c r="C1007" s="277"/>
      <c r="D1007" s="284"/>
      <c r="E1007" s="44"/>
      <c r="F1007" s="44"/>
      <c r="G1007" s="49">
        <v>1</v>
      </c>
      <c r="H1007" s="73"/>
      <c r="I1007" s="44"/>
      <c r="J1007" s="48">
        <f t="shared" si="31"/>
        <v>1</v>
      </c>
      <c r="K1007" s="48">
        <f>IFERROR(INDEX(TarrifTable,MATCH(Elements!E1007,Constants!$V$4:$V$7,0),MATCH(Elements!F1007,Constants!$W$3:$AA$3,0)),0)</f>
        <v>0</v>
      </c>
      <c r="L1007" s="68">
        <f t="shared" si="32"/>
        <v>0</v>
      </c>
    </row>
    <row r="1008" spans="2:12" x14ac:dyDescent="0.85">
      <c r="B1008" s="46">
        <v>1001</v>
      </c>
      <c r="C1008" s="276"/>
      <c r="D1008" s="283"/>
      <c r="E1008" s="10"/>
      <c r="F1008" s="10"/>
      <c r="G1008" s="47">
        <v>1</v>
      </c>
      <c r="H1008" s="72"/>
      <c r="I1008" s="10"/>
      <c r="J1008" s="46">
        <f t="shared" si="31"/>
        <v>1</v>
      </c>
      <c r="K1008" s="46">
        <f>IFERROR(INDEX(TarrifTable,MATCH(Elements!E1008,Constants!$V$4:$V$7,0),MATCH(Elements!F1008,Constants!$W$3:$AA$3,0)),0)</f>
        <v>0</v>
      </c>
      <c r="L1008" s="69">
        <f t="shared" si="32"/>
        <v>0</v>
      </c>
    </row>
    <row r="1009" spans="2:12" x14ac:dyDescent="0.85">
      <c r="B1009" s="48">
        <v>1002</v>
      </c>
      <c r="C1009" s="277"/>
      <c r="D1009" s="284"/>
      <c r="E1009" s="44"/>
      <c r="F1009" s="44"/>
      <c r="G1009" s="49">
        <v>1</v>
      </c>
      <c r="H1009" s="73"/>
      <c r="I1009" s="44"/>
      <c r="J1009" s="48">
        <f t="shared" si="31"/>
        <v>1</v>
      </c>
      <c r="K1009" s="48">
        <f>IFERROR(INDEX(TarrifTable,MATCH(Elements!E1009,Constants!$V$4:$V$7,0),MATCH(Elements!F1009,Constants!$W$3:$AA$3,0)),0)</f>
        <v>0</v>
      </c>
      <c r="L1009" s="68">
        <f t="shared" si="32"/>
        <v>0</v>
      </c>
    </row>
    <row r="1010" spans="2:12" x14ac:dyDescent="0.85">
      <c r="B1010" s="46">
        <v>1003</v>
      </c>
      <c r="C1010" s="276"/>
      <c r="D1010" s="283"/>
      <c r="E1010" s="10"/>
      <c r="F1010" s="10"/>
      <c r="G1010" s="47">
        <v>1</v>
      </c>
      <c r="H1010" s="72"/>
      <c r="I1010" s="10"/>
      <c r="J1010" s="46">
        <f t="shared" si="31"/>
        <v>1</v>
      </c>
      <c r="K1010" s="46">
        <f>IFERROR(INDEX(TarrifTable,MATCH(Elements!E1010,Constants!$V$4:$V$7,0),MATCH(Elements!F1010,Constants!$W$3:$AA$3,0)),0)</f>
        <v>0</v>
      </c>
      <c r="L1010" s="69">
        <f t="shared" si="32"/>
        <v>0</v>
      </c>
    </row>
    <row r="1011" spans="2:12" x14ac:dyDescent="0.85">
      <c r="B1011" s="48">
        <v>1004</v>
      </c>
      <c r="C1011" s="277"/>
      <c r="D1011" s="284"/>
      <c r="E1011" s="44"/>
      <c r="F1011" s="44"/>
      <c r="G1011" s="49">
        <v>1</v>
      </c>
      <c r="H1011" s="73"/>
      <c r="I1011" s="44"/>
      <c r="J1011" s="48">
        <f t="shared" si="31"/>
        <v>1</v>
      </c>
      <c r="K1011" s="48">
        <f>IFERROR(INDEX(TarrifTable,MATCH(Elements!E1011,Constants!$V$4:$V$7,0),MATCH(Elements!F1011,Constants!$W$3:$AA$3,0)),0)</f>
        <v>0</v>
      </c>
      <c r="L1011" s="68">
        <f t="shared" si="32"/>
        <v>0</v>
      </c>
    </row>
    <row r="1012" spans="2:12" x14ac:dyDescent="0.85">
      <c r="B1012" s="46">
        <v>1005</v>
      </c>
      <c r="C1012" s="276"/>
      <c r="D1012" s="283"/>
      <c r="E1012" s="10"/>
      <c r="F1012" s="10"/>
      <c r="G1012" s="47">
        <v>1</v>
      </c>
      <c r="H1012" s="72"/>
      <c r="I1012" s="10"/>
      <c r="J1012" s="46">
        <f t="shared" si="31"/>
        <v>1</v>
      </c>
      <c r="K1012" s="46">
        <f>IFERROR(INDEX(TarrifTable,MATCH(Elements!E1012,Constants!$V$4:$V$7,0),MATCH(Elements!F1012,Constants!$W$3:$AA$3,0)),0)</f>
        <v>0</v>
      </c>
      <c r="L1012" s="69">
        <f t="shared" si="32"/>
        <v>0</v>
      </c>
    </row>
    <row r="1013" spans="2:12" x14ac:dyDescent="0.85">
      <c r="B1013" s="48">
        <v>1006</v>
      </c>
      <c r="C1013" s="277"/>
      <c r="D1013" s="284"/>
      <c r="E1013" s="44"/>
      <c r="F1013" s="44"/>
      <c r="G1013" s="49">
        <v>1</v>
      </c>
      <c r="H1013" s="73"/>
      <c r="I1013" s="44"/>
      <c r="J1013" s="48">
        <f t="shared" si="31"/>
        <v>1</v>
      </c>
      <c r="K1013" s="48">
        <f>IFERROR(INDEX(TarrifTable,MATCH(Elements!E1013,Constants!$V$4:$V$7,0),MATCH(Elements!F1013,Constants!$W$3:$AA$3,0)),0)</f>
        <v>0</v>
      </c>
      <c r="L1013" s="68">
        <f t="shared" si="32"/>
        <v>0</v>
      </c>
    </row>
    <row r="1014" spans="2:12" x14ac:dyDescent="0.85">
      <c r="B1014" s="46">
        <v>1007</v>
      </c>
      <c r="C1014" s="276"/>
      <c r="D1014" s="283"/>
      <c r="E1014" s="10"/>
      <c r="F1014" s="10"/>
      <c r="G1014" s="47">
        <v>1</v>
      </c>
      <c r="H1014" s="72"/>
      <c r="I1014" s="10"/>
      <c r="J1014" s="46">
        <f t="shared" si="31"/>
        <v>1</v>
      </c>
      <c r="K1014" s="46">
        <f>IFERROR(INDEX(TarrifTable,MATCH(Elements!E1014,Constants!$V$4:$V$7,0),MATCH(Elements!F1014,Constants!$W$3:$AA$3,0)),0)</f>
        <v>0</v>
      </c>
      <c r="L1014" s="69">
        <f t="shared" si="32"/>
        <v>0</v>
      </c>
    </row>
    <row r="1015" spans="2:12" x14ac:dyDescent="0.85">
      <c r="B1015" s="48">
        <v>1008</v>
      </c>
      <c r="C1015" s="277"/>
      <c r="D1015" s="284"/>
      <c r="E1015" s="44"/>
      <c r="F1015" s="44"/>
      <c r="G1015" s="49">
        <v>1</v>
      </c>
      <c r="H1015" s="73"/>
      <c r="I1015" s="44"/>
      <c r="J1015" s="48">
        <f t="shared" si="31"/>
        <v>1</v>
      </c>
      <c r="K1015" s="48">
        <f>IFERROR(INDEX(TarrifTable,MATCH(Elements!E1015,Constants!$V$4:$V$7,0),MATCH(Elements!F1015,Constants!$W$3:$AA$3,0)),0)</f>
        <v>0</v>
      </c>
      <c r="L1015" s="68">
        <f t="shared" si="32"/>
        <v>0</v>
      </c>
    </row>
    <row r="1016" spans="2:12" x14ac:dyDescent="0.85">
      <c r="B1016" s="46">
        <v>1009</v>
      </c>
      <c r="C1016" s="276"/>
      <c r="D1016" s="283"/>
      <c r="E1016" s="10"/>
      <c r="F1016" s="10"/>
      <c r="G1016" s="47">
        <v>1</v>
      </c>
      <c r="H1016" s="72"/>
      <c r="I1016" s="10"/>
      <c r="J1016" s="46">
        <f t="shared" si="31"/>
        <v>1</v>
      </c>
      <c r="K1016" s="46">
        <f>IFERROR(INDEX(TarrifTable,MATCH(Elements!E1016,Constants!$V$4:$V$7,0),MATCH(Elements!F1016,Constants!$W$3:$AA$3,0)),0)</f>
        <v>0</v>
      </c>
      <c r="L1016" s="69">
        <f t="shared" si="32"/>
        <v>0</v>
      </c>
    </row>
    <row r="1017" spans="2:12" x14ac:dyDescent="0.85">
      <c r="B1017" s="48">
        <v>1010</v>
      </c>
      <c r="C1017" s="277"/>
      <c r="D1017" s="284"/>
      <c r="E1017" s="44"/>
      <c r="F1017" s="44"/>
      <c r="G1017" s="49">
        <v>1</v>
      </c>
      <c r="H1017" s="73"/>
      <c r="I1017" s="44"/>
      <c r="J1017" s="48">
        <f t="shared" si="31"/>
        <v>1</v>
      </c>
      <c r="K1017" s="48">
        <f>IFERROR(INDEX(TarrifTable,MATCH(Elements!E1017,Constants!$V$4:$V$7,0),MATCH(Elements!F1017,Constants!$W$3:$AA$3,0)),0)</f>
        <v>0</v>
      </c>
      <c r="L1017" s="68">
        <f t="shared" si="32"/>
        <v>0</v>
      </c>
    </row>
    <row r="1018" spans="2:12" x14ac:dyDescent="0.85">
      <c r="B1018" s="46">
        <v>1011</v>
      </c>
      <c r="C1018" s="276"/>
      <c r="D1018" s="283"/>
      <c r="E1018" s="10"/>
      <c r="F1018" s="10"/>
      <c r="G1018" s="47">
        <v>1</v>
      </c>
      <c r="H1018" s="72"/>
      <c r="I1018" s="10"/>
      <c r="J1018" s="46">
        <f t="shared" si="31"/>
        <v>1</v>
      </c>
      <c r="K1018" s="46">
        <f>IFERROR(INDEX(TarrifTable,MATCH(Elements!E1018,Constants!$V$4:$V$7,0),MATCH(Elements!F1018,Constants!$W$3:$AA$3,0)),0)</f>
        <v>0</v>
      </c>
      <c r="L1018" s="69">
        <f t="shared" si="32"/>
        <v>0</v>
      </c>
    </row>
    <row r="1019" spans="2:12" x14ac:dyDescent="0.85">
      <c r="B1019" s="48">
        <v>1012</v>
      </c>
      <c r="C1019" s="277"/>
      <c r="D1019" s="284"/>
      <c r="E1019" s="44"/>
      <c r="F1019" s="44"/>
      <c r="G1019" s="49">
        <v>1</v>
      </c>
      <c r="H1019" s="73"/>
      <c r="I1019" s="44"/>
      <c r="J1019" s="48">
        <f t="shared" si="31"/>
        <v>1</v>
      </c>
      <c r="K1019" s="48">
        <f>IFERROR(INDEX(TarrifTable,MATCH(Elements!E1019,Constants!$V$4:$V$7,0),MATCH(Elements!F1019,Constants!$W$3:$AA$3,0)),0)</f>
        <v>0</v>
      </c>
      <c r="L1019" s="68">
        <f t="shared" si="32"/>
        <v>0</v>
      </c>
    </row>
    <row r="1020" spans="2:12" x14ac:dyDescent="0.85">
      <c r="B1020" s="46">
        <v>1013</v>
      </c>
      <c r="C1020" s="276"/>
      <c r="D1020" s="283"/>
      <c r="E1020" s="10"/>
      <c r="F1020" s="10"/>
      <c r="G1020" s="47">
        <v>1</v>
      </c>
      <c r="H1020" s="72"/>
      <c r="I1020" s="10"/>
      <c r="J1020" s="46">
        <f t="shared" si="31"/>
        <v>1</v>
      </c>
      <c r="K1020" s="46">
        <f>IFERROR(INDEX(TarrifTable,MATCH(Elements!E1020,Constants!$V$4:$V$7,0),MATCH(Elements!F1020,Constants!$W$3:$AA$3,0)),0)</f>
        <v>0</v>
      </c>
      <c r="L1020" s="69">
        <f t="shared" si="32"/>
        <v>0</v>
      </c>
    </row>
    <row r="1021" spans="2:12" x14ac:dyDescent="0.85">
      <c r="B1021" s="48">
        <v>1014</v>
      </c>
      <c r="C1021" s="277"/>
      <c r="D1021" s="284"/>
      <c r="E1021" s="44"/>
      <c r="F1021" s="44"/>
      <c r="G1021" s="49">
        <v>1</v>
      </c>
      <c r="H1021" s="73"/>
      <c r="I1021" s="44"/>
      <c r="J1021" s="48">
        <f t="shared" si="31"/>
        <v>1</v>
      </c>
      <c r="K1021" s="48">
        <f>IFERROR(INDEX(TarrifTable,MATCH(Elements!E1021,Constants!$V$4:$V$7,0),MATCH(Elements!F1021,Constants!$W$3:$AA$3,0)),0)</f>
        <v>0</v>
      </c>
      <c r="L1021" s="68">
        <f t="shared" si="32"/>
        <v>0</v>
      </c>
    </row>
    <row r="1022" spans="2:12" x14ac:dyDescent="0.85">
      <c r="B1022" s="46">
        <v>1015</v>
      </c>
      <c r="C1022" s="276"/>
      <c r="D1022" s="283"/>
      <c r="E1022" s="10"/>
      <c r="F1022" s="10"/>
      <c r="G1022" s="47">
        <v>1</v>
      </c>
      <c r="H1022" s="72"/>
      <c r="I1022" s="10"/>
      <c r="J1022" s="46">
        <f t="shared" si="31"/>
        <v>1</v>
      </c>
      <c r="K1022" s="46">
        <f>IFERROR(INDEX(TarrifTable,MATCH(Elements!E1022,Constants!$V$4:$V$7,0),MATCH(Elements!F1022,Constants!$W$3:$AA$3,0)),0)</f>
        <v>0</v>
      </c>
      <c r="L1022" s="69">
        <f t="shared" si="32"/>
        <v>0</v>
      </c>
    </row>
    <row r="1023" spans="2:12" x14ac:dyDescent="0.85">
      <c r="B1023" s="48">
        <v>1016</v>
      </c>
      <c r="C1023" s="277"/>
      <c r="D1023" s="284"/>
      <c r="E1023" s="44"/>
      <c r="F1023" s="44"/>
      <c r="G1023" s="49">
        <v>1</v>
      </c>
      <c r="H1023" s="73"/>
      <c r="I1023" s="44"/>
      <c r="J1023" s="48">
        <f t="shared" si="31"/>
        <v>1</v>
      </c>
      <c r="K1023" s="48">
        <f>IFERROR(INDEX(TarrifTable,MATCH(Elements!E1023,Constants!$V$4:$V$7,0),MATCH(Elements!F1023,Constants!$W$3:$AA$3,0)),0)</f>
        <v>0</v>
      </c>
      <c r="L1023" s="68">
        <f t="shared" si="32"/>
        <v>0</v>
      </c>
    </row>
    <row r="1024" spans="2:12" x14ac:dyDescent="0.85">
      <c r="B1024" s="46">
        <v>1017</v>
      </c>
      <c r="C1024" s="276"/>
      <c r="D1024" s="283"/>
      <c r="E1024" s="10"/>
      <c r="F1024" s="10"/>
      <c r="G1024" s="47">
        <v>1</v>
      </c>
      <c r="H1024" s="72"/>
      <c r="I1024" s="10"/>
      <c r="J1024" s="46">
        <f t="shared" si="31"/>
        <v>1</v>
      </c>
      <c r="K1024" s="46">
        <f>IFERROR(INDEX(TarrifTable,MATCH(Elements!E1024,Constants!$V$4:$V$7,0),MATCH(Elements!F1024,Constants!$W$3:$AA$3,0)),0)</f>
        <v>0</v>
      </c>
      <c r="L1024" s="69">
        <f t="shared" si="32"/>
        <v>0</v>
      </c>
    </row>
    <row r="1025" spans="2:12" x14ac:dyDescent="0.85">
      <c r="B1025" s="48">
        <v>1018</v>
      </c>
      <c r="C1025" s="277"/>
      <c r="D1025" s="284"/>
      <c r="E1025" s="44"/>
      <c r="F1025" s="44"/>
      <c r="G1025" s="49">
        <v>1</v>
      </c>
      <c r="H1025" s="73"/>
      <c r="I1025" s="44"/>
      <c r="J1025" s="48">
        <f t="shared" si="31"/>
        <v>1</v>
      </c>
      <c r="K1025" s="48">
        <f>IFERROR(INDEX(TarrifTable,MATCH(Elements!E1025,Constants!$V$4:$V$7,0),MATCH(Elements!F1025,Constants!$W$3:$AA$3,0)),0)</f>
        <v>0</v>
      </c>
      <c r="L1025" s="68">
        <f t="shared" si="32"/>
        <v>0</v>
      </c>
    </row>
    <row r="1026" spans="2:12" x14ac:dyDescent="0.85">
      <c r="B1026" s="46">
        <v>1019</v>
      </c>
      <c r="C1026" s="276"/>
      <c r="D1026" s="283"/>
      <c r="E1026" s="10"/>
      <c r="F1026" s="10"/>
      <c r="G1026" s="47">
        <v>1</v>
      </c>
      <c r="H1026" s="72"/>
      <c r="I1026" s="10"/>
      <c r="J1026" s="46">
        <f t="shared" si="31"/>
        <v>1</v>
      </c>
      <c r="K1026" s="46">
        <f>IFERROR(INDEX(TarrifTable,MATCH(Elements!E1026,Constants!$V$4:$V$7,0),MATCH(Elements!F1026,Constants!$W$3:$AA$3,0)),0)</f>
        <v>0</v>
      </c>
      <c r="L1026" s="69">
        <f t="shared" si="32"/>
        <v>0</v>
      </c>
    </row>
    <row r="1027" spans="2:12" x14ac:dyDescent="0.85">
      <c r="B1027" s="48">
        <v>1020</v>
      </c>
      <c r="C1027" s="277"/>
      <c r="D1027" s="284"/>
      <c r="E1027" s="44"/>
      <c r="F1027" s="44"/>
      <c r="G1027" s="49">
        <v>1</v>
      </c>
      <c r="H1027" s="73"/>
      <c r="I1027" s="44"/>
      <c r="J1027" s="48">
        <f t="shared" si="31"/>
        <v>1</v>
      </c>
      <c r="K1027" s="48">
        <f>IFERROR(INDEX(TarrifTable,MATCH(Elements!E1027,Constants!$V$4:$V$7,0),MATCH(Elements!F1027,Constants!$W$3:$AA$3,0)),0)</f>
        <v>0</v>
      </c>
      <c r="L1027" s="68">
        <f t="shared" si="32"/>
        <v>0</v>
      </c>
    </row>
    <row r="1028" spans="2:12" x14ac:dyDescent="0.85">
      <c r="B1028" s="46">
        <v>1021</v>
      </c>
      <c r="C1028" s="276"/>
      <c r="D1028" s="283"/>
      <c r="E1028" s="10"/>
      <c r="F1028" s="10"/>
      <c r="G1028" s="47">
        <v>1</v>
      </c>
      <c r="H1028" s="72"/>
      <c r="I1028" s="10"/>
      <c r="J1028" s="46">
        <f t="shared" si="31"/>
        <v>1</v>
      </c>
      <c r="K1028" s="46">
        <f>IFERROR(INDEX(TarrifTable,MATCH(Elements!E1028,Constants!$V$4:$V$7,0),MATCH(Elements!F1028,Constants!$W$3:$AA$3,0)),0)</f>
        <v>0</v>
      </c>
      <c r="L1028" s="69">
        <f t="shared" si="32"/>
        <v>0</v>
      </c>
    </row>
    <row r="1029" spans="2:12" x14ac:dyDescent="0.85">
      <c r="B1029" s="48">
        <v>1022</v>
      </c>
      <c r="C1029" s="277"/>
      <c r="D1029" s="284"/>
      <c r="E1029" s="44"/>
      <c r="F1029" s="44"/>
      <c r="G1029" s="49">
        <v>1</v>
      </c>
      <c r="H1029" s="73"/>
      <c r="I1029" s="44"/>
      <c r="J1029" s="48">
        <f t="shared" si="31"/>
        <v>1</v>
      </c>
      <c r="K1029" s="48">
        <f>IFERROR(INDEX(TarrifTable,MATCH(Elements!E1029,Constants!$V$4:$V$7,0),MATCH(Elements!F1029,Constants!$W$3:$AA$3,0)),0)</f>
        <v>0</v>
      </c>
      <c r="L1029" s="68">
        <f t="shared" si="32"/>
        <v>0</v>
      </c>
    </row>
    <row r="1030" spans="2:12" x14ac:dyDescent="0.85">
      <c r="B1030" s="46">
        <v>1023</v>
      </c>
      <c r="C1030" s="276"/>
      <c r="D1030" s="283"/>
      <c r="E1030" s="10"/>
      <c r="F1030" s="10"/>
      <c r="G1030" s="47">
        <v>1</v>
      </c>
      <c r="H1030" s="72"/>
      <c r="I1030" s="10"/>
      <c r="J1030" s="46">
        <f t="shared" si="31"/>
        <v>1</v>
      </c>
      <c r="K1030" s="46">
        <f>IFERROR(INDEX(TarrifTable,MATCH(Elements!E1030,Constants!$V$4:$V$7,0),MATCH(Elements!F1030,Constants!$W$3:$AA$3,0)),0)</f>
        <v>0</v>
      </c>
      <c r="L1030" s="69">
        <f t="shared" si="32"/>
        <v>0</v>
      </c>
    </row>
    <row r="1031" spans="2:12" x14ac:dyDescent="0.85">
      <c r="B1031" s="48">
        <v>1024</v>
      </c>
      <c r="C1031" s="277"/>
      <c r="D1031" s="284"/>
      <c r="E1031" s="44"/>
      <c r="F1031" s="44"/>
      <c r="G1031" s="49">
        <v>1</v>
      </c>
      <c r="H1031" s="73"/>
      <c r="I1031" s="44"/>
      <c r="J1031" s="48">
        <f t="shared" si="31"/>
        <v>1</v>
      </c>
      <c r="K1031" s="48">
        <f>IFERROR(INDEX(TarrifTable,MATCH(Elements!E1031,Constants!$V$4:$V$7,0),MATCH(Elements!F1031,Constants!$W$3:$AA$3,0)),0)</f>
        <v>0</v>
      </c>
      <c r="L1031" s="68">
        <f t="shared" si="32"/>
        <v>0</v>
      </c>
    </row>
    <row r="1032" spans="2:12" x14ac:dyDescent="0.85">
      <c r="B1032" s="46">
        <v>1025</v>
      </c>
      <c r="C1032" s="276"/>
      <c r="D1032" s="283"/>
      <c r="E1032" s="10"/>
      <c r="F1032" s="10"/>
      <c r="G1032" s="47">
        <v>1</v>
      </c>
      <c r="H1032" s="72"/>
      <c r="I1032" s="10"/>
      <c r="J1032" s="46">
        <f t="shared" ref="J1032:J1095" si="33">IF(ISBLANK(H1032),1,H1032)</f>
        <v>1</v>
      </c>
      <c r="K1032" s="46">
        <f>IFERROR(INDEX(TarrifTable,MATCH(Elements!E1032,Constants!$V$4:$V$7,0),MATCH(Elements!F1032,Constants!$W$3:$AA$3,0)),0)</f>
        <v>0</v>
      </c>
      <c r="L1032" s="69">
        <f t="shared" ref="L1032:L1095" si="34">J1032*G1032*K1032</f>
        <v>0</v>
      </c>
    </row>
    <row r="1033" spans="2:12" x14ac:dyDescent="0.85">
      <c r="B1033" s="48">
        <v>1026</v>
      </c>
      <c r="C1033" s="277"/>
      <c r="D1033" s="284"/>
      <c r="E1033" s="44"/>
      <c r="F1033" s="44"/>
      <c r="G1033" s="49">
        <v>1</v>
      </c>
      <c r="H1033" s="73"/>
      <c r="I1033" s="44"/>
      <c r="J1033" s="48">
        <f t="shared" si="33"/>
        <v>1</v>
      </c>
      <c r="K1033" s="48">
        <f>IFERROR(INDEX(TarrifTable,MATCH(Elements!E1033,Constants!$V$4:$V$7,0),MATCH(Elements!F1033,Constants!$W$3:$AA$3,0)),0)</f>
        <v>0</v>
      </c>
      <c r="L1033" s="68">
        <f t="shared" si="34"/>
        <v>0</v>
      </c>
    </row>
    <row r="1034" spans="2:12" x14ac:dyDescent="0.85">
      <c r="B1034" s="46">
        <v>1027</v>
      </c>
      <c r="C1034" s="276"/>
      <c r="D1034" s="283"/>
      <c r="E1034" s="10"/>
      <c r="F1034" s="10"/>
      <c r="G1034" s="47">
        <v>1</v>
      </c>
      <c r="H1034" s="72"/>
      <c r="I1034" s="10"/>
      <c r="J1034" s="46">
        <f t="shared" si="33"/>
        <v>1</v>
      </c>
      <c r="K1034" s="46">
        <f>IFERROR(INDEX(TarrifTable,MATCH(Elements!E1034,Constants!$V$4:$V$7,0),MATCH(Elements!F1034,Constants!$W$3:$AA$3,0)),0)</f>
        <v>0</v>
      </c>
      <c r="L1034" s="69">
        <f t="shared" si="34"/>
        <v>0</v>
      </c>
    </row>
    <row r="1035" spans="2:12" x14ac:dyDescent="0.85">
      <c r="B1035" s="48">
        <v>1028</v>
      </c>
      <c r="C1035" s="277"/>
      <c r="D1035" s="284"/>
      <c r="E1035" s="44"/>
      <c r="F1035" s="44"/>
      <c r="G1035" s="49">
        <v>1</v>
      </c>
      <c r="H1035" s="73"/>
      <c r="I1035" s="44"/>
      <c r="J1035" s="48">
        <f t="shared" si="33"/>
        <v>1</v>
      </c>
      <c r="K1035" s="48">
        <f>IFERROR(INDEX(TarrifTable,MATCH(Elements!E1035,Constants!$V$4:$V$7,0),MATCH(Elements!F1035,Constants!$W$3:$AA$3,0)),0)</f>
        <v>0</v>
      </c>
      <c r="L1035" s="68">
        <f t="shared" si="34"/>
        <v>0</v>
      </c>
    </row>
    <row r="1036" spans="2:12" x14ac:dyDescent="0.85">
      <c r="B1036" s="46">
        <v>1029</v>
      </c>
      <c r="C1036" s="276"/>
      <c r="D1036" s="283"/>
      <c r="E1036" s="10"/>
      <c r="F1036" s="10"/>
      <c r="G1036" s="47">
        <v>1</v>
      </c>
      <c r="H1036" s="72"/>
      <c r="I1036" s="10"/>
      <c r="J1036" s="46">
        <f t="shared" si="33"/>
        <v>1</v>
      </c>
      <c r="K1036" s="46">
        <f>IFERROR(INDEX(TarrifTable,MATCH(Elements!E1036,Constants!$V$4:$V$7,0),MATCH(Elements!F1036,Constants!$W$3:$AA$3,0)),0)</f>
        <v>0</v>
      </c>
      <c r="L1036" s="69">
        <f t="shared" si="34"/>
        <v>0</v>
      </c>
    </row>
    <row r="1037" spans="2:12" x14ac:dyDescent="0.85">
      <c r="B1037" s="48">
        <v>1030</v>
      </c>
      <c r="C1037" s="277"/>
      <c r="D1037" s="284"/>
      <c r="E1037" s="44"/>
      <c r="F1037" s="44"/>
      <c r="G1037" s="49">
        <v>1</v>
      </c>
      <c r="H1037" s="73"/>
      <c r="I1037" s="44"/>
      <c r="J1037" s="48">
        <f t="shared" si="33"/>
        <v>1</v>
      </c>
      <c r="K1037" s="48">
        <f>IFERROR(INDEX(TarrifTable,MATCH(Elements!E1037,Constants!$V$4:$V$7,0),MATCH(Elements!F1037,Constants!$W$3:$AA$3,0)),0)</f>
        <v>0</v>
      </c>
      <c r="L1037" s="68">
        <f t="shared" si="34"/>
        <v>0</v>
      </c>
    </row>
    <row r="1038" spans="2:12" x14ac:dyDescent="0.85">
      <c r="B1038" s="46">
        <v>1031</v>
      </c>
      <c r="C1038" s="276"/>
      <c r="D1038" s="283"/>
      <c r="E1038" s="10"/>
      <c r="F1038" s="10"/>
      <c r="G1038" s="47">
        <v>1</v>
      </c>
      <c r="H1038" s="72"/>
      <c r="I1038" s="10"/>
      <c r="J1038" s="46">
        <f t="shared" si="33"/>
        <v>1</v>
      </c>
      <c r="K1038" s="46">
        <f>IFERROR(INDEX(TarrifTable,MATCH(Elements!E1038,Constants!$V$4:$V$7,0),MATCH(Elements!F1038,Constants!$W$3:$AA$3,0)),0)</f>
        <v>0</v>
      </c>
      <c r="L1038" s="69">
        <f t="shared" si="34"/>
        <v>0</v>
      </c>
    </row>
    <row r="1039" spans="2:12" x14ac:dyDescent="0.85">
      <c r="B1039" s="48">
        <v>1032</v>
      </c>
      <c r="C1039" s="277"/>
      <c r="D1039" s="284"/>
      <c r="E1039" s="44"/>
      <c r="F1039" s="44"/>
      <c r="G1039" s="49">
        <v>1</v>
      </c>
      <c r="H1039" s="73"/>
      <c r="I1039" s="44"/>
      <c r="J1039" s="48">
        <f t="shared" si="33"/>
        <v>1</v>
      </c>
      <c r="K1039" s="48">
        <f>IFERROR(INDEX(TarrifTable,MATCH(Elements!E1039,Constants!$V$4:$V$7,0),MATCH(Elements!F1039,Constants!$W$3:$AA$3,0)),0)</f>
        <v>0</v>
      </c>
      <c r="L1039" s="68">
        <f t="shared" si="34"/>
        <v>0</v>
      </c>
    </row>
    <row r="1040" spans="2:12" x14ac:dyDescent="0.85">
      <c r="B1040" s="46">
        <v>1033</v>
      </c>
      <c r="C1040" s="276"/>
      <c r="D1040" s="283"/>
      <c r="E1040" s="10"/>
      <c r="F1040" s="10"/>
      <c r="G1040" s="47">
        <v>1</v>
      </c>
      <c r="H1040" s="72"/>
      <c r="I1040" s="10"/>
      <c r="J1040" s="46">
        <f t="shared" si="33"/>
        <v>1</v>
      </c>
      <c r="K1040" s="46">
        <f>IFERROR(INDEX(TarrifTable,MATCH(Elements!E1040,Constants!$V$4:$V$7,0),MATCH(Elements!F1040,Constants!$W$3:$AA$3,0)),0)</f>
        <v>0</v>
      </c>
      <c r="L1040" s="69">
        <f t="shared" si="34"/>
        <v>0</v>
      </c>
    </row>
    <row r="1041" spans="2:12" x14ac:dyDescent="0.85">
      <c r="B1041" s="48">
        <v>1034</v>
      </c>
      <c r="C1041" s="277"/>
      <c r="D1041" s="284"/>
      <c r="E1041" s="44"/>
      <c r="F1041" s="44"/>
      <c r="G1041" s="49">
        <v>1</v>
      </c>
      <c r="H1041" s="73"/>
      <c r="I1041" s="44"/>
      <c r="J1041" s="48">
        <f t="shared" si="33"/>
        <v>1</v>
      </c>
      <c r="K1041" s="48">
        <f>IFERROR(INDEX(TarrifTable,MATCH(Elements!E1041,Constants!$V$4:$V$7,0),MATCH(Elements!F1041,Constants!$W$3:$AA$3,0)),0)</f>
        <v>0</v>
      </c>
      <c r="L1041" s="68">
        <f t="shared" si="34"/>
        <v>0</v>
      </c>
    </row>
    <row r="1042" spans="2:12" x14ac:dyDescent="0.85">
      <c r="B1042" s="46">
        <v>1035</v>
      </c>
      <c r="C1042" s="276"/>
      <c r="D1042" s="283"/>
      <c r="E1042" s="10"/>
      <c r="F1042" s="10"/>
      <c r="G1042" s="47">
        <v>1</v>
      </c>
      <c r="H1042" s="72"/>
      <c r="I1042" s="10"/>
      <c r="J1042" s="46">
        <f t="shared" si="33"/>
        <v>1</v>
      </c>
      <c r="K1042" s="46">
        <f>IFERROR(INDEX(TarrifTable,MATCH(Elements!E1042,Constants!$V$4:$V$7,0),MATCH(Elements!F1042,Constants!$W$3:$AA$3,0)),0)</f>
        <v>0</v>
      </c>
      <c r="L1042" s="69">
        <f t="shared" si="34"/>
        <v>0</v>
      </c>
    </row>
    <row r="1043" spans="2:12" x14ac:dyDescent="0.85">
      <c r="B1043" s="48">
        <v>1036</v>
      </c>
      <c r="C1043" s="277"/>
      <c r="D1043" s="284"/>
      <c r="E1043" s="44"/>
      <c r="F1043" s="44"/>
      <c r="G1043" s="49">
        <v>1</v>
      </c>
      <c r="H1043" s="73"/>
      <c r="I1043" s="44"/>
      <c r="J1043" s="48">
        <f t="shared" si="33"/>
        <v>1</v>
      </c>
      <c r="K1043" s="48">
        <f>IFERROR(INDEX(TarrifTable,MATCH(Elements!E1043,Constants!$V$4:$V$7,0),MATCH(Elements!F1043,Constants!$W$3:$AA$3,0)),0)</f>
        <v>0</v>
      </c>
      <c r="L1043" s="68">
        <f t="shared" si="34"/>
        <v>0</v>
      </c>
    </row>
    <row r="1044" spans="2:12" x14ac:dyDescent="0.85">
      <c r="B1044" s="46">
        <v>1037</v>
      </c>
      <c r="C1044" s="276"/>
      <c r="D1044" s="283"/>
      <c r="E1044" s="10"/>
      <c r="F1044" s="10"/>
      <c r="G1044" s="47">
        <v>1</v>
      </c>
      <c r="H1044" s="72"/>
      <c r="I1044" s="10"/>
      <c r="J1044" s="46">
        <f t="shared" si="33"/>
        <v>1</v>
      </c>
      <c r="K1044" s="46">
        <f>IFERROR(INDEX(TarrifTable,MATCH(Elements!E1044,Constants!$V$4:$V$7,0),MATCH(Elements!F1044,Constants!$W$3:$AA$3,0)),0)</f>
        <v>0</v>
      </c>
      <c r="L1044" s="69">
        <f t="shared" si="34"/>
        <v>0</v>
      </c>
    </row>
    <row r="1045" spans="2:12" x14ac:dyDescent="0.85">
      <c r="B1045" s="48">
        <v>1038</v>
      </c>
      <c r="C1045" s="277"/>
      <c r="D1045" s="284"/>
      <c r="E1045" s="44"/>
      <c r="F1045" s="44"/>
      <c r="G1045" s="49">
        <v>1</v>
      </c>
      <c r="H1045" s="73"/>
      <c r="I1045" s="44"/>
      <c r="J1045" s="48">
        <f t="shared" si="33"/>
        <v>1</v>
      </c>
      <c r="K1045" s="48">
        <f>IFERROR(INDEX(TarrifTable,MATCH(Elements!E1045,Constants!$V$4:$V$7,0),MATCH(Elements!F1045,Constants!$W$3:$AA$3,0)),0)</f>
        <v>0</v>
      </c>
      <c r="L1045" s="68">
        <f t="shared" si="34"/>
        <v>0</v>
      </c>
    </row>
    <row r="1046" spans="2:12" x14ac:dyDescent="0.85">
      <c r="B1046" s="46">
        <v>1039</v>
      </c>
      <c r="C1046" s="276"/>
      <c r="D1046" s="283"/>
      <c r="E1046" s="10"/>
      <c r="F1046" s="10"/>
      <c r="G1046" s="47">
        <v>1</v>
      </c>
      <c r="H1046" s="72"/>
      <c r="I1046" s="10"/>
      <c r="J1046" s="46">
        <f t="shared" si="33"/>
        <v>1</v>
      </c>
      <c r="K1046" s="46">
        <f>IFERROR(INDEX(TarrifTable,MATCH(Elements!E1046,Constants!$V$4:$V$7,0),MATCH(Elements!F1046,Constants!$W$3:$AA$3,0)),0)</f>
        <v>0</v>
      </c>
      <c r="L1046" s="69">
        <f t="shared" si="34"/>
        <v>0</v>
      </c>
    </row>
    <row r="1047" spans="2:12" x14ac:dyDescent="0.85">
      <c r="B1047" s="48">
        <v>1040</v>
      </c>
      <c r="C1047" s="277"/>
      <c r="D1047" s="284"/>
      <c r="E1047" s="44"/>
      <c r="F1047" s="44"/>
      <c r="G1047" s="49">
        <v>1</v>
      </c>
      <c r="H1047" s="73"/>
      <c r="I1047" s="44"/>
      <c r="J1047" s="48">
        <f t="shared" si="33"/>
        <v>1</v>
      </c>
      <c r="K1047" s="48">
        <f>IFERROR(INDEX(TarrifTable,MATCH(Elements!E1047,Constants!$V$4:$V$7,0),MATCH(Elements!F1047,Constants!$W$3:$AA$3,0)),0)</f>
        <v>0</v>
      </c>
      <c r="L1047" s="68">
        <f t="shared" si="34"/>
        <v>0</v>
      </c>
    </row>
    <row r="1048" spans="2:12" x14ac:dyDescent="0.85">
      <c r="B1048" s="46">
        <v>1041</v>
      </c>
      <c r="C1048" s="276"/>
      <c r="D1048" s="283"/>
      <c r="E1048" s="10"/>
      <c r="F1048" s="10"/>
      <c r="G1048" s="47">
        <v>1</v>
      </c>
      <c r="H1048" s="72"/>
      <c r="I1048" s="10"/>
      <c r="J1048" s="46">
        <f t="shared" si="33"/>
        <v>1</v>
      </c>
      <c r="K1048" s="46">
        <f>IFERROR(INDEX(TarrifTable,MATCH(Elements!E1048,Constants!$V$4:$V$7,0),MATCH(Elements!F1048,Constants!$W$3:$AA$3,0)),0)</f>
        <v>0</v>
      </c>
      <c r="L1048" s="69">
        <f t="shared" si="34"/>
        <v>0</v>
      </c>
    </row>
    <row r="1049" spans="2:12" x14ac:dyDescent="0.85">
      <c r="B1049" s="48">
        <v>1042</v>
      </c>
      <c r="C1049" s="277"/>
      <c r="D1049" s="284"/>
      <c r="E1049" s="44"/>
      <c r="F1049" s="44"/>
      <c r="G1049" s="49">
        <v>1</v>
      </c>
      <c r="H1049" s="73"/>
      <c r="I1049" s="44"/>
      <c r="J1049" s="48">
        <f t="shared" si="33"/>
        <v>1</v>
      </c>
      <c r="K1049" s="48">
        <f>IFERROR(INDEX(TarrifTable,MATCH(Elements!E1049,Constants!$V$4:$V$7,0),MATCH(Elements!F1049,Constants!$W$3:$AA$3,0)),0)</f>
        <v>0</v>
      </c>
      <c r="L1049" s="68">
        <f t="shared" si="34"/>
        <v>0</v>
      </c>
    </row>
    <row r="1050" spans="2:12" x14ac:dyDescent="0.85">
      <c r="B1050" s="46">
        <v>1043</v>
      </c>
      <c r="C1050" s="276"/>
      <c r="D1050" s="283"/>
      <c r="E1050" s="10"/>
      <c r="F1050" s="10"/>
      <c r="G1050" s="47">
        <v>1</v>
      </c>
      <c r="H1050" s="72"/>
      <c r="I1050" s="10"/>
      <c r="J1050" s="46">
        <f t="shared" si="33"/>
        <v>1</v>
      </c>
      <c r="K1050" s="46">
        <f>IFERROR(INDEX(TarrifTable,MATCH(Elements!E1050,Constants!$V$4:$V$7,0),MATCH(Elements!F1050,Constants!$W$3:$AA$3,0)),0)</f>
        <v>0</v>
      </c>
      <c r="L1050" s="69">
        <f t="shared" si="34"/>
        <v>0</v>
      </c>
    </row>
    <row r="1051" spans="2:12" x14ac:dyDescent="0.85">
      <c r="B1051" s="48">
        <v>1044</v>
      </c>
      <c r="C1051" s="277"/>
      <c r="D1051" s="284"/>
      <c r="E1051" s="44"/>
      <c r="F1051" s="44"/>
      <c r="G1051" s="49">
        <v>1</v>
      </c>
      <c r="H1051" s="73"/>
      <c r="I1051" s="44"/>
      <c r="J1051" s="48">
        <f t="shared" si="33"/>
        <v>1</v>
      </c>
      <c r="K1051" s="48">
        <f>IFERROR(INDEX(TarrifTable,MATCH(Elements!E1051,Constants!$V$4:$V$7,0),MATCH(Elements!F1051,Constants!$W$3:$AA$3,0)),0)</f>
        <v>0</v>
      </c>
      <c r="L1051" s="68">
        <f t="shared" si="34"/>
        <v>0</v>
      </c>
    </row>
    <row r="1052" spans="2:12" x14ac:dyDescent="0.85">
      <c r="B1052" s="46">
        <v>1045</v>
      </c>
      <c r="C1052" s="276"/>
      <c r="D1052" s="283"/>
      <c r="E1052" s="10"/>
      <c r="F1052" s="10"/>
      <c r="G1052" s="47">
        <v>1</v>
      </c>
      <c r="H1052" s="72"/>
      <c r="I1052" s="10"/>
      <c r="J1052" s="46">
        <f t="shared" si="33"/>
        <v>1</v>
      </c>
      <c r="K1052" s="46">
        <f>IFERROR(INDEX(TarrifTable,MATCH(Elements!E1052,Constants!$V$4:$V$7,0),MATCH(Elements!F1052,Constants!$W$3:$AA$3,0)),0)</f>
        <v>0</v>
      </c>
      <c r="L1052" s="69">
        <f t="shared" si="34"/>
        <v>0</v>
      </c>
    </row>
    <row r="1053" spans="2:12" x14ac:dyDescent="0.85">
      <c r="B1053" s="48">
        <v>1046</v>
      </c>
      <c r="C1053" s="277"/>
      <c r="D1053" s="284"/>
      <c r="E1053" s="44"/>
      <c r="F1053" s="44"/>
      <c r="G1053" s="49">
        <v>1</v>
      </c>
      <c r="H1053" s="73"/>
      <c r="I1053" s="44"/>
      <c r="J1053" s="48">
        <f t="shared" si="33"/>
        <v>1</v>
      </c>
      <c r="K1053" s="48">
        <f>IFERROR(INDEX(TarrifTable,MATCH(Elements!E1053,Constants!$V$4:$V$7,0),MATCH(Elements!F1053,Constants!$W$3:$AA$3,0)),0)</f>
        <v>0</v>
      </c>
      <c r="L1053" s="68">
        <f t="shared" si="34"/>
        <v>0</v>
      </c>
    </row>
    <row r="1054" spans="2:12" x14ac:dyDescent="0.85">
      <c r="B1054" s="46">
        <v>1047</v>
      </c>
      <c r="C1054" s="276"/>
      <c r="D1054" s="283"/>
      <c r="E1054" s="10"/>
      <c r="F1054" s="10"/>
      <c r="G1054" s="47">
        <v>1</v>
      </c>
      <c r="H1054" s="72"/>
      <c r="I1054" s="10"/>
      <c r="J1054" s="46">
        <f t="shared" si="33"/>
        <v>1</v>
      </c>
      <c r="K1054" s="46">
        <f>IFERROR(INDEX(TarrifTable,MATCH(Elements!E1054,Constants!$V$4:$V$7,0),MATCH(Elements!F1054,Constants!$W$3:$AA$3,0)),0)</f>
        <v>0</v>
      </c>
      <c r="L1054" s="69">
        <f t="shared" si="34"/>
        <v>0</v>
      </c>
    </row>
    <row r="1055" spans="2:12" x14ac:dyDescent="0.85">
      <c r="B1055" s="48">
        <v>1048</v>
      </c>
      <c r="C1055" s="277"/>
      <c r="D1055" s="284"/>
      <c r="E1055" s="44"/>
      <c r="F1055" s="44"/>
      <c r="G1055" s="49">
        <v>1</v>
      </c>
      <c r="H1055" s="73"/>
      <c r="I1055" s="44"/>
      <c r="J1055" s="48">
        <f t="shared" si="33"/>
        <v>1</v>
      </c>
      <c r="K1055" s="48">
        <f>IFERROR(INDEX(TarrifTable,MATCH(Elements!E1055,Constants!$V$4:$V$7,0),MATCH(Elements!F1055,Constants!$W$3:$AA$3,0)),0)</f>
        <v>0</v>
      </c>
      <c r="L1055" s="68">
        <f t="shared" si="34"/>
        <v>0</v>
      </c>
    </row>
    <row r="1056" spans="2:12" x14ac:dyDescent="0.85">
      <c r="B1056" s="46">
        <v>1049</v>
      </c>
      <c r="C1056" s="276"/>
      <c r="D1056" s="283"/>
      <c r="E1056" s="10"/>
      <c r="F1056" s="10"/>
      <c r="G1056" s="47">
        <v>1</v>
      </c>
      <c r="H1056" s="72"/>
      <c r="I1056" s="10"/>
      <c r="J1056" s="46">
        <f t="shared" si="33"/>
        <v>1</v>
      </c>
      <c r="K1056" s="46">
        <f>IFERROR(INDEX(TarrifTable,MATCH(Elements!E1056,Constants!$V$4:$V$7,0),MATCH(Elements!F1056,Constants!$W$3:$AA$3,0)),0)</f>
        <v>0</v>
      </c>
      <c r="L1056" s="69">
        <f t="shared" si="34"/>
        <v>0</v>
      </c>
    </row>
    <row r="1057" spans="2:12" x14ac:dyDescent="0.85">
      <c r="B1057" s="48">
        <v>1050</v>
      </c>
      <c r="C1057" s="277"/>
      <c r="D1057" s="284"/>
      <c r="E1057" s="44"/>
      <c r="F1057" s="44"/>
      <c r="G1057" s="49">
        <v>1</v>
      </c>
      <c r="H1057" s="73"/>
      <c r="I1057" s="44"/>
      <c r="J1057" s="48">
        <f t="shared" si="33"/>
        <v>1</v>
      </c>
      <c r="K1057" s="48">
        <f>IFERROR(INDEX(TarrifTable,MATCH(Elements!E1057,Constants!$V$4:$V$7,0),MATCH(Elements!F1057,Constants!$W$3:$AA$3,0)),0)</f>
        <v>0</v>
      </c>
      <c r="L1057" s="68">
        <f t="shared" si="34"/>
        <v>0</v>
      </c>
    </row>
    <row r="1058" spans="2:12" x14ac:dyDescent="0.85">
      <c r="B1058" s="46">
        <v>1051</v>
      </c>
      <c r="C1058" s="276"/>
      <c r="D1058" s="283"/>
      <c r="E1058" s="10"/>
      <c r="F1058" s="10"/>
      <c r="G1058" s="47">
        <v>1</v>
      </c>
      <c r="H1058" s="72"/>
      <c r="I1058" s="10"/>
      <c r="J1058" s="46">
        <f t="shared" si="33"/>
        <v>1</v>
      </c>
      <c r="K1058" s="46">
        <f>IFERROR(INDEX(TarrifTable,MATCH(Elements!E1058,Constants!$V$4:$V$7,0),MATCH(Elements!F1058,Constants!$W$3:$AA$3,0)),0)</f>
        <v>0</v>
      </c>
      <c r="L1058" s="69">
        <f t="shared" si="34"/>
        <v>0</v>
      </c>
    </row>
    <row r="1059" spans="2:12" x14ac:dyDescent="0.85">
      <c r="B1059" s="48">
        <v>1052</v>
      </c>
      <c r="C1059" s="277"/>
      <c r="D1059" s="284"/>
      <c r="E1059" s="44"/>
      <c r="F1059" s="44"/>
      <c r="G1059" s="49">
        <v>1</v>
      </c>
      <c r="H1059" s="73"/>
      <c r="I1059" s="44"/>
      <c r="J1059" s="48">
        <f t="shared" si="33"/>
        <v>1</v>
      </c>
      <c r="K1059" s="48">
        <f>IFERROR(INDEX(TarrifTable,MATCH(Elements!E1059,Constants!$V$4:$V$7,0),MATCH(Elements!F1059,Constants!$W$3:$AA$3,0)),0)</f>
        <v>0</v>
      </c>
      <c r="L1059" s="68">
        <f t="shared" si="34"/>
        <v>0</v>
      </c>
    </row>
    <row r="1060" spans="2:12" x14ac:dyDescent="0.85">
      <c r="B1060" s="46">
        <v>1053</v>
      </c>
      <c r="C1060" s="276"/>
      <c r="D1060" s="283"/>
      <c r="E1060" s="10"/>
      <c r="F1060" s="10"/>
      <c r="G1060" s="47">
        <v>1</v>
      </c>
      <c r="H1060" s="72"/>
      <c r="I1060" s="10"/>
      <c r="J1060" s="46">
        <f t="shared" si="33"/>
        <v>1</v>
      </c>
      <c r="K1060" s="46">
        <f>IFERROR(INDEX(TarrifTable,MATCH(Elements!E1060,Constants!$V$4:$V$7,0),MATCH(Elements!F1060,Constants!$W$3:$AA$3,0)),0)</f>
        <v>0</v>
      </c>
      <c r="L1060" s="69">
        <f t="shared" si="34"/>
        <v>0</v>
      </c>
    </row>
    <row r="1061" spans="2:12" x14ac:dyDescent="0.85">
      <c r="B1061" s="48">
        <v>1054</v>
      </c>
      <c r="C1061" s="277"/>
      <c r="D1061" s="284"/>
      <c r="E1061" s="44"/>
      <c r="F1061" s="44"/>
      <c r="G1061" s="49">
        <v>1</v>
      </c>
      <c r="H1061" s="73"/>
      <c r="I1061" s="44"/>
      <c r="J1061" s="48">
        <f t="shared" si="33"/>
        <v>1</v>
      </c>
      <c r="K1061" s="48">
        <f>IFERROR(INDEX(TarrifTable,MATCH(Elements!E1061,Constants!$V$4:$V$7,0),MATCH(Elements!F1061,Constants!$W$3:$AA$3,0)),0)</f>
        <v>0</v>
      </c>
      <c r="L1061" s="68">
        <f t="shared" si="34"/>
        <v>0</v>
      </c>
    </row>
    <row r="1062" spans="2:12" x14ac:dyDescent="0.85">
      <c r="B1062" s="46">
        <v>1055</v>
      </c>
      <c r="C1062" s="276"/>
      <c r="D1062" s="283"/>
      <c r="E1062" s="10"/>
      <c r="F1062" s="10"/>
      <c r="G1062" s="47">
        <v>1</v>
      </c>
      <c r="H1062" s="72"/>
      <c r="I1062" s="10"/>
      <c r="J1062" s="46">
        <f t="shared" si="33"/>
        <v>1</v>
      </c>
      <c r="K1062" s="46">
        <f>IFERROR(INDEX(TarrifTable,MATCH(Elements!E1062,Constants!$V$4:$V$7,0),MATCH(Elements!F1062,Constants!$W$3:$AA$3,0)),0)</f>
        <v>0</v>
      </c>
      <c r="L1062" s="69">
        <f t="shared" si="34"/>
        <v>0</v>
      </c>
    </row>
    <row r="1063" spans="2:12" x14ac:dyDescent="0.85">
      <c r="B1063" s="48">
        <v>1056</v>
      </c>
      <c r="C1063" s="277"/>
      <c r="D1063" s="284"/>
      <c r="E1063" s="44"/>
      <c r="F1063" s="44"/>
      <c r="G1063" s="49">
        <v>1</v>
      </c>
      <c r="H1063" s="73"/>
      <c r="I1063" s="44"/>
      <c r="J1063" s="48">
        <f t="shared" si="33"/>
        <v>1</v>
      </c>
      <c r="K1063" s="48">
        <f>IFERROR(INDEX(TarrifTable,MATCH(Elements!E1063,Constants!$V$4:$V$7,0),MATCH(Elements!F1063,Constants!$W$3:$AA$3,0)),0)</f>
        <v>0</v>
      </c>
      <c r="L1063" s="68">
        <f t="shared" si="34"/>
        <v>0</v>
      </c>
    </row>
    <row r="1064" spans="2:12" x14ac:dyDescent="0.85">
      <c r="B1064" s="46">
        <v>1057</v>
      </c>
      <c r="C1064" s="276"/>
      <c r="D1064" s="283"/>
      <c r="E1064" s="10"/>
      <c r="F1064" s="10"/>
      <c r="G1064" s="47">
        <v>1</v>
      </c>
      <c r="H1064" s="72"/>
      <c r="I1064" s="10"/>
      <c r="J1064" s="46">
        <f t="shared" si="33"/>
        <v>1</v>
      </c>
      <c r="K1064" s="46">
        <f>IFERROR(INDEX(TarrifTable,MATCH(Elements!E1064,Constants!$V$4:$V$7,0),MATCH(Elements!F1064,Constants!$W$3:$AA$3,0)),0)</f>
        <v>0</v>
      </c>
      <c r="L1064" s="69">
        <f t="shared" si="34"/>
        <v>0</v>
      </c>
    </row>
    <row r="1065" spans="2:12" x14ac:dyDescent="0.85">
      <c r="B1065" s="48">
        <v>1058</v>
      </c>
      <c r="C1065" s="277"/>
      <c r="D1065" s="284"/>
      <c r="E1065" s="44"/>
      <c r="F1065" s="44"/>
      <c r="G1065" s="49">
        <v>1</v>
      </c>
      <c r="H1065" s="73"/>
      <c r="I1065" s="44"/>
      <c r="J1065" s="48">
        <f t="shared" si="33"/>
        <v>1</v>
      </c>
      <c r="K1065" s="48">
        <f>IFERROR(INDEX(TarrifTable,MATCH(Elements!E1065,Constants!$V$4:$V$7,0),MATCH(Elements!F1065,Constants!$W$3:$AA$3,0)),0)</f>
        <v>0</v>
      </c>
      <c r="L1065" s="68">
        <f t="shared" si="34"/>
        <v>0</v>
      </c>
    </row>
    <row r="1066" spans="2:12" x14ac:dyDescent="0.85">
      <c r="B1066" s="46">
        <v>1059</v>
      </c>
      <c r="C1066" s="276"/>
      <c r="D1066" s="283"/>
      <c r="E1066" s="10"/>
      <c r="F1066" s="10"/>
      <c r="G1066" s="47">
        <v>1</v>
      </c>
      <c r="H1066" s="72"/>
      <c r="I1066" s="10"/>
      <c r="J1066" s="46">
        <f t="shared" si="33"/>
        <v>1</v>
      </c>
      <c r="K1066" s="46">
        <f>IFERROR(INDEX(TarrifTable,MATCH(Elements!E1066,Constants!$V$4:$V$7,0),MATCH(Elements!F1066,Constants!$W$3:$AA$3,0)),0)</f>
        <v>0</v>
      </c>
      <c r="L1066" s="69">
        <f t="shared" si="34"/>
        <v>0</v>
      </c>
    </row>
    <row r="1067" spans="2:12" x14ac:dyDescent="0.85">
      <c r="B1067" s="48">
        <v>1060</v>
      </c>
      <c r="C1067" s="277"/>
      <c r="D1067" s="284"/>
      <c r="E1067" s="44"/>
      <c r="F1067" s="44"/>
      <c r="G1067" s="49">
        <v>1</v>
      </c>
      <c r="H1067" s="73"/>
      <c r="I1067" s="44"/>
      <c r="J1067" s="48">
        <f t="shared" si="33"/>
        <v>1</v>
      </c>
      <c r="K1067" s="48">
        <f>IFERROR(INDEX(TarrifTable,MATCH(Elements!E1067,Constants!$V$4:$V$7,0),MATCH(Elements!F1067,Constants!$W$3:$AA$3,0)),0)</f>
        <v>0</v>
      </c>
      <c r="L1067" s="68">
        <f t="shared" si="34"/>
        <v>0</v>
      </c>
    </row>
    <row r="1068" spans="2:12" x14ac:dyDescent="0.85">
      <c r="B1068" s="46">
        <v>1061</v>
      </c>
      <c r="C1068" s="276"/>
      <c r="D1068" s="283"/>
      <c r="E1068" s="10"/>
      <c r="F1068" s="10"/>
      <c r="G1068" s="47">
        <v>1</v>
      </c>
      <c r="H1068" s="72"/>
      <c r="I1068" s="10"/>
      <c r="J1068" s="46">
        <f t="shared" si="33"/>
        <v>1</v>
      </c>
      <c r="K1068" s="46">
        <f>IFERROR(INDEX(TarrifTable,MATCH(Elements!E1068,Constants!$V$4:$V$7,0),MATCH(Elements!F1068,Constants!$W$3:$AA$3,0)),0)</f>
        <v>0</v>
      </c>
      <c r="L1068" s="69">
        <f t="shared" si="34"/>
        <v>0</v>
      </c>
    </row>
    <row r="1069" spans="2:12" x14ac:dyDescent="0.85">
      <c r="B1069" s="48">
        <v>1062</v>
      </c>
      <c r="C1069" s="277"/>
      <c r="D1069" s="284"/>
      <c r="E1069" s="44"/>
      <c r="F1069" s="44"/>
      <c r="G1069" s="49">
        <v>1</v>
      </c>
      <c r="H1069" s="73"/>
      <c r="I1069" s="44"/>
      <c r="J1069" s="48">
        <f t="shared" si="33"/>
        <v>1</v>
      </c>
      <c r="K1069" s="48">
        <f>IFERROR(INDEX(TarrifTable,MATCH(Elements!E1069,Constants!$V$4:$V$7,0),MATCH(Elements!F1069,Constants!$W$3:$AA$3,0)),0)</f>
        <v>0</v>
      </c>
      <c r="L1069" s="68">
        <f t="shared" si="34"/>
        <v>0</v>
      </c>
    </row>
    <row r="1070" spans="2:12" x14ac:dyDescent="0.85">
      <c r="B1070" s="46">
        <v>1063</v>
      </c>
      <c r="C1070" s="276"/>
      <c r="D1070" s="283"/>
      <c r="E1070" s="10"/>
      <c r="F1070" s="10"/>
      <c r="G1070" s="47">
        <v>1</v>
      </c>
      <c r="H1070" s="72"/>
      <c r="I1070" s="10"/>
      <c r="J1070" s="46">
        <f t="shared" si="33"/>
        <v>1</v>
      </c>
      <c r="K1070" s="46">
        <f>IFERROR(INDEX(TarrifTable,MATCH(Elements!E1070,Constants!$V$4:$V$7,0),MATCH(Elements!F1070,Constants!$W$3:$AA$3,0)),0)</f>
        <v>0</v>
      </c>
      <c r="L1070" s="69">
        <f t="shared" si="34"/>
        <v>0</v>
      </c>
    </row>
    <row r="1071" spans="2:12" x14ac:dyDescent="0.85">
      <c r="B1071" s="48">
        <v>1064</v>
      </c>
      <c r="C1071" s="277"/>
      <c r="D1071" s="284"/>
      <c r="E1071" s="44"/>
      <c r="F1071" s="44"/>
      <c r="G1071" s="49">
        <v>1</v>
      </c>
      <c r="H1071" s="73"/>
      <c r="I1071" s="44"/>
      <c r="J1071" s="48">
        <f t="shared" si="33"/>
        <v>1</v>
      </c>
      <c r="K1071" s="48">
        <f>IFERROR(INDEX(TarrifTable,MATCH(Elements!E1071,Constants!$V$4:$V$7,0),MATCH(Elements!F1071,Constants!$W$3:$AA$3,0)),0)</f>
        <v>0</v>
      </c>
      <c r="L1071" s="68">
        <f t="shared" si="34"/>
        <v>0</v>
      </c>
    </row>
    <row r="1072" spans="2:12" x14ac:dyDescent="0.85">
      <c r="B1072" s="46">
        <v>1065</v>
      </c>
      <c r="C1072" s="276"/>
      <c r="D1072" s="283"/>
      <c r="E1072" s="10"/>
      <c r="F1072" s="10"/>
      <c r="G1072" s="47">
        <v>1</v>
      </c>
      <c r="H1072" s="72"/>
      <c r="I1072" s="10"/>
      <c r="J1072" s="46">
        <f t="shared" si="33"/>
        <v>1</v>
      </c>
      <c r="K1072" s="46">
        <f>IFERROR(INDEX(TarrifTable,MATCH(Elements!E1072,Constants!$V$4:$V$7,0),MATCH(Elements!F1072,Constants!$W$3:$AA$3,0)),0)</f>
        <v>0</v>
      </c>
      <c r="L1072" s="69">
        <f t="shared" si="34"/>
        <v>0</v>
      </c>
    </row>
    <row r="1073" spans="2:12" x14ac:dyDescent="0.85">
      <c r="B1073" s="48">
        <v>1066</v>
      </c>
      <c r="C1073" s="277"/>
      <c r="D1073" s="284"/>
      <c r="E1073" s="44"/>
      <c r="F1073" s="44"/>
      <c r="G1073" s="49">
        <v>1</v>
      </c>
      <c r="H1073" s="73"/>
      <c r="I1073" s="44"/>
      <c r="J1073" s="48">
        <f t="shared" si="33"/>
        <v>1</v>
      </c>
      <c r="K1073" s="48">
        <f>IFERROR(INDEX(TarrifTable,MATCH(Elements!E1073,Constants!$V$4:$V$7,0),MATCH(Elements!F1073,Constants!$W$3:$AA$3,0)),0)</f>
        <v>0</v>
      </c>
      <c r="L1073" s="68">
        <f t="shared" si="34"/>
        <v>0</v>
      </c>
    </row>
    <row r="1074" spans="2:12" x14ac:dyDescent="0.85">
      <c r="B1074" s="46">
        <v>1067</v>
      </c>
      <c r="C1074" s="276"/>
      <c r="D1074" s="283"/>
      <c r="E1074" s="10"/>
      <c r="F1074" s="10"/>
      <c r="G1074" s="47">
        <v>1</v>
      </c>
      <c r="H1074" s="72"/>
      <c r="I1074" s="10"/>
      <c r="J1074" s="46">
        <f t="shared" si="33"/>
        <v>1</v>
      </c>
      <c r="K1074" s="46">
        <f>IFERROR(INDEX(TarrifTable,MATCH(Elements!E1074,Constants!$V$4:$V$7,0),MATCH(Elements!F1074,Constants!$W$3:$AA$3,0)),0)</f>
        <v>0</v>
      </c>
      <c r="L1074" s="69">
        <f t="shared" si="34"/>
        <v>0</v>
      </c>
    </row>
    <row r="1075" spans="2:12" x14ac:dyDescent="0.85">
      <c r="B1075" s="48">
        <v>1068</v>
      </c>
      <c r="C1075" s="277"/>
      <c r="D1075" s="284"/>
      <c r="E1075" s="44"/>
      <c r="F1075" s="44"/>
      <c r="G1075" s="49">
        <v>1</v>
      </c>
      <c r="H1075" s="73"/>
      <c r="I1075" s="44"/>
      <c r="J1075" s="48">
        <f t="shared" si="33"/>
        <v>1</v>
      </c>
      <c r="K1075" s="48">
        <f>IFERROR(INDEX(TarrifTable,MATCH(Elements!E1075,Constants!$V$4:$V$7,0),MATCH(Elements!F1075,Constants!$W$3:$AA$3,0)),0)</f>
        <v>0</v>
      </c>
      <c r="L1075" s="68">
        <f t="shared" si="34"/>
        <v>0</v>
      </c>
    </row>
    <row r="1076" spans="2:12" x14ac:dyDescent="0.85">
      <c r="B1076" s="46">
        <v>1069</v>
      </c>
      <c r="C1076" s="276"/>
      <c r="D1076" s="283"/>
      <c r="E1076" s="10"/>
      <c r="F1076" s="10"/>
      <c r="G1076" s="47">
        <v>1</v>
      </c>
      <c r="H1076" s="72"/>
      <c r="I1076" s="10"/>
      <c r="J1076" s="46">
        <f t="shared" si="33"/>
        <v>1</v>
      </c>
      <c r="K1076" s="46">
        <f>IFERROR(INDEX(TarrifTable,MATCH(Elements!E1076,Constants!$V$4:$V$7,0),MATCH(Elements!F1076,Constants!$W$3:$AA$3,0)),0)</f>
        <v>0</v>
      </c>
      <c r="L1076" s="69">
        <f t="shared" si="34"/>
        <v>0</v>
      </c>
    </row>
    <row r="1077" spans="2:12" x14ac:dyDescent="0.85">
      <c r="B1077" s="48">
        <v>1070</v>
      </c>
      <c r="C1077" s="277"/>
      <c r="D1077" s="284"/>
      <c r="E1077" s="44"/>
      <c r="F1077" s="44"/>
      <c r="G1077" s="49">
        <v>1</v>
      </c>
      <c r="H1077" s="73"/>
      <c r="I1077" s="44"/>
      <c r="J1077" s="48">
        <f t="shared" si="33"/>
        <v>1</v>
      </c>
      <c r="K1077" s="48">
        <f>IFERROR(INDEX(TarrifTable,MATCH(Elements!E1077,Constants!$V$4:$V$7,0),MATCH(Elements!F1077,Constants!$W$3:$AA$3,0)),0)</f>
        <v>0</v>
      </c>
      <c r="L1077" s="68">
        <f t="shared" si="34"/>
        <v>0</v>
      </c>
    </row>
    <row r="1078" spans="2:12" x14ac:dyDescent="0.85">
      <c r="B1078" s="46">
        <v>1071</v>
      </c>
      <c r="C1078" s="276"/>
      <c r="D1078" s="283"/>
      <c r="E1078" s="10"/>
      <c r="F1078" s="10"/>
      <c r="G1078" s="47">
        <v>1</v>
      </c>
      <c r="H1078" s="72"/>
      <c r="I1078" s="10"/>
      <c r="J1078" s="46">
        <f t="shared" si="33"/>
        <v>1</v>
      </c>
      <c r="K1078" s="46">
        <f>IFERROR(INDEX(TarrifTable,MATCH(Elements!E1078,Constants!$V$4:$V$7,0),MATCH(Elements!F1078,Constants!$W$3:$AA$3,0)),0)</f>
        <v>0</v>
      </c>
      <c r="L1078" s="69">
        <f t="shared" si="34"/>
        <v>0</v>
      </c>
    </row>
    <row r="1079" spans="2:12" x14ac:dyDescent="0.85">
      <c r="B1079" s="48">
        <v>1072</v>
      </c>
      <c r="C1079" s="277"/>
      <c r="D1079" s="284"/>
      <c r="E1079" s="44"/>
      <c r="F1079" s="44"/>
      <c r="G1079" s="49">
        <v>1</v>
      </c>
      <c r="H1079" s="73"/>
      <c r="I1079" s="44"/>
      <c r="J1079" s="48">
        <f t="shared" si="33"/>
        <v>1</v>
      </c>
      <c r="K1079" s="48">
        <f>IFERROR(INDEX(TarrifTable,MATCH(Elements!E1079,Constants!$V$4:$V$7,0),MATCH(Elements!F1079,Constants!$W$3:$AA$3,0)),0)</f>
        <v>0</v>
      </c>
      <c r="L1079" s="68">
        <f t="shared" si="34"/>
        <v>0</v>
      </c>
    </row>
    <row r="1080" spans="2:12" x14ac:dyDescent="0.85">
      <c r="B1080" s="46">
        <v>1073</v>
      </c>
      <c r="C1080" s="276"/>
      <c r="D1080" s="283"/>
      <c r="E1080" s="10"/>
      <c r="F1080" s="10"/>
      <c r="G1080" s="47">
        <v>1</v>
      </c>
      <c r="H1080" s="72"/>
      <c r="I1080" s="10"/>
      <c r="J1080" s="46">
        <f t="shared" si="33"/>
        <v>1</v>
      </c>
      <c r="K1080" s="46">
        <f>IFERROR(INDEX(TarrifTable,MATCH(Elements!E1080,Constants!$V$4:$V$7,0),MATCH(Elements!F1080,Constants!$W$3:$AA$3,0)),0)</f>
        <v>0</v>
      </c>
      <c r="L1080" s="69">
        <f t="shared" si="34"/>
        <v>0</v>
      </c>
    </row>
    <row r="1081" spans="2:12" x14ac:dyDescent="0.85">
      <c r="B1081" s="48">
        <v>1074</v>
      </c>
      <c r="C1081" s="277"/>
      <c r="D1081" s="284"/>
      <c r="E1081" s="44"/>
      <c r="F1081" s="44"/>
      <c r="G1081" s="49">
        <v>1</v>
      </c>
      <c r="H1081" s="73"/>
      <c r="I1081" s="44"/>
      <c r="J1081" s="48">
        <f t="shared" si="33"/>
        <v>1</v>
      </c>
      <c r="K1081" s="48">
        <f>IFERROR(INDEX(TarrifTable,MATCH(Elements!E1081,Constants!$V$4:$V$7,0),MATCH(Elements!F1081,Constants!$W$3:$AA$3,0)),0)</f>
        <v>0</v>
      </c>
      <c r="L1081" s="68">
        <f t="shared" si="34"/>
        <v>0</v>
      </c>
    </row>
    <row r="1082" spans="2:12" x14ac:dyDescent="0.85">
      <c r="B1082" s="46">
        <v>1075</v>
      </c>
      <c r="C1082" s="276"/>
      <c r="D1082" s="283"/>
      <c r="E1082" s="10"/>
      <c r="F1082" s="10"/>
      <c r="G1082" s="47">
        <v>1</v>
      </c>
      <c r="H1082" s="72"/>
      <c r="I1082" s="10"/>
      <c r="J1082" s="46">
        <f t="shared" si="33"/>
        <v>1</v>
      </c>
      <c r="K1082" s="46">
        <f>IFERROR(INDEX(TarrifTable,MATCH(Elements!E1082,Constants!$V$4:$V$7,0),MATCH(Elements!F1082,Constants!$W$3:$AA$3,0)),0)</f>
        <v>0</v>
      </c>
      <c r="L1082" s="69">
        <f t="shared" si="34"/>
        <v>0</v>
      </c>
    </row>
    <row r="1083" spans="2:12" x14ac:dyDescent="0.85">
      <c r="B1083" s="48">
        <v>1076</v>
      </c>
      <c r="C1083" s="277"/>
      <c r="D1083" s="284"/>
      <c r="E1083" s="44"/>
      <c r="F1083" s="44"/>
      <c r="G1083" s="49">
        <v>1</v>
      </c>
      <c r="H1083" s="73"/>
      <c r="I1083" s="44"/>
      <c r="J1083" s="48">
        <f t="shared" si="33"/>
        <v>1</v>
      </c>
      <c r="K1083" s="48">
        <f>IFERROR(INDEX(TarrifTable,MATCH(Elements!E1083,Constants!$V$4:$V$7,0),MATCH(Elements!F1083,Constants!$W$3:$AA$3,0)),0)</f>
        <v>0</v>
      </c>
      <c r="L1083" s="68">
        <f t="shared" si="34"/>
        <v>0</v>
      </c>
    </row>
    <row r="1084" spans="2:12" x14ac:dyDescent="0.85">
      <c r="B1084" s="46">
        <v>1077</v>
      </c>
      <c r="C1084" s="276"/>
      <c r="D1084" s="283"/>
      <c r="E1084" s="10"/>
      <c r="F1084" s="10"/>
      <c r="G1084" s="47">
        <v>1</v>
      </c>
      <c r="H1084" s="72"/>
      <c r="I1084" s="10"/>
      <c r="J1084" s="46">
        <f t="shared" si="33"/>
        <v>1</v>
      </c>
      <c r="K1084" s="46">
        <f>IFERROR(INDEX(TarrifTable,MATCH(Elements!E1084,Constants!$V$4:$V$7,0),MATCH(Elements!F1084,Constants!$W$3:$AA$3,0)),0)</f>
        <v>0</v>
      </c>
      <c r="L1084" s="69">
        <f t="shared" si="34"/>
        <v>0</v>
      </c>
    </row>
    <row r="1085" spans="2:12" x14ac:dyDescent="0.85">
      <c r="B1085" s="48">
        <v>1078</v>
      </c>
      <c r="C1085" s="277"/>
      <c r="D1085" s="284"/>
      <c r="E1085" s="44"/>
      <c r="F1085" s="44"/>
      <c r="G1085" s="49">
        <v>1</v>
      </c>
      <c r="H1085" s="73"/>
      <c r="I1085" s="44"/>
      <c r="J1085" s="48">
        <f t="shared" si="33"/>
        <v>1</v>
      </c>
      <c r="K1085" s="48">
        <f>IFERROR(INDEX(TarrifTable,MATCH(Elements!E1085,Constants!$V$4:$V$7,0),MATCH(Elements!F1085,Constants!$W$3:$AA$3,0)),0)</f>
        <v>0</v>
      </c>
      <c r="L1085" s="68">
        <f t="shared" si="34"/>
        <v>0</v>
      </c>
    </row>
    <row r="1086" spans="2:12" x14ac:dyDescent="0.85">
      <c r="B1086" s="46">
        <v>1079</v>
      </c>
      <c r="C1086" s="276"/>
      <c r="D1086" s="283"/>
      <c r="E1086" s="10"/>
      <c r="F1086" s="10"/>
      <c r="G1086" s="47">
        <v>1</v>
      </c>
      <c r="H1086" s="72"/>
      <c r="I1086" s="10"/>
      <c r="J1086" s="46">
        <f t="shared" si="33"/>
        <v>1</v>
      </c>
      <c r="K1086" s="46">
        <f>IFERROR(INDEX(TarrifTable,MATCH(Elements!E1086,Constants!$V$4:$V$7,0),MATCH(Elements!F1086,Constants!$W$3:$AA$3,0)),0)</f>
        <v>0</v>
      </c>
      <c r="L1086" s="69">
        <f t="shared" si="34"/>
        <v>0</v>
      </c>
    </row>
    <row r="1087" spans="2:12" x14ac:dyDescent="0.85">
      <c r="B1087" s="48">
        <v>1080</v>
      </c>
      <c r="C1087" s="277"/>
      <c r="D1087" s="284"/>
      <c r="E1087" s="44"/>
      <c r="F1087" s="44"/>
      <c r="G1087" s="49">
        <v>1</v>
      </c>
      <c r="H1087" s="73"/>
      <c r="I1087" s="44"/>
      <c r="J1087" s="48">
        <f t="shared" si="33"/>
        <v>1</v>
      </c>
      <c r="K1087" s="48">
        <f>IFERROR(INDEX(TarrifTable,MATCH(Elements!E1087,Constants!$V$4:$V$7,0),MATCH(Elements!F1087,Constants!$W$3:$AA$3,0)),0)</f>
        <v>0</v>
      </c>
      <c r="L1087" s="68">
        <f t="shared" si="34"/>
        <v>0</v>
      </c>
    </row>
    <row r="1088" spans="2:12" x14ac:dyDescent="0.85">
      <c r="B1088" s="46">
        <v>1081</v>
      </c>
      <c r="C1088" s="276"/>
      <c r="D1088" s="283"/>
      <c r="E1088" s="10"/>
      <c r="F1088" s="10"/>
      <c r="G1088" s="47">
        <v>1</v>
      </c>
      <c r="H1088" s="72"/>
      <c r="I1088" s="10"/>
      <c r="J1088" s="46">
        <f t="shared" si="33"/>
        <v>1</v>
      </c>
      <c r="K1088" s="46">
        <f>IFERROR(INDEX(TarrifTable,MATCH(Elements!E1088,Constants!$V$4:$V$7,0),MATCH(Elements!F1088,Constants!$W$3:$AA$3,0)),0)</f>
        <v>0</v>
      </c>
      <c r="L1088" s="69">
        <f t="shared" si="34"/>
        <v>0</v>
      </c>
    </row>
    <row r="1089" spans="2:12" x14ac:dyDescent="0.85">
      <c r="B1089" s="48">
        <v>1082</v>
      </c>
      <c r="C1089" s="277"/>
      <c r="D1089" s="284"/>
      <c r="E1089" s="44"/>
      <c r="F1089" s="44"/>
      <c r="G1089" s="49">
        <v>1</v>
      </c>
      <c r="H1089" s="73"/>
      <c r="I1089" s="44"/>
      <c r="J1089" s="48">
        <f t="shared" si="33"/>
        <v>1</v>
      </c>
      <c r="K1089" s="48">
        <f>IFERROR(INDEX(TarrifTable,MATCH(Elements!E1089,Constants!$V$4:$V$7,0),MATCH(Elements!F1089,Constants!$W$3:$AA$3,0)),0)</f>
        <v>0</v>
      </c>
      <c r="L1089" s="68">
        <f t="shared" si="34"/>
        <v>0</v>
      </c>
    </row>
    <row r="1090" spans="2:12" x14ac:dyDescent="0.85">
      <c r="B1090" s="46">
        <v>1083</v>
      </c>
      <c r="C1090" s="276"/>
      <c r="D1090" s="283"/>
      <c r="E1090" s="10"/>
      <c r="F1090" s="10"/>
      <c r="G1090" s="47">
        <v>1</v>
      </c>
      <c r="H1090" s="72"/>
      <c r="I1090" s="10"/>
      <c r="J1090" s="46">
        <f t="shared" si="33"/>
        <v>1</v>
      </c>
      <c r="K1090" s="46">
        <f>IFERROR(INDEX(TarrifTable,MATCH(Elements!E1090,Constants!$V$4:$V$7,0),MATCH(Elements!F1090,Constants!$W$3:$AA$3,0)),0)</f>
        <v>0</v>
      </c>
      <c r="L1090" s="69">
        <f t="shared" si="34"/>
        <v>0</v>
      </c>
    </row>
    <row r="1091" spans="2:12" x14ac:dyDescent="0.85">
      <c r="B1091" s="48">
        <v>1084</v>
      </c>
      <c r="C1091" s="277"/>
      <c r="D1091" s="284"/>
      <c r="E1091" s="44"/>
      <c r="F1091" s="44"/>
      <c r="G1091" s="49">
        <v>1</v>
      </c>
      <c r="H1091" s="73"/>
      <c r="I1091" s="44"/>
      <c r="J1091" s="48">
        <f t="shared" si="33"/>
        <v>1</v>
      </c>
      <c r="K1091" s="48">
        <f>IFERROR(INDEX(TarrifTable,MATCH(Elements!E1091,Constants!$V$4:$V$7,0),MATCH(Elements!F1091,Constants!$W$3:$AA$3,0)),0)</f>
        <v>0</v>
      </c>
      <c r="L1091" s="68">
        <f t="shared" si="34"/>
        <v>0</v>
      </c>
    </row>
    <row r="1092" spans="2:12" x14ac:dyDescent="0.85">
      <c r="B1092" s="46">
        <v>1085</v>
      </c>
      <c r="C1092" s="276"/>
      <c r="D1092" s="283"/>
      <c r="E1092" s="10"/>
      <c r="F1092" s="10"/>
      <c r="G1092" s="47">
        <v>1</v>
      </c>
      <c r="H1092" s="72"/>
      <c r="I1092" s="10"/>
      <c r="J1092" s="46">
        <f t="shared" si="33"/>
        <v>1</v>
      </c>
      <c r="K1092" s="46">
        <f>IFERROR(INDEX(TarrifTable,MATCH(Elements!E1092,Constants!$V$4:$V$7,0),MATCH(Elements!F1092,Constants!$W$3:$AA$3,0)),0)</f>
        <v>0</v>
      </c>
      <c r="L1092" s="69">
        <f t="shared" si="34"/>
        <v>0</v>
      </c>
    </row>
    <row r="1093" spans="2:12" x14ac:dyDescent="0.85">
      <c r="B1093" s="48">
        <v>1086</v>
      </c>
      <c r="C1093" s="277"/>
      <c r="D1093" s="284"/>
      <c r="E1093" s="44"/>
      <c r="F1093" s="44"/>
      <c r="G1093" s="49">
        <v>1</v>
      </c>
      <c r="H1093" s="73"/>
      <c r="I1093" s="44"/>
      <c r="J1093" s="48">
        <f t="shared" si="33"/>
        <v>1</v>
      </c>
      <c r="K1093" s="48">
        <f>IFERROR(INDEX(TarrifTable,MATCH(Elements!E1093,Constants!$V$4:$V$7,0),MATCH(Elements!F1093,Constants!$W$3:$AA$3,0)),0)</f>
        <v>0</v>
      </c>
      <c r="L1093" s="68">
        <f t="shared" si="34"/>
        <v>0</v>
      </c>
    </row>
    <row r="1094" spans="2:12" x14ac:dyDescent="0.85">
      <c r="B1094" s="46">
        <v>1087</v>
      </c>
      <c r="C1094" s="276"/>
      <c r="D1094" s="283"/>
      <c r="E1094" s="10"/>
      <c r="F1094" s="10"/>
      <c r="G1094" s="47">
        <v>1</v>
      </c>
      <c r="H1094" s="72"/>
      <c r="I1094" s="10"/>
      <c r="J1094" s="46">
        <f t="shared" si="33"/>
        <v>1</v>
      </c>
      <c r="K1094" s="46">
        <f>IFERROR(INDEX(TarrifTable,MATCH(Elements!E1094,Constants!$V$4:$V$7,0),MATCH(Elements!F1094,Constants!$W$3:$AA$3,0)),0)</f>
        <v>0</v>
      </c>
      <c r="L1094" s="69">
        <f t="shared" si="34"/>
        <v>0</v>
      </c>
    </row>
    <row r="1095" spans="2:12" x14ac:dyDescent="0.85">
      <c r="B1095" s="48">
        <v>1088</v>
      </c>
      <c r="C1095" s="277"/>
      <c r="D1095" s="284"/>
      <c r="E1095" s="44"/>
      <c r="F1095" s="44"/>
      <c r="G1095" s="49">
        <v>1</v>
      </c>
      <c r="H1095" s="73"/>
      <c r="I1095" s="44"/>
      <c r="J1095" s="48">
        <f t="shared" si="33"/>
        <v>1</v>
      </c>
      <c r="K1095" s="48">
        <f>IFERROR(INDEX(TarrifTable,MATCH(Elements!E1095,Constants!$V$4:$V$7,0),MATCH(Elements!F1095,Constants!$W$3:$AA$3,0)),0)</f>
        <v>0</v>
      </c>
      <c r="L1095" s="68">
        <f t="shared" si="34"/>
        <v>0</v>
      </c>
    </row>
    <row r="1096" spans="2:12" x14ac:dyDescent="0.85">
      <c r="B1096" s="46">
        <v>1089</v>
      </c>
      <c r="C1096" s="276"/>
      <c r="D1096" s="283"/>
      <c r="E1096" s="10"/>
      <c r="F1096" s="10"/>
      <c r="G1096" s="47">
        <v>1</v>
      </c>
      <c r="H1096" s="72"/>
      <c r="I1096" s="10"/>
      <c r="J1096" s="46">
        <f t="shared" ref="J1096:J1159" si="35">IF(ISBLANK(H1096),1,H1096)</f>
        <v>1</v>
      </c>
      <c r="K1096" s="46">
        <f>IFERROR(INDEX(TarrifTable,MATCH(Elements!E1096,Constants!$V$4:$V$7,0),MATCH(Elements!F1096,Constants!$W$3:$AA$3,0)),0)</f>
        <v>0</v>
      </c>
      <c r="L1096" s="69">
        <f t="shared" ref="L1096:L1159" si="36">J1096*G1096*K1096</f>
        <v>0</v>
      </c>
    </row>
    <row r="1097" spans="2:12" x14ac:dyDescent="0.85">
      <c r="B1097" s="48">
        <v>1090</v>
      </c>
      <c r="C1097" s="277"/>
      <c r="D1097" s="284"/>
      <c r="E1097" s="44"/>
      <c r="F1097" s="44"/>
      <c r="G1097" s="49">
        <v>1</v>
      </c>
      <c r="H1097" s="73"/>
      <c r="I1097" s="44"/>
      <c r="J1097" s="48">
        <f t="shared" si="35"/>
        <v>1</v>
      </c>
      <c r="K1097" s="48">
        <f>IFERROR(INDEX(TarrifTable,MATCH(Elements!E1097,Constants!$V$4:$V$7,0),MATCH(Elements!F1097,Constants!$W$3:$AA$3,0)),0)</f>
        <v>0</v>
      </c>
      <c r="L1097" s="68">
        <f t="shared" si="36"/>
        <v>0</v>
      </c>
    </row>
    <row r="1098" spans="2:12" x14ac:dyDescent="0.85">
      <c r="B1098" s="46">
        <v>1091</v>
      </c>
      <c r="C1098" s="276"/>
      <c r="D1098" s="283"/>
      <c r="E1098" s="10"/>
      <c r="F1098" s="10"/>
      <c r="G1098" s="47">
        <v>1</v>
      </c>
      <c r="H1098" s="72"/>
      <c r="I1098" s="10"/>
      <c r="J1098" s="46">
        <f t="shared" si="35"/>
        <v>1</v>
      </c>
      <c r="K1098" s="46">
        <f>IFERROR(INDEX(TarrifTable,MATCH(Elements!E1098,Constants!$V$4:$V$7,0),MATCH(Elements!F1098,Constants!$W$3:$AA$3,0)),0)</f>
        <v>0</v>
      </c>
      <c r="L1098" s="69">
        <f t="shared" si="36"/>
        <v>0</v>
      </c>
    </row>
    <row r="1099" spans="2:12" x14ac:dyDescent="0.85">
      <c r="B1099" s="48">
        <v>1092</v>
      </c>
      <c r="C1099" s="277"/>
      <c r="D1099" s="284"/>
      <c r="E1099" s="44"/>
      <c r="F1099" s="44"/>
      <c r="G1099" s="49">
        <v>1</v>
      </c>
      <c r="H1099" s="73"/>
      <c r="I1099" s="44"/>
      <c r="J1099" s="48">
        <f t="shared" si="35"/>
        <v>1</v>
      </c>
      <c r="K1099" s="48">
        <f>IFERROR(INDEX(TarrifTable,MATCH(Elements!E1099,Constants!$V$4:$V$7,0),MATCH(Elements!F1099,Constants!$W$3:$AA$3,0)),0)</f>
        <v>0</v>
      </c>
      <c r="L1099" s="68">
        <f t="shared" si="36"/>
        <v>0</v>
      </c>
    </row>
    <row r="1100" spans="2:12" x14ac:dyDescent="0.85">
      <c r="B1100" s="46">
        <v>1093</v>
      </c>
      <c r="C1100" s="276"/>
      <c r="D1100" s="283"/>
      <c r="E1100" s="10"/>
      <c r="F1100" s="10"/>
      <c r="G1100" s="47">
        <v>1</v>
      </c>
      <c r="H1100" s="72"/>
      <c r="I1100" s="10"/>
      <c r="J1100" s="46">
        <f t="shared" si="35"/>
        <v>1</v>
      </c>
      <c r="K1100" s="46">
        <f>IFERROR(INDEX(TarrifTable,MATCH(Elements!E1100,Constants!$V$4:$V$7,0),MATCH(Elements!F1100,Constants!$W$3:$AA$3,0)),0)</f>
        <v>0</v>
      </c>
      <c r="L1100" s="69">
        <f t="shared" si="36"/>
        <v>0</v>
      </c>
    </row>
    <row r="1101" spans="2:12" x14ac:dyDescent="0.85">
      <c r="B1101" s="48">
        <v>1094</v>
      </c>
      <c r="C1101" s="277"/>
      <c r="D1101" s="284"/>
      <c r="E1101" s="44"/>
      <c r="F1101" s="44"/>
      <c r="G1101" s="49">
        <v>1</v>
      </c>
      <c r="H1101" s="73"/>
      <c r="I1101" s="44"/>
      <c r="J1101" s="48">
        <f t="shared" si="35"/>
        <v>1</v>
      </c>
      <c r="K1101" s="48">
        <f>IFERROR(INDEX(TarrifTable,MATCH(Elements!E1101,Constants!$V$4:$V$7,0),MATCH(Elements!F1101,Constants!$W$3:$AA$3,0)),0)</f>
        <v>0</v>
      </c>
      <c r="L1101" s="68">
        <f t="shared" si="36"/>
        <v>0</v>
      </c>
    </row>
    <row r="1102" spans="2:12" x14ac:dyDescent="0.85">
      <c r="B1102" s="46">
        <v>1095</v>
      </c>
      <c r="C1102" s="276"/>
      <c r="D1102" s="283"/>
      <c r="E1102" s="10"/>
      <c r="F1102" s="10"/>
      <c r="G1102" s="47">
        <v>1</v>
      </c>
      <c r="H1102" s="72"/>
      <c r="I1102" s="10"/>
      <c r="J1102" s="46">
        <f t="shared" si="35"/>
        <v>1</v>
      </c>
      <c r="K1102" s="46">
        <f>IFERROR(INDEX(TarrifTable,MATCH(Elements!E1102,Constants!$V$4:$V$7,0),MATCH(Elements!F1102,Constants!$W$3:$AA$3,0)),0)</f>
        <v>0</v>
      </c>
      <c r="L1102" s="69">
        <f t="shared" si="36"/>
        <v>0</v>
      </c>
    </row>
    <row r="1103" spans="2:12" x14ac:dyDescent="0.85">
      <c r="B1103" s="48">
        <v>1096</v>
      </c>
      <c r="C1103" s="277"/>
      <c r="D1103" s="284"/>
      <c r="E1103" s="44"/>
      <c r="F1103" s="44"/>
      <c r="G1103" s="49">
        <v>1</v>
      </c>
      <c r="H1103" s="73"/>
      <c r="I1103" s="44"/>
      <c r="J1103" s="48">
        <f t="shared" si="35"/>
        <v>1</v>
      </c>
      <c r="K1103" s="48">
        <f>IFERROR(INDEX(TarrifTable,MATCH(Elements!E1103,Constants!$V$4:$V$7,0),MATCH(Elements!F1103,Constants!$W$3:$AA$3,0)),0)</f>
        <v>0</v>
      </c>
      <c r="L1103" s="68">
        <f t="shared" si="36"/>
        <v>0</v>
      </c>
    </row>
    <row r="1104" spans="2:12" x14ac:dyDescent="0.85">
      <c r="B1104" s="46">
        <v>1097</v>
      </c>
      <c r="C1104" s="276"/>
      <c r="D1104" s="283"/>
      <c r="E1104" s="10"/>
      <c r="F1104" s="10"/>
      <c r="G1104" s="47">
        <v>1</v>
      </c>
      <c r="H1104" s="72"/>
      <c r="I1104" s="10"/>
      <c r="J1104" s="46">
        <f t="shared" si="35"/>
        <v>1</v>
      </c>
      <c r="K1104" s="46">
        <f>IFERROR(INDEX(TarrifTable,MATCH(Elements!E1104,Constants!$V$4:$V$7,0),MATCH(Elements!F1104,Constants!$W$3:$AA$3,0)),0)</f>
        <v>0</v>
      </c>
      <c r="L1104" s="69">
        <f t="shared" si="36"/>
        <v>0</v>
      </c>
    </row>
    <row r="1105" spans="2:12" x14ac:dyDescent="0.85">
      <c r="B1105" s="48">
        <v>1098</v>
      </c>
      <c r="C1105" s="277"/>
      <c r="D1105" s="284"/>
      <c r="E1105" s="44"/>
      <c r="F1105" s="44"/>
      <c r="G1105" s="49">
        <v>1</v>
      </c>
      <c r="H1105" s="73"/>
      <c r="I1105" s="44"/>
      <c r="J1105" s="48">
        <f t="shared" si="35"/>
        <v>1</v>
      </c>
      <c r="K1105" s="48">
        <f>IFERROR(INDEX(TarrifTable,MATCH(Elements!E1105,Constants!$V$4:$V$7,0),MATCH(Elements!F1105,Constants!$W$3:$AA$3,0)),0)</f>
        <v>0</v>
      </c>
      <c r="L1105" s="68">
        <f t="shared" si="36"/>
        <v>0</v>
      </c>
    </row>
    <row r="1106" spans="2:12" x14ac:dyDescent="0.85">
      <c r="B1106" s="46">
        <v>1099</v>
      </c>
      <c r="C1106" s="276"/>
      <c r="D1106" s="283"/>
      <c r="E1106" s="10"/>
      <c r="F1106" s="10"/>
      <c r="G1106" s="47">
        <v>1</v>
      </c>
      <c r="H1106" s="72"/>
      <c r="I1106" s="10"/>
      <c r="J1106" s="46">
        <f t="shared" si="35"/>
        <v>1</v>
      </c>
      <c r="K1106" s="46">
        <f>IFERROR(INDEX(TarrifTable,MATCH(Elements!E1106,Constants!$V$4:$V$7,0),MATCH(Elements!F1106,Constants!$W$3:$AA$3,0)),0)</f>
        <v>0</v>
      </c>
      <c r="L1106" s="69">
        <f t="shared" si="36"/>
        <v>0</v>
      </c>
    </row>
    <row r="1107" spans="2:12" x14ac:dyDescent="0.85">
      <c r="B1107" s="48">
        <v>1100</v>
      </c>
      <c r="C1107" s="277"/>
      <c r="D1107" s="284"/>
      <c r="E1107" s="44"/>
      <c r="F1107" s="44"/>
      <c r="G1107" s="49">
        <v>1</v>
      </c>
      <c r="H1107" s="73"/>
      <c r="I1107" s="44"/>
      <c r="J1107" s="48">
        <f t="shared" si="35"/>
        <v>1</v>
      </c>
      <c r="K1107" s="48">
        <f>IFERROR(INDEX(TarrifTable,MATCH(Elements!E1107,Constants!$V$4:$V$7,0),MATCH(Elements!F1107,Constants!$W$3:$AA$3,0)),0)</f>
        <v>0</v>
      </c>
      <c r="L1107" s="68">
        <f t="shared" si="36"/>
        <v>0</v>
      </c>
    </row>
    <row r="1108" spans="2:12" x14ac:dyDescent="0.85">
      <c r="B1108" s="46">
        <v>1101</v>
      </c>
      <c r="C1108" s="276"/>
      <c r="D1108" s="283"/>
      <c r="E1108" s="10"/>
      <c r="F1108" s="10"/>
      <c r="G1108" s="47">
        <v>1</v>
      </c>
      <c r="H1108" s="72"/>
      <c r="I1108" s="10"/>
      <c r="J1108" s="46">
        <f t="shared" si="35"/>
        <v>1</v>
      </c>
      <c r="K1108" s="46">
        <f>IFERROR(INDEX(TarrifTable,MATCH(Elements!E1108,Constants!$V$4:$V$7,0),MATCH(Elements!F1108,Constants!$W$3:$AA$3,0)),0)</f>
        <v>0</v>
      </c>
      <c r="L1108" s="69">
        <f t="shared" si="36"/>
        <v>0</v>
      </c>
    </row>
    <row r="1109" spans="2:12" x14ac:dyDescent="0.85">
      <c r="B1109" s="48">
        <v>1102</v>
      </c>
      <c r="C1109" s="277"/>
      <c r="D1109" s="284"/>
      <c r="E1109" s="44"/>
      <c r="F1109" s="44"/>
      <c r="G1109" s="49">
        <v>1</v>
      </c>
      <c r="H1109" s="73"/>
      <c r="I1109" s="44"/>
      <c r="J1109" s="48">
        <f t="shared" si="35"/>
        <v>1</v>
      </c>
      <c r="K1109" s="48">
        <f>IFERROR(INDEX(TarrifTable,MATCH(Elements!E1109,Constants!$V$4:$V$7,0),MATCH(Elements!F1109,Constants!$W$3:$AA$3,0)),0)</f>
        <v>0</v>
      </c>
      <c r="L1109" s="68">
        <f t="shared" si="36"/>
        <v>0</v>
      </c>
    </row>
    <row r="1110" spans="2:12" x14ac:dyDescent="0.85">
      <c r="B1110" s="46">
        <v>1103</v>
      </c>
      <c r="C1110" s="276"/>
      <c r="D1110" s="283"/>
      <c r="E1110" s="10"/>
      <c r="F1110" s="10"/>
      <c r="G1110" s="47">
        <v>1</v>
      </c>
      <c r="H1110" s="72"/>
      <c r="I1110" s="10"/>
      <c r="J1110" s="46">
        <f t="shared" si="35"/>
        <v>1</v>
      </c>
      <c r="K1110" s="46">
        <f>IFERROR(INDEX(TarrifTable,MATCH(Elements!E1110,Constants!$V$4:$V$7,0),MATCH(Elements!F1110,Constants!$W$3:$AA$3,0)),0)</f>
        <v>0</v>
      </c>
      <c r="L1110" s="69">
        <f t="shared" si="36"/>
        <v>0</v>
      </c>
    </row>
    <row r="1111" spans="2:12" x14ac:dyDescent="0.85">
      <c r="B1111" s="48">
        <v>1104</v>
      </c>
      <c r="C1111" s="277"/>
      <c r="D1111" s="284"/>
      <c r="E1111" s="44"/>
      <c r="F1111" s="44"/>
      <c r="G1111" s="49">
        <v>1</v>
      </c>
      <c r="H1111" s="73"/>
      <c r="I1111" s="44"/>
      <c r="J1111" s="48">
        <f t="shared" si="35"/>
        <v>1</v>
      </c>
      <c r="K1111" s="48">
        <f>IFERROR(INDEX(TarrifTable,MATCH(Elements!E1111,Constants!$V$4:$V$7,0),MATCH(Elements!F1111,Constants!$W$3:$AA$3,0)),0)</f>
        <v>0</v>
      </c>
      <c r="L1111" s="68">
        <f t="shared" si="36"/>
        <v>0</v>
      </c>
    </row>
    <row r="1112" spans="2:12" x14ac:dyDescent="0.85">
      <c r="B1112" s="46">
        <v>1105</v>
      </c>
      <c r="C1112" s="276"/>
      <c r="D1112" s="283"/>
      <c r="E1112" s="10"/>
      <c r="F1112" s="10"/>
      <c r="G1112" s="47">
        <v>1</v>
      </c>
      <c r="H1112" s="72"/>
      <c r="I1112" s="10"/>
      <c r="J1112" s="46">
        <f t="shared" si="35"/>
        <v>1</v>
      </c>
      <c r="K1112" s="46">
        <f>IFERROR(INDEX(TarrifTable,MATCH(Elements!E1112,Constants!$V$4:$V$7,0),MATCH(Elements!F1112,Constants!$W$3:$AA$3,0)),0)</f>
        <v>0</v>
      </c>
      <c r="L1112" s="69">
        <f t="shared" si="36"/>
        <v>0</v>
      </c>
    </row>
    <row r="1113" spans="2:12" x14ac:dyDescent="0.85">
      <c r="B1113" s="48">
        <v>1106</v>
      </c>
      <c r="C1113" s="277"/>
      <c r="D1113" s="284"/>
      <c r="E1113" s="44"/>
      <c r="F1113" s="44"/>
      <c r="G1113" s="49">
        <v>1</v>
      </c>
      <c r="H1113" s="73"/>
      <c r="I1113" s="44"/>
      <c r="J1113" s="48">
        <f t="shared" si="35"/>
        <v>1</v>
      </c>
      <c r="K1113" s="48">
        <f>IFERROR(INDEX(TarrifTable,MATCH(Elements!E1113,Constants!$V$4:$V$7,0),MATCH(Elements!F1113,Constants!$W$3:$AA$3,0)),0)</f>
        <v>0</v>
      </c>
      <c r="L1113" s="68">
        <f t="shared" si="36"/>
        <v>0</v>
      </c>
    </row>
    <row r="1114" spans="2:12" x14ac:dyDescent="0.85">
      <c r="B1114" s="46">
        <v>1107</v>
      </c>
      <c r="C1114" s="276"/>
      <c r="D1114" s="283"/>
      <c r="E1114" s="10"/>
      <c r="F1114" s="10"/>
      <c r="G1114" s="47">
        <v>1</v>
      </c>
      <c r="H1114" s="72"/>
      <c r="I1114" s="10"/>
      <c r="J1114" s="46">
        <f t="shared" si="35"/>
        <v>1</v>
      </c>
      <c r="K1114" s="46">
        <f>IFERROR(INDEX(TarrifTable,MATCH(Elements!E1114,Constants!$V$4:$V$7,0),MATCH(Elements!F1114,Constants!$W$3:$AA$3,0)),0)</f>
        <v>0</v>
      </c>
      <c r="L1114" s="69">
        <f t="shared" si="36"/>
        <v>0</v>
      </c>
    </row>
    <row r="1115" spans="2:12" x14ac:dyDescent="0.85">
      <c r="B1115" s="48">
        <v>1108</v>
      </c>
      <c r="C1115" s="277"/>
      <c r="D1115" s="284"/>
      <c r="E1115" s="44"/>
      <c r="F1115" s="44"/>
      <c r="G1115" s="49">
        <v>1</v>
      </c>
      <c r="H1115" s="73"/>
      <c r="I1115" s="44"/>
      <c r="J1115" s="48">
        <f t="shared" si="35"/>
        <v>1</v>
      </c>
      <c r="K1115" s="48">
        <f>IFERROR(INDEX(TarrifTable,MATCH(Elements!E1115,Constants!$V$4:$V$7,0),MATCH(Elements!F1115,Constants!$W$3:$AA$3,0)),0)</f>
        <v>0</v>
      </c>
      <c r="L1115" s="68">
        <f t="shared" si="36"/>
        <v>0</v>
      </c>
    </row>
    <row r="1116" spans="2:12" x14ac:dyDescent="0.85">
      <c r="B1116" s="46">
        <v>1109</v>
      </c>
      <c r="C1116" s="276"/>
      <c r="D1116" s="283"/>
      <c r="E1116" s="10"/>
      <c r="F1116" s="10"/>
      <c r="G1116" s="47">
        <v>1</v>
      </c>
      <c r="H1116" s="72"/>
      <c r="I1116" s="10"/>
      <c r="J1116" s="46">
        <f t="shared" si="35"/>
        <v>1</v>
      </c>
      <c r="K1116" s="46">
        <f>IFERROR(INDEX(TarrifTable,MATCH(Elements!E1116,Constants!$V$4:$V$7,0),MATCH(Elements!F1116,Constants!$W$3:$AA$3,0)),0)</f>
        <v>0</v>
      </c>
      <c r="L1116" s="69">
        <f t="shared" si="36"/>
        <v>0</v>
      </c>
    </row>
    <row r="1117" spans="2:12" x14ac:dyDescent="0.85">
      <c r="B1117" s="48">
        <v>1110</v>
      </c>
      <c r="C1117" s="277"/>
      <c r="D1117" s="284"/>
      <c r="E1117" s="44"/>
      <c r="F1117" s="44"/>
      <c r="G1117" s="49">
        <v>1</v>
      </c>
      <c r="H1117" s="73"/>
      <c r="I1117" s="44"/>
      <c r="J1117" s="48">
        <f t="shared" si="35"/>
        <v>1</v>
      </c>
      <c r="K1117" s="48">
        <f>IFERROR(INDEX(TarrifTable,MATCH(Elements!E1117,Constants!$V$4:$V$7,0),MATCH(Elements!F1117,Constants!$W$3:$AA$3,0)),0)</f>
        <v>0</v>
      </c>
      <c r="L1117" s="68">
        <f t="shared" si="36"/>
        <v>0</v>
      </c>
    </row>
    <row r="1118" spans="2:12" x14ac:dyDescent="0.85">
      <c r="B1118" s="46">
        <v>1111</v>
      </c>
      <c r="C1118" s="276"/>
      <c r="D1118" s="283"/>
      <c r="E1118" s="10"/>
      <c r="F1118" s="10"/>
      <c r="G1118" s="47">
        <v>1</v>
      </c>
      <c r="H1118" s="72"/>
      <c r="I1118" s="10"/>
      <c r="J1118" s="46">
        <f t="shared" si="35"/>
        <v>1</v>
      </c>
      <c r="K1118" s="46">
        <f>IFERROR(INDEX(TarrifTable,MATCH(Elements!E1118,Constants!$V$4:$V$7,0),MATCH(Elements!F1118,Constants!$W$3:$AA$3,0)),0)</f>
        <v>0</v>
      </c>
      <c r="L1118" s="69">
        <f t="shared" si="36"/>
        <v>0</v>
      </c>
    </row>
    <row r="1119" spans="2:12" x14ac:dyDescent="0.85">
      <c r="B1119" s="48">
        <v>1112</v>
      </c>
      <c r="C1119" s="277"/>
      <c r="D1119" s="284"/>
      <c r="E1119" s="44"/>
      <c r="F1119" s="44"/>
      <c r="G1119" s="49">
        <v>1</v>
      </c>
      <c r="H1119" s="73"/>
      <c r="I1119" s="44"/>
      <c r="J1119" s="48">
        <f t="shared" si="35"/>
        <v>1</v>
      </c>
      <c r="K1119" s="48">
        <f>IFERROR(INDEX(TarrifTable,MATCH(Elements!E1119,Constants!$V$4:$V$7,0),MATCH(Elements!F1119,Constants!$W$3:$AA$3,0)),0)</f>
        <v>0</v>
      </c>
      <c r="L1119" s="68">
        <f t="shared" si="36"/>
        <v>0</v>
      </c>
    </row>
    <row r="1120" spans="2:12" x14ac:dyDescent="0.85">
      <c r="B1120" s="46">
        <v>1113</v>
      </c>
      <c r="C1120" s="276"/>
      <c r="D1120" s="283"/>
      <c r="E1120" s="10"/>
      <c r="F1120" s="10"/>
      <c r="G1120" s="47">
        <v>1</v>
      </c>
      <c r="H1120" s="72"/>
      <c r="I1120" s="10"/>
      <c r="J1120" s="46">
        <f t="shared" si="35"/>
        <v>1</v>
      </c>
      <c r="K1120" s="46">
        <f>IFERROR(INDEX(TarrifTable,MATCH(Elements!E1120,Constants!$V$4:$V$7,0),MATCH(Elements!F1120,Constants!$W$3:$AA$3,0)),0)</f>
        <v>0</v>
      </c>
      <c r="L1120" s="69">
        <f t="shared" si="36"/>
        <v>0</v>
      </c>
    </row>
    <row r="1121" spans="2:12" x14ac:dyDescent="0.85">
      <c r="B1121" s="48">
        <v>1114</v>
      </c>
      <c r="C1121" s="277"/>
      <c r="D1121" s="284"/>
      <c r="E1121" s="44"/>
      <c r="F1121" s="44"/>
      <c r="G1121" s="49">
        <v>1</v>
      </c>
      <c r="H1121" s="73"/>
      <c r="I1121" s="44"/>
      <c r="J1121" s="48">
        <f t="shared" si="35"/>
        <v>1</v>
      </c>
      <c r="K1121" s="48">
        <f>IFERROR(INDEX(TarrifTable,MATCH(Elements!E1121,Constants!$V$4:$V$7,0),MATCH(Elements!F1121,Constants!$W$3:$AA$3,0)),0)</f>
        <v>0</v>
      </c>
      <c r="L1121" s="68">
        <f t="shared" si="36"/>
        <v>0</v>
      </c>
    </row>
    <row r="1122" spans="2:12" x14ac:dyDescent="0.85">
      <c r="B1122" s="46">
        <v>1115</v>
      </c>
      <c r="C1122" s="276"/>
      <c r="D1122" s="283"/>
      <c r="E1122" s="10"/>
      <c r="F1122" s="10"/>
      <c r="G1122" s="47">
        <v>1</v>
      </c>
      <c r="H1122" s="72"/>
      <c r="I1122" s="10"/>
      <c r="J1122" s="46">
        <f t="shared" si="35"/>
        <v>1</v>
      </c>
      <c r="K1122" s="46">
        <f>IFERROR(INDEX(TarrifTable,MATCH(Elements!E1122,Constants!$V$4:$V$7,0),MATCH(Elements!F1122,Constants!$W$3:$AA$3,0)),0)</f>
        <v>0</v>
      </c>
      <c r="L1122" s="69">
        <f t="shared" si="36"/>
        <v>0</v>
      </c>
    </row>
    <row r="1123" spans="2:12" x14ac:dyDescent="0.85">
      <c r="B1123" s="48">
        <v>1116</v>
      </c>
      <c r="C1123" s="277"/>
      <c r="D1123" s="284"/>
      <c r="E1123" s="44"/>
      <c r="F1123" s="44"/>
      <c r="G1123" s="49">
        <v>1</v>
      </c>
      <c r="H1123" s="73"/>
      <c r="I1123" s="44"/>
      <c r="J1123" s="48">
        <f t="shared" si="35"/>
        <v>1</v>
      </c>
      <c r="K1123" s="48">
        <f>IFERROR(INDEX(TarrifTable,MATCH(Elements!E1123,Constants!$V$4:$V$7,0),MATCH(Elements!F1123,Constants!$W$3:$AA$3,0)),0)</f>
        <v>0</v>
      </c>
      <c r="L1123" s="68">
        <f t="shared" si="36"/>
        <v>0</v>
      </c>
    </row>
    <row r="1124" spans="2:12" x14ac:dyDescent="0.85">
      <c r="B1124" s="46">
        <v>1117</v>
      </c>
      <c r="C1124" s="276"/>
      <c r="D1124" s="283"/>
      <c r="E1124" s="10"/>
      <c r="F1124" s="10"/>
      <c r="G1124" s="47">
        <v>1</v>
      </c>
      <c r="H1124" s="72"/>
      <c r="I1124" s="10"/>
      <c r="J1124" s="46">
        <f t="shared" si="35"/>
        <v>1</v>
      </c>
      <c r="K1124" s="46">
        <f>IFERROR(INDEX(TarrifTable,MATCH(Elements!E1124,Constants!$V$4:$V$7,0),MATCH(Elements!F1124,Constants!$W$3:$AA$3,0)),0)</f>
        <v>0</v>
      </c>
      <c r="L1124" s="69">
        <f t="shared" si="36"/>
        <v>0</v>
      </c>
    </row>
    <row r="1125" spans="2:12" x14ac:dyDescent="0.85">
      <c r="B1125" s="48">
        <v>1118</v>
      </c>
      <c r="C1125" s="277"/>
      <c r="D1125" s="284"/>
      <c r="E1125" s="44"/>
      <c r="F1125" s="44"/>
      <c r="G1125" s="49">
        <v>1</v>
      </c>
      <c r="H1125" s="73"/>
      <c r="I1125" s="44"/>
      <c r="J1125" s="48">
        <f t="shared" si="35"/>
        <v>1</v>
      </c>
      <c r="K1125" s="48">
        <f>IFERROR(INDEX(TarrifTable,MATCH(Elements!E1125,Constants!$V$4:$V$7,0),MATCH(Elements!F1125,Constants!$W$3:$AA$3,0)),0)</f>
        <v>0</v>
      </c>
      <c r="L1125" s="68">
        <f t="shared" si="36"/>
        <v>0</v>
      </c>
    </row>
    <row r="1126" spans="2:12" x14ac:dyDescent="0.85">
      <c r="B1126" s="46">
        <v>1119</v>
      </c>
      <c r="C1126" s="276"/>
      <c r="D1126" s="283"/>
      <c r="E1126" s="10"/>
      <c r="F1126" s="10"/>
      <c r="G1126" s="47">
        <v>1</v>
      </c>
      <c r="H1126" s="72"/>
      <c r="I1126" s="10"/>
      <c r="J1126" s="46">
        <f t="shared" si="35"/>
        <v>1</v>
      </c>
      <c r="K1126" s="46">
        <f>IFERROR(INDEX(TarrifTable,MATCH(Elements!E1126,Constants!$V$4:$V$7,0),MATCH(Elements!F1126,Constants!$W$3:$AA$3,0)),0)</f>
        <v>0</v>
      </c>
      <c r="L1126" s="69">
        <f t="shared" si="36"/>
        <v>0</v>
      </c>
    </row>
    <row r="1127" spans="2:12" x14ac:dyDescent="0.85">
      <c r="B1127" s="48">
        <v>1120</v>
      </c>
      <c r="C1127" s="277"/>
      <c r="D1127" s="284"/>
      <c r="E1127" s="44"/>
      <c r="F1127" s="44"/>
      <c r="G1127" s="49">
        <v>1</v>
      </c>
      <c r="H1127" s="73"/>
      <c r="I1127" s="44"/>
      <c r="J1127" s="48">
        <f t="shared" si="35"/>
        <v>1</v>
      </c>
      <c r="K1127" s="48">
        <f>IFERROR(INDEX(TarrifTable,MATCH(Elements!E1127,Constants!$V$4:$V$7,0),MATCH(Elements!F1127,Constants!$W$3:$AA$3,0)),0)</f>
        <v>0</v>
      </c>
      <c r="L1127" s="68">
        <f t="shared" si="36"/>
        <v>0</v>
      </c>
    </row>
    <row r="1128" spans="2:12" x14ac:dyDescent="0.85">
      <c r="B1128" s="46">
        <v>1121</v>
      </c>
      <c r="C1128" s="276"/>
      <c r="D1128" s="283"/>
      <c r="E1128" s="10"/>
      <c r="F1128" s="10"/>
      <c r="G1128" s="47">
        <v>1</v>
      </c>
      <c r="H1128" s="72"/>
      <c r="I1128" s="10"/>
      <c r="J1128" s="46">
        <f t="shared" si="35"/>
        <v>1</v>
      </c>
      <c r="K1128" s="46">
        <f>IFERROR(INDEX(TarrifTable,MATCH(Elements!E1128,Constants!$V$4:$V$7,0),MATCH(Elements!F1128,Constants!$W$3:$AA$3,0)),0)</f>
        <v>0</v>
      </c>
      <c r="L1128" s="69">
        <f t="shared" si="36"/>
        <v>0</v>
      </c>
    </row>
    <row r="1129" spans="2:12" x14ac:dyDescent="0.85">
      <c r="B1129" s="48">
        <v>1122</v>
      </c>
      <c r="C1129" s="277"/>
      <c r="D1129" s="284"/>
      <c r="E1129" s="44"/>
      <c r="F1129" s="44"/>
      <c r="G1129" s="49">
        <v>1</v>
      </c>
      <c r="H1129" s="73"/>
      <c r="I1129" s="44"/>
      <c r="J1129" s="48">
        <f t="shared" si="35"/>
        <v>1</v>
      </c>
      <c r="K1129" s="48">
        <f>IFERROR(INDEX(TarrifTable,MATCH(Elements!E1129,Constants!$V$4:$V$7,0),MATCH(Elements!F1129,Constants!$W$3:$AA$3,0)),0)</f>
        <v>0</v>
      </c>
      <c r="L1129" s="68">
        <f t="shared" si="36"/>
        <v>0</v>
      </c>
    </row>
    <row r="1130" spans="2:12" x14ac:dyDescent="0.85">
      <c r="B1130" s="46">
        <v>1123</v>
      </c>
      <c r="C1130" s="276"/>
      <c r="D1130" s="283"/>
      <c r="E1130" s="10"/>
      <c r="F1130" s="10"/>
      <c r="G1130" s="47">
        <v>1</v>
      </c>
      <c r="H1130" s="72"/>
      <c r="I1130" s="10"/>
      <c r="J1130" s="46">
        <f t="shared" si="35"/>
        <v>1</v>
      </c>
      <c r="K1130" s="46">
        <f>IFERROR(INDEX(TarrifTable,MATCH(Elements!E1130,Constants!$V$4:$V$7,0),MATCH(Elements!F1130,Constants!$W$3:$AA$3,0)),0)</f>
        <v>0</v>
      </c>
      <c r="L1130" s="69">
        <f t="shared" si="36"/>
        <v>0</v>
      </c>
    </row>
    <row r="1131" spans="2:12" x14ac:dyDescent="0.85">
      <c r="B1131" s="48">
        <v>1124</v>
      </c>
      <c r="C1131" s="277"/>
      <c r="D1131" s="284"/>
      <c r="E1131" s="44"/>
      <c r="F1131" s="44"/>
      <c r="G1131" s="49">
        <v>1</v>
      </c>
      <c r="H1131" s="73"/>
      <c r="I1131" s="44"/>
      <c r="J1131" s="48">
        <f t="shared" si="35"/>
        <v>1</v>
      </c>
      <c r="K1131" s="48">
        <f>IFERROR(INDEX(TarrifTable,MATCH(Elements!E1131,Constants!$V$4:$V$7,0),MATCH(Elements!F1131,Constants!$W$3:$AA$3,0)),0)</f>
        <v>0</v>
      </c>
      <c r="L1131" s="68">
        <f t="shared" si="36"/>
        <v>0</v>
      </c>
    </row>
    <row r="1132" spans="2:12" x14ac:dyDescent="0.85">
      <c r="B1132" s="46">
        <v>1125</v>
      </c>
      <c r="C1132" s="276"/>
      <c r="D1132" s="283"/>
      <c r="E1132" s="10"/>
      <c r="F1132" s="10"/>
      <c r="G1132" s="47">
        <v>1</v>
      </c>
      <c r="H1132" s="72"/>
      <c r="I1132" s="10"/>
      <c r="J1132" s="46">
        <f t="shared" si="35"/>
        <v>1</v>
      </c>
      <c r="K1132" s="46">
        <f>IFERROR(INDEX(TarrifTable,MATCH(Elements!E1132,Constants!$V$4:$V$7,0),MATCH(Elements!F1132,Constants!$W$3:$AA$3,0)),0)</f>
        <v>0</v>
      </c>
      <c r="L1132" s="69">
        <f t="shared" si="36"/>
        <v>0</v>
      </c>
    </row>
    <row r="1133" spans="2:12" x14ac:dyDescent="0.85">
      <c r="B1133" s="48">
        <v>1126</v>
      </c>
      <c r="C1133" s="277"/>
      <c r="D1133" s="284"/>
      <c r="E1133" s="44"/>
      <c r="F1133" s="44"/>
      <c r="G1133" s="49">
        <v>1</v>
      </c>
      <c r="H1133" s="73"/>
      <c r="I1133" s="44"/>
      <c r="J1133" s="48">
        <f t="shared" si="35"/>
        <v>1</v>
      </c>
      <c r="K1133" s="48">
        <f>IFERROR(INDEX(TarrifTable,MATCH(Elements!E1133,Constants!$V$4:$V$7,0),MATCH(Elements!F1133,Constants!$W$3:$AA$3,0)),0)</f>
        <v>0</v>
      </c>
      <c r="L1133" s="68">
        <f t="shared" si="36"/>
        <v>0</v>
      </c>
    </row>
    <row r="1134" spans="2:12" x14ac:dyDescent="0.85">
      <c r="B1134" s="46">
        <v>1127</v>
      </c>
      <c r="C1134" s="276"/>
      <c r="D1134" s="283"/>
      <c r="E1134" s="10"/>
      <c r="F1134" s="10"/>
      <c r="G1134" s="47">
        <v>1</v>
      </c>
      <c r="H1134" s="72"/>
      <c r="I1134" s="10"/>
      <c r="J1134" s="46">
        <f t="shared" si="35"/>
        <v>1</v>
      </c>
      <c r="K1134" s="46">
        <f>IFERROR(INDEX(TarrifTable,MATCH(Elements!E1134,Constants!$V$4:$V$7,0),MATCH(Elements!F1134,Constants!$W$3:$AA$3,0)),0)</f>
        <v>0</v>
      </c>
      <c r="L1134" s="69">
        <f t="shared" si="36"/>
        <v>0</v>
      </c>
    </row>
    <row r="1135" spans="2:12" x14ac:dyDescent="0.85">
      <c r="B1135" s="48">
        <v>1128</v>
      </c>
      <c r="C1135" s="277"/>
      <c r="D1135" s="284"/>
      <c r="E1135" s="44"/>
      <c r="F1135" s="44"/>
      <c r="G1135" s="49">
        <v>1</v>
      </c>
      <c r="H1135" s="73"/>
      <c r="I1135" s="44"/>
      <c r="J1135" s="48">
        <f t="shared" si="35"/>
        <v>1</v>
      </c>
      <c r="K1135" s="48">
        <f>IFERROR(INDEX(TarrifTable,MATCH(Elements!E1135,Constants!$V$4:$V$7,0),MATCH(Elements!F1135,Constants!$W$3:$AA$3,0)),0)</f>
        <v>0</v>
      </c>
      <c r="L1135" s="68">
        <f t="shared" si="36"/>
        <v>0</v>
      </c>
    </row>
    <row r="1136" spans="2:12" x14ac:dyDescent="0.85">
      <c r="B1136" s="46">
        <v>1129</v>
      </c>
      <c r="C1136" s="276"/>
      <c r="D1136" s="283"/>
      <c r="E1136" s="10"/>
      <c r="F1136" s="10"/>
      <c r="G1136" s="47">
        <v>1</v>
      </c>
      <c r="H1136" s="72"/>
      <c r="I1136" s="10"/>
      <c r="J1136" s="46">
        <f t="shared" si="35"/>
        <v>1</v>
      </c>
      <c r="K1136" s="46">
        <f>IFERROR(INDEX(TarrifTable,MATCH(Elements!E1136,Constants!$V$4:$V$7,0),MATCH(Elements!F1136,Constants!$W$3:$AA$3,0)),0)</f>
        <v>0</v>
      </c>
      <c r="L1136" s="69">
        <f t="shared" si="36"/>
        <v>0</v>
      </c>
    </row>
    <row r="1137" spans="2:12" x14ac:dyDescent="0.85">
      <c r="B1137" s="48">
        <v>1130</v>
      </c>
      <c r="C1137" s="277"/>
      <c r="D1137" s="284"/>
      <c r="E1137" s="44"/>
      <c r="F1137" s="44"/>
      <c r="G1137" s="49">
        <v>1</v>
      </c>
      <c r="H1137" s="73"/>
      <c r="I1137" s="44"/>
      <c r="J1137" s="48">
        <f t="shared" si="35"/>
        <v>1</v>
      </c>
      <c r="K1137" s="48">
        <f>IFERROR(INDEX(TarrifTable,MATCH(Elements!E1137,Constants!$V$4:$V$7,0),MATCH(Elements!F1137,Constants!$W$3:$AA$3,0)),0)</f>
        <v>0</v>
      </c>
      <c r="L1137" s="68">
        <f t="shared" si="36"/>
        <v>0</v>
      </c>
    </row>
    <row r="1138" spans="2:12" x14ac:dyDescent="0.85">
      <c r="B1138" s="46">
        <v>1131</v>
      </c>
      <c r="C1138" s="276"/>
      <c r="D1138" s="283"/>
      <c r="E1138" s="10"/>
      <c r="F1138" s="10"/>
      <c r="G1138" s="47">
        <v>1</v>
      </c>
      <c r="H1138" s="72"/>
      <c r="I1138" s="10"/>
      <c r="J1138" s="46">
        <f t="shared" si="35"/>
        <v>1</v>
      </c>
      <c r="K1138" s="46">
        <f>IFERROR(INDEX(TarrifTable,MATCH(Elements!E1138,Constants!$V$4:$V$7,0),MATCH(Elements!F1138,Constants!$W$3:$AA$3,0)),0)</f>
        <v>0</v>
      </c>
      <c r="L1138" s="69">
        <f t="shared" si="36"/>
        <v>0</v>
      </c>
    </row>
    <row r="1139" spans="2:12" x14ac:dyDescent="0.85">
      <c r="B1139" s="48">
        <v>1132</v>
      </c>
      <c r="C1139" s="277"/>
      <c r="D1139" s="284"/>
      <c r="E1139" s="44"/>
      <c r="F1139" s="44"/>
      <c r="G1139" s="49">
        <v>1</v>
      </c>
      <c r="H1139" s="73"/>
      <c r="I1139" s="44"/>
      <c r="J1139" s="48">
        <f t="shared" si="35"/>
        <v>1</v>
      </c>
      <c r="K1139" s="48">
        <f>IFERROR(INDEX(TarrifTable,MATCH(Elements!E1139,Constants!$V$4:$V$7,0),MATCH(Elements!F1139,Constants!$W$3:$AA$3,0)),0)</f>
        <v>0</v>
      </c>
      <c r="L1139" s="68">
        <f t="shared" si="36"/>
        <v>0</v>
      </c>
    </row>
    <row r="1140" spans="2:12" x14ac:dyDescent="0.85">
      <c r="B1140" s="46">
        <v>1133</v>
      </c>
      <c r="C1140" s="276"/>
      <c r="D1140" s="283"/>
      <c r="E1140" s="10"/>
      <c r="F1140" s="10"/>
      <c r="G1140" s="47">
        <v>1</v>
      </c>
      <c r="H1140" s="72"/>
      <c r="I1140" s="10"/>
      <c r="J1140" s="46">
        <f t="shared" si="35"/>
        <v>1</v>
      </c>
      <c r="K1140" s="46">
        <f>IFERROR(INDEX(TarrifTable,MATCH(Elements!E1140,Constants!$V$4:$V$7,0),MATCH(Elements!F1140,Constants!$W$3:$AA$3,0)),0)</f>
        <v>0</v>
      </c>
      <c r="L1140" s="69">
        <f t="shared" si="36"/>
        <v>0</v>
      </c>
    </row>
    <row r="1141" spans="2:12" x14ac:dyDescent="0.85">
      <c r="B1141" s="48">
        <v>1134</v>
      </c>
      <c r="C1141" s="277"/>
      <c r="D1141" s="284"/>
      <c r="E1141" s="44"/>
      <c r="F1141" s="44"/>
      <c r="G1141" s="49">
        <v>1</v>
      </c>
      <c r="H1141" s="73"/>
      <c r="I1141" s="44"/>
      <c r="J1141" s="48">
        <f t="shared" si="35"/>
        <v>1</v>
      </c>
      <c r="K1141" s="48">
        <f>IFERROR(INDEX(TarrifTable,MATCH(Elements!E1141,Constants!$V$4:$V$7,0),MATCH(Elements!F1141,Constants!$W$3:$AA$3,0)),0)</f>
        <v>0</v>
      </c>
      <c r="L1141" s="68">
        <f t="shared" si="36"/>
        <v>0</v>
      </c>
    </row>
    <row r="1142" spans="2:12" x14ac:dyDescent="0.85">
      <c r="B1142" s="46">
        <v>1135</v>
      </c>
      <c r="C1142" s="276"/>
      <c r="D1142" s="283"/>
      <c r="E1142" s="10"/>
      <c r="F1142" s="10"/>
      <c r="G1142" s="47">
        <v>1</v>
      </c>
      <c r="H1142" s="72"/>
      <c r="I1142" s="10"/>
      <c r="J1142" s="46">
        <f t="shared" si="35"/>
        <v>1</v>
      </c>
      <c r="K1142" s="46">
        <f>IFERROR(INDEX(TarrifTable,MATCH(Elements!E1142,Constants!$V$4:$V$7,0),MATCH(Elements!F1142,Constants!$W$3:$AA$3,0)),0)</f>
        <v>0</v>
      </c>
      <c r="L1142" s="69">
        <f t="shared" si="36"/>
        <v>0</v>
      </c>
    </row>
    <row r="1143" spans="2:12" x14ac:dyDescent="0.85">
      <c r="B1143" s="48">
        <v>1136</v>
      </c>
      <c r="C1143" s="277"/>
      <c r="D1143" s="284"/>
      <c r="E1143" s="44"/>
      <c r="F1143" s="44"/>
      <c r="G1143" s="49">
        <v>1</v>
      </c>
      <c r="H1143" s="73"/>
      <c r="I1143" s="44"/>
      <c r="J1143" s="48">
        <f t="shared" si="35"/>
        <v>1</v>
      </c>
      <c r="K1143" s="48">
        <f>IFERROR(INDEX(TarrifTable,MATCH(Elements!E1143,Constants!$V$4:$V$7,0),MATCH(Elements!F1143,Constants!$W$3:$AA$3,0)),0)</f>
        <v>0</v>
      </c>
      <c r="L1143" s="68">
        <f t="shared" si="36"/>
        <v>0</v>
      </c>
    </row>
    <row r="1144" spans="2:12" x14ac:dyDescent="0.85">
      <c r="B1144" s="46">
        <v>1137</v>
      </c>
      <c r="C1144" s="276"/>
      <c r="D1144" s="283"/>
      <c r="E1144" s="10"/>
      <c r="F1144" s="10"/>
      <c r="G1144" s="47">
        <v>1</v>
      </c>
      <c r="H1144" s="72"/>
      <c r="I1144" s="10"/>
      <c r="J1144" s="46">
        <f t="shared" si="35"/>
        <v>1</v>
      </c>
      <c r="K1144" s="46">
        <f>IFERROR(INDEX(TarrifTable,MATCH(Elements!E1144,Constants!$V$4:$V$7,0),MATCH(Elements!F1144,Constants!$W$3:$AA$3,0)),0)</f>
        <v>0</v>
      </c>
      <c r="L1144" s="69">
        <f t="shared" si="36"/>
        <v>0</v>
      </c>
    </row>
    <row r="1145" spans="2:12" x14ac:dyDescent="0.85">
      <c r="B1145" s="48">
        <v>1138</v>
      </c>
      <c r="C1145" s="277"/>
      <c r="D1145" s="284"/>
      <c r="E1145" s="44"/>
      <c r="F1145" s="44"/>
      <c r="G1145" s="49">
        <v>1</v>
      </c>
      <c r="H1145" s="73"/>
      <c r="I1145" s="44"/>
      <c r="J1145" s="48">
        <f t="shared" si="35"/>
        <v>1</v>
      </c>
      <c r="K1145" s="48">
        <f>IFERROR(INDEX(TarrifTable,MATCH(Elements!E1145,Constants!$V$4:$V$7,0),MATCH(Elements!F1145,Constants!$W$3:$AA$3,0)),0)</f>
        <v>0</v>
      </c>
      <c r="L1145" s="68">
        <f t="shared" si="36"/>
        <v>0</v>
      </c>
    </row>
    <row r="1146" spans="2:12" x14ac:dyDescent="0.85">
      <c r="B1146" s="46">
        <v>1139</v>
      </c>
      <c r="C1146" s="276"/>
      <c r="D1146" s="283"/>
      <c r="E1146" s="10"/>
      <c r="F1146" s="10"/>
      <c r="G1146" s="47">
        <v>1</v>
      </c>
      <c r="H1146" s="72"/>
      <c r="I1146" s="10"/>
      <c r="J1146" s="46">
        <f t="shared" si="35"/>
        <v>1</v>
      </c>
      <c r="K1146" s="46">
        <f>IFERROR(INDEX(TarrifTable,MATCH(Elements!E1146,Constants!$V$4:$V$7,0),MATCH(Elements!F1146,Constants!$W$3:$AA$3,0)),0)</f>
        <v>0</v>
      </c>
      <c r="L1146" s="69">
        <f t="shared" si="36"/>
        <v>0</v>
      </c>
    </row>
    <row r="1147" spans="2:12" x14ac:dyDescent="0.85">
      <c r="B1147" s="48">
        <v>1140</v>
      </c>
      <c r="C1147" s="277"/>
      <c r="D1147" s="284"/>
      <c r="E1147" s="44"/>
      <c r="F1147" s="44"/>
      <c r="G1147" s="49">
        <v>1</v>
      </c>
      <c r="H1147" s="73"/>
      <c r="I1147" s="44"/>
      <c r="J1147" s="48">
        <f t="shared" si="35"/>
        <v>1</v>
      </c>
      <c r="K1147" s="48">
        <f>IFERROR(INDEX(TarrifTable,MATCH(Elements!E1147,Constants!$V$4:$V$7,0),MATCH(Elements!F1147,Constants!$W$3:$AA$3,0)),0)</f>
        <v>0</v>
      </c>
      <c r="L1147" s="68">
        <f t="shared" si="36"/>
        <v>0</v>
      </c>
    </row>
    <row r="1148" spans="2:12" x14ac:dyDescent="0.85">
      <c r="B1148" s="46">
        <v>1141</v>
      </c>
      <c r="C1148" s="276"/>
      <c r="D1148" s="283"/>
      <c r="E1148" s="10"/>
      <c r="F1148" s="10"/>
      <c r="G1148" s="47">
        <v>1</v>
      </c>
      <c r="H1148" s="72"/>
      <c r="I1148" s="10"/>
      <c r="J1148" s="46">
        <f t="shared" si="35"/>
        <v>1</v>
      </c>
      <c r="K1148" s="46">
        <f>IFERROR(INDEX(TarrifTable,MATCH(Elements!E1148,Constants!$V$4:$V$7,0),MATCH(Elements!F1148,Constants!$W$3:$AA$3,0)),0)</f>
        <v>0</v>
      </c>
      <c r="L1148" s="69">
        <f t="shared" si="36"/>
        <v>0</v>
      </c>
    </row>
    <row r="1149" spans="2:12" x14ac:dyDescent="0.85">
      <c r="B1149" s="48">
        <v>1142</v>
      </c>
      <c r="C1149" s="277"/>
      <c r="D1149" s="284"/>
      <c r="E1149" s="44"/>
      <c r="F1149" s="44"/>
      <c r="G1149" s="49">
        <v>1</v>
      </c>
      <c r="H1149" s="73"/>
      <c r="I1149" s="44"/>
      <c r="J1149" s="48">
        <f t="shared" si="35"/>
        <v>1</v>
      </c>
      <c r="K1149" s="48">
        <f>IFERROR(INDEX(TarrifTable,MATCH(Elements!E1149,Constants!$V$4:$V$7,0),MATCH(Elements!F1149,Constants!$W$3:$AA$3,0)),0)</f>
        <v>0</v>
      </c>
      <c r="L1149" s="68">
        <f t="shared" si="36"/>
        <v>0</v>
      </c>
    </row>
    <row r="1150" spans="2:12" x14ac:dyDescent="0.85">
      <c r="B1150" s="46">
        <v>1143</v>
      </c>
      <c r="C1150" s="276"/>
      <c r="D1150" s="283"/>
      <c r="E1150" s="10"/>
      <c r="F1150" s="10"/>
      <c r="G1150" s="47">
        <v>1</v>
      </c>
      <c r="H1150" s="72"/>
      <c r="I1150" s="10"/>
      <c r="J1150" s="46">
        <f t="shared" si="35"/>
        <v>1</v>
      </c>
      <c r="K1150" s="46">
        <f>IFERROR(INDEX(TarrifTable,MATCH(Elements!E1150,Constants!$V$4:$V$7,0),MATCH(Elements!F1150,Constants!$W$3:$AA$3,0)),0)</f>
        <v>0</v>
      </c>
      <c r="L1150" s="69">
        <f t="shared" si="36"/>
        <v>0</v>
      </c>
    </row>
    <row r="1151" spans="2:12" x14ac:dyDescent="0.85">
      <c r="B1151" s="48">
        <v>1144</v>
      </c>
      <c r="C1151" s="277"/>
      <c r="D1151" s="284"/>
      <c r="E1151" s="44"/>
      <c r="F1151" s="44"/>
      <c r="G1151" s="49">
        <v>1</v>
      </c>
      <c r="H1151" s="73"/>
      <c r="I1151" s="44"/>
      <c r="J1151" s="48">
        <f t="shared" si="35"/>
        <v>1</v>
      </c>
      <c r="K1151" s="48">
        <f>IFERROR(INDEX(TarrifTable,MATCH(Elements!E1151,Constants!$V$4:$V$7,0),MATCH(Elements!F1151,Constants!$W$3:$AA$3,0)),0)</f>
        <v>0</v>
      </c>
      <c r="L1151" s="68">
        <f t="shared" si="36"/>
        <v>0</v>
      </c>
    </row>
    <row r="1152" spans="2:12" x14ac:dyDescent="0.85">
      <c r="B1152" s="46">
        <v>1145</v>
      </c>
      <c r="C1152" s="276"/>
      <c r="D1152" s="283"/>
      <c r="E1152" s="10"/>
      <c r="F1152" s="10"/>
      <c r="G1152" s="47">
        <v>1</v>
      </c>
      <c r="H1152" s="72"/>
      <c r="I1152" s="10"/>
      <c r="J1152" s="46">
        <f t="shared" si="35"/>
        <v>1</v>
      </c>
      <c r="K1152" s="46">
        <f>IFERROR(INDEX(TarrifTable,MATCH(Elements!E1152,Constants!$V$4:$V$7,0),MATCH(Elements!F1152,Constants!$W$3:$AA$3,0)),0)</f>
        <v>0</v>
      </c>
      <c r="L1152" s="69">
        <f t="shared" si="36"/>
        <v>0</v>
      </c>
    </row>
    <row r="1153" spans="2:12" x14ac:dyDescent="0.85">
      <c r="B1153" s="48">
        <v>1146</v>
      </c>
      <c r="C1153" s="277"/>
      <c r="D1153" s="284"/>
      <c r="E1153" s="44"/>
      <c r="F1153" s="44"/>
      <c r="G1153" s="49">
        <v>1</v>
      </c>
      <c r="H1153" s="73"/>
      <c r="I1153" s="44"/>
      <c r="J1153" s="48">
        <f t="shared" si="35"/>
        <v>1</v>
      </c>
      <c r="K1153" s="48">
        <f>IFERROR(INDEX(TarrifTable,MATCH(Elements!E1153,Constants!$V$4:$V$7,0),MATCH(Elements!F1153,Constants!$W$3:$AA$3,0)),0)</f>
        <v>0</v>
      </c>
      <c r="L1153" s="68">
        <f t="shared" si="36"/>
        <v>0</v>
      </c>
    </row>
    <row r="1154" spans="2:12" x14ac:dyDescent="0.85">
      <c r="B1154" s="46">
        <v>1147</v>
      </c>
      <c r="C1154" s="276"/>
      <c r="D1154" s="283"/>
      <c r="E1154" s="10"/>
      <c r="F1154" s="10"/>
      <c r="G1154" s="47">
        <v>1</v>
      </c>
      <c r="H1154" s="72"/>
      <c r="I1154" s="10"/>
      <c r="J1154" s="46">
        <f t="shared" si="35"/>
        <v>1</v>
      </c>
      <c r="K1154" s="46">
        <f>IFERROR(INDEX(TarrifTable,MATCH(Elements!E1154,Constants!$V$4:$V$7,0),MATCH(Elements!F1154,Constants!$W$3:$AA$3,0)),0)</f>
        <v>0</v>
      </c>
      <c r="L1154" s="69">
        <f t="shared" si="36"/>
        <v>0</v>
      </c>
    </row>
    <row r="1155" spans="2:12" x14ac:dyDescent="0.85">
      <c r="B1155" s="48">
        <v>1148</v>
      </c>
      <c r="C1155" s="277"/>
      <c r="D1155" s="284"/>
      <c r="E1155" s="44"/>
      <c r="F1155" s="44"/>
      <c r="G1155" s="49">
        <v>1</v>
      </c>
      <c r="H1155" s="73"/>
      <c r="I1155" s="44"/>
      <c r="J1155" s="48">
        <f t="shared" si="35"/>
        <v>1</v>
      </c>
      <c r="K1155" s="48">
        <f>IFERROR(INDEX(TarrifTable,MATCH(Elements!E1155,Constants!$V$4:$V$7,0),MATCH(Elements!F1155,Constants!$W$3:$AA$3,0)),0)</f>
        <v>0</v>
      </c>
      <c r="L1155" s="68">
        <f t="shared" si="36"/>
        <v>0</v>
      </c>
    </row>
    <row r="1156" spans="2:12" x14ac:dyDescent="0.85">
      <c r="B1156" s="46">
        <v>1149</v>
      </c>
      <c r="C1156" s="276"/>
      <c r="D1156" s="283"/>
      <c r="E1156" s="10"/>
      <c r="F1156" s="10"/>
      <c r="G1156" s="47">
        <v>1</v>
      </c>
      <c r="H1156" s="72"/>
      <c r="I1156" s="10"/>
      <c r="J1156" s="46">
        <f t="shared" si="35"/>
        <v>1</v>
      </c>
      <c r="K1156" s="46">
        <f>IFERROR(INDEX(TarrifTable,MATCH(Elements!E1156,Constants!$V$4:$V$7,0),MATCH(Elements!F1156,Constants!$W$3:$AA$3,0)),0)</f>
        <v>0</v>
      </c>
      <c r="L1156" s="69">
        <f t="shared" si="36"/>
        <v>0</v>
      </c>
    </row>
    <row r="1157" spans="2:12" x14ac:dyDescent="0.85">
      <c r="B1157" s="48">
        <v>1150</v>
      </c>
      <c r="C1157" s="277"/>
      <c r="D1157" s="284"/>
      <c r="E1157" s="44"/>
      <c r="F1157" s="44"/>
      <c r="G1157" s="49">
        <v>1</v>
      </c>
      <c r="H1157" s="73"/>
      <c r="I1157" s="44"/>
      <c r="J1157" s="48">
        <f t="shared" si="35"/>
        <v>1</v>
      </c>
      <c r="K1157" s="48">
        <f>IFERROR(INDEX(TarrifTable,MATCH(Elements!E1157,Constants!$V$4:$V$7,0),MATCH(Elements!F1157,Constants!$W$3:$AA$3,0)),0)</f>
        <v>0</v>
      </c>
      <c r="L1157" s="68">
        <f t="shared" si="36"/>
        <v>0</v>
      </c>
    </row>
    <row r="1158" spans="2:12" x14ac:dyDescent="0.85">
      <c r="B1158" s="46">
        <v>1151</v>
      </c>
      <c r="C1158" s="276"/>
      <c r="D1158" s="283"/>
      <c r="E1158" s="10"/>
      <c r="F1158" s="10"/>
      <c r="G1158" s="47">
        <v>1</v>
      </c>
      <c r="H1158" s="72"/>
      <c r="I1158" s="10"/>
      <c r="J1158" s="46">
        <f t="shared" si="35"/>
        <v>1</v>
      </c>
      <c r="K1158" s="46">
        <f>IFERROR(INDEX(TarrifTable,MATCH(Elements!E1158,Constants!$V$4:$V$7,0),MATCH(Elements!F1158,Constants!$W$3:$AA$3,0)),0)</f>
        <v>0</v>
      </c>
      <c r="L1158" s="69">
        <f t="shared" si="36"/>
        <v>0</v>
      </c>
    </row>
    <row r="1159" spans="2:12" x14ac:dyDescent="0.85">
      <c r="B1159" s="48">
        <v>1152</v>
      </c>
      <c r="C1159" s="277"/>
      <c r="D1159" s="284"/>
      <c r="E1159" s="44"/>
      <c r="F1159" s="44"/>
      <c r="G1159" s="49">
        <v>1</v>
      </c>
      <c r="H1159" s="73"/>
      <c r="I1159" s="44"/>
      <c r="J1159" s="48">
        <f t="shared" si="35"/>
        <v>1</v>
      </c>
      <c r="K1159" s="48">
        <f>IFERROR(INDEX(TarrifTable,MATCH(Elements!E1159,Constants!$V$4:$V$7,0),MATCH(Elements!F1159,Constants!$W$3:$AA$3,0)),0)</f>
        <v>0</v>
      </c>
      <c r="L1159" s="68">
        <f t="shared" si="36"/>
        <v>0</v>
      </c>
    </row>
    <row r="1160" spans="2:12" x14ac:dyDescent="0.85">
      <c r="B1160" s="46">
        <v>1153</v>
      </c>
      <c r="C1160" s="276"/>
      <c r="D1160" s="283"/>
      <c r="E1160" s="10"/>
      <c r="F1160" s="10"/>
      <c r="G1160" s="47">
        <v>1</v>
      </c>
      <c r="H1160" s="72"/>
      <c r="I1160" s="10"/>
      <c r="J1160" s="46">
        <f t="shared" ref="J1160:J1223" si="37">IF(ISBLANK(H1160),1,H1160)</f>
        <v>1</v>
      </c>
      <c r="K1160" s="46">
        <f>IFERROR(INDEX(TarrifTable,MATCH(Elements!E1160,Constants!$V$4:$V$7,0),MATCH(Elements!F1160,Constants!$W$3:$AA$3,0)),0)</f>
        <v>0</v>
      </c>
      <c r="L1160" s="69">
        <f t="shared" ref="L1160:L1223" si="38">J1160*G1160*K1160</f>
        <v>0</v>
      </c>
    </row>
    <row r="1161" spans="2:12" x14ac:dyDescent="0.85">
      <c r="B1161" s="48">
        <v>1154</v>
      </c>
      <c r="C1161" s="277"/>
      <c r="D1161" s="284"/>
      <c r="E1161" s="44"/>
      <c r="F1161" s="44"/>
      <c r="G1161" s="49">
        <v>1</v>
      </c>
      <c r="H1161" s="73"/>
      <c r="I1161" s="44"/>
      <c r="J1161" s="48">
        <f t="shared" si="37"/>
        <v>1</v>
      </c>
      <c r="K1161" s="48">
        <f>IFERROR(INDEX(TarrifTable,MATCH(Elements!E1161,Constants!$V$4:$V$7,0),MATCH(Elements!F1161,Constants!$W$3:$AA$3,0)),0)</f>
        <v>0</v>
      </c>
      <c r="L1161" s="68">
        <f t="shared" si="38"/>
        <v>0</v>
      </c>
    </row>
    <row r="1162" spans="2:12" x14ac:dyDescent="0.85">
      <c r="B1162" s="46">
        <v>1155</v>
      </c>
      <c r="C1162" s="276"/>
      <c r="D1162" s="283"/>
      <c r="E1162" s="10"/>
      <c r="F1162" s="10"/>
      <c r="G1162" s="47">
        <v>1</v>
      </c>
      <c r="H1162" s="72"/>
      <c r="I1162" s="10"/>
      <c r="J1162" s="46">
        <f t="shared" si="37"/>
        <v>1</v>
      </c>
      <c r="K1162" s="46">
        <f>IFERROR(INDEX(TarrifTable,MATCH(Elements!E1162,Constants!$V$4:$V$7,0),MATCH(Elements!F1162,Constants!$W$3:$AA$3,0)),0)</f>
        <v>0</v>
      </c>
      <c r="L1162" s="69">
        <f t="shared" si="38"/>
        <v>0</v>
      </c>
    </row>
    <row r="1163" spans="2:12" x14ac:dyDescent="0.85">
      <c r="B1163" s="48">
        <v>1156</v>
      </c>
      <c r="C1163" s="277"/>
      <c r="D1163" s="284"/>
      <c r="E1163" s="44"/>
      <c r="F1163" s="44"/>
      <c r="G1163" s="49">
        <v>1</v>
      </c>
      <c r="H1163" s="73"/>
      <c r="I1163" s="44"/>
      <c r="J1163" s="48">
        <f t="shared" si="37"/>
        <v>1</v>
      </c>
      <c r="K1163" s="48">
        <f>IFERROR(INDEX(TarrifTable,MATCH(Elements!E1163,Constants!$V$4:$V$7,0),MATCH(Elements!F1163,Constants!$W$3:$AA$3,0)),0)</f>
        <v>0</v>
      </c>
      <c r="L1163" s="68">
        <f t="shared" si="38"/>
        <v>0</v>
      </c>
    </row>
    <row r="1164" spans="2:12" x14ac:dyDescent="0.85">
      <c r="B1164" s="46">
        <v>1157</v>
      </c>
      <c r="C1164" s="276"/>
      <c r="D1164" s="283"/>
      <c r="E1164" s="10"/>
      <c r="F1164" s="10"/>
      <c r="G1164" s="47">
        <v>1</v>
      </c>
      <c r="H1164" s="72"/>
      <c r="I1164" s="10"/>
      <c r="J1164" s="46">
        <f t="shared" si="37"/>
        <v>1</v>
      </c>
      <c r="K1164" s="46">
        <f>IFERROR(INDEX(TarrifTable,MATCH(Elements!E1164,Constants!$V$4:$V$7,0),MATCH(Elements!F1164,Constants!$W$3:$AA$3,0)),0)</f>
        <v>0</v>
      </c>
      <c r="L1164" s="69">
        <f t="shared" si="38"/>
        <v>0</v>
      </c>
    </row>
    <row r="1165" spans="2:12" x14ac:dyDescent="0.85">
      <c r="B1165" s="48">
        <v>1158</v>
      </c>
      <c r="C1165" s="277"/>
      <c r="D1165" s="284"/>
      <c r="E1165" s="44"/>
      <c r="F1165" s="44"/>
      <c r="G1165" s="49">
        <v>1</v>
      </c>
      <c r="H1165" s="73"/>
      <c r="I1165" s="44"/>
      <c r="J1165" s="48">
        <f t="shared" si="37"/>
        <v>1</v>
      </c>
      <c r="K1165" s="48">
        <f>IFERROR(INDEX(TarrifTable,MATCH(Elements!E1165,Constants!$V$4:$V$7,0),MATCH(Elements!F1165,Constants!$W$3:$AA$3,0)),0)</f>
        <v>0</v>
      </c>
      <c r="L1165" s="68">
        <f t="shared" si="38"/>
        <v>0</v>
      </c>
    </row>
    <row r="1166" spans="2:12" x14ac:dyDescent="0.85">
      <c r="B1166" s="46">
        <v>1159</v>
      </c>
      <c r="C1166" s="276"/>
      <c r="D1166" s="283"/>
      <c r="E1166" s="10"/>
      <c r="F1166" s="10"/>
      <c r="G1166" s="47">
        <v>1</v>
      </c>
      <c r="H1166" s="72"/>
      <c r="I1166" s="10"/>
      <c r="J1166" s="46">
        <f t="shared" si="37"/>
        <v>1</v>
      </c>
      <c r="K1166" s="46">
        <f>IFERROR(INDEX(TarrifTable,MATCH(Elements!E1166,Constants!$V$4:$V$7,0),MATCH(Elements!F1166,Constants!$W$3:$AA$3,0)),0)</f>
        <v>0</v>
      </c>
      <c r="L1166" s="69">
        <f t="shared" si="38"/>
        <v>0</v>
      </c>
    </row>
    <row r="1167" spans="2:12" x14ac:dyDescent="0.85">
      <c r="B1167" s="48">
        <v>1160</v>
      </c>
      <c r="C1167" s="277"/>
      <c r="D1167" s="284"/>
      <c r="E1167" s="44"/>
      <c r="F1167" s="44"/>
      <c r="G1167" s="49">
        <v>1</v>
      </c>
      <c r="H1167" s="73"/>
      <c r="I1167" s="44"/>
      <c r="J1167" s="48">
        <f t="shared" si="37"/>
        <v>1</v>
      </c>
      <c r="K1167" s="48">
        <f>IFERROR(INDEX(TarrifTable,MATCH(Elements!E1167,Constants!$V$4:$V$7,0),MATCH(Elements!F1167,Constants!$W$3:$AA$3,0)),0)</f>
        <v>0</v>
      </c>
      <c r="L1167" s="68">
        <f t="shared" si="38"/>
        <v>0</v>
      </c>
    </row>
    <row r="1168" spans="2:12" x14ac:dyDescent="0.85">
      <c r="B1168" s="46">
        <v>1161</v>
      </c>
      <c r="C1168" s="276"/>
      <c r="D1168" s="283"/>
      <c r="E1168" s="10"/>
      <c r="F1168" s="10"/>
      <c r="G1168" s="47">
        <v>1</v>
      </c>
      <c r="H1168" s="72"/>
      <c r="I1168" s="10"/>
      <c r="J1168" s="46">
        <f t="shared" si="37"/>
        <v>1</v>
      </c>
      <c r="K1168" s="46">
        <f>IFERROR(INDEX(TarrifTable,MATCH(Elements!E1168,Constants!$V$4:$V$7,0),MATCH(Elements!F1168,Constants!$W$3:$AA$3,0)),0)</f>
        <v>0</v>
      </c>
      <c r="L1168" s="69">
        <f t="shared" si="38"/>
        <v>0</v>
      </c>
    </row>
    <row r="1169" spans="2:12" x14ac:dyDescent="0.85">
      <c r="B1169" s="48">
        <v>1162</v>
      </c>
      <c r="C1169" s="277"/>
      <c r="D1169" s="284"/>
      <c r="E1169" s="44"/>
      <c r="F1169" s="44"/>
      <c r="G1169" s="49">
        <v>1</v>
      </c>
      <c r="H1169" s="73"/>
      <c r="I1169" s="44"/>
      <c r="J1169" s="48">
        <f t="shared" si="37"/>
        <v>1</v>
      </c>
      <c r="K1169" s="48">
        <f>IFERROR(INDEX(TarrifTable,MATCH(Elements!E1169,Constants!$V$4:$V$7,0),MATCH(Elements!F1169,Constants!$W$3:$AA$3,0)),0)</f>
        <v>0</v>
      </c>
      <c r="L1169" s="68">
        <f t="shared" si="38"/>
        <v>0</v>
      </c>
    </row>
    <row r="1170" spans="2:12" x14ac:dyDescent="0.85">
      <c r="B1170" s="46">
        <v>1163</v>
      </c>
      <c r="C1170" s="276"/>
      <c r="D1170" s="283"/>
      <c r="E1170" s="10"/>
      <c r="F1170" s="10"/>
      <c r="G1170" s="47">
        <v>1</v>
      </c>
      <c r="H1170" s="72"/>
      <c r="I1170" s="10"/>
      <c r="J1170" s="46">
        <f t="shared" si="37"/>
        <v>1</v>
      </c>
      <c r="K1170" s="46">
        <f>IFERROR(INDEX(TarrifTable,MATCH(Elements!E1170,Constants!$V$4:$V$7,0),MATCH(Elements!F1170,Constants!$W$3:$AA$3,0)),0)</f>
        <v>0</v>
      </c>
      <c r="L1170" s="69">
        <f t="shared" si="38"/>
        <v>0</v>
      </c>
    </row>
    <row r="1171" spans="2:12" x14ac:dyDescent="0.85">
      <c r="B1171" s="48">
        <v>1164</v>
      </c>
      <c r="C1171" s="277"/>
      <c r="D1171" s="284"/>
      <c r="E1171" s="44"/>
      <c r="F1171" s="44"/>
      <c r="G1171" s="49">
        <v>1</v>
      </c>
      <c r="H1171" s="73"/>
      <c r="I1171" s="44"/>
      <c r="J1171" s="48">
        <f t="shared" si="37"/>
        <v>1</v>
      </c>
      <c r="K1171" s="48">
        <f>IFERROR(INDEX(TarrifTable,MATCH(Elements!E1171,Constants!$V$4:$V$7,0),MATCH(Elements!F1171,Constants!$W$3:$AA$3,0)),0)</f>
        <v>0</v>
      </c>
      <c r="L1171" s="68">
        <f t="shared" si="38"/>
        <v>0</v>
      </c>
    </row>
    <row r="1172" spans="2:12" x14ac:dyDescent="0.85">
      <c r="B1172" s="46">
        <v>1165</v>
      </c>
      <c r="C1172" s="276"/>
      <c r="D1172" s="283"/>
      <c r="E1172" s="10"/>
      <c r="F1172" s="10"/>
      <c r="G1172" s="47">
        <v>1</v>
      </c>
      <c r="H1172" s="72"/>
      <c r="I1172" s="10"/>
      <c r="J1172" s="46">
        <f t="shared" si="37"/>
        <v>1</v>
      </c>
      <c r="K1172" s="46">
        <f>IFERROR(INDEX(TarrifTable,MATCH(Elements!E1172,Constants!$V$4:$V$7,0),MATCH(Elements!F1172,Constants!$W$3:$AA$3,0)),0)</f>
        <v>0</v>
      </c>
      <c r="L1172" s="69">
        <f t="shared" si="38"/>
        <v>0</v>
      </c>
    </row>
    <row r="1173" spans="2:12" x14ac:dyDescent="0.85">
      <c r="B1173" s="48">
        <v>1166</v>
      </c>
      <c r="C1173" s="277"/>
      <c r="D1173" s="284"/>
      <c r="E1173" s="44"/>
      <c r="F1173" s="44"/>
      <c r="G1173" s="49">
        <v>1</v>
      </c>
      <c r="H1173" s="73"/>
      <c r="I1173" s="44"/>
      <c r="J1173" s="48">
        <f t="shared" si="37"/>
        <v>1</v>
      </c>
      <c r="K1173" s="48">
        <f>IFERROR(INDEX(TarrifTable,MATCH(Elements!E1173,Constants!$V$4:$V$7,0),MATCH(Elements!F1173,Constants!$W$3:$AA$3,0)),0)</f>
        <v>0</v>
      </c>
      <c r="L1173" s="68">
        <f t="shared" si="38"/>
        <v>0</v>
      </c>
    </row>
    <row r="1174" spans="2:12" x14ac:dyDescent="0.85">
      <c r="B1174" s="46">
        <v>1167</v>
      </c>
      <c r="C1174" s="276"/>
      <c r="D1174" s="283"/>
      <c r="E1174" s="10"/>
      <c r="F1174" s="10"/>
      <c r="G1174" s="47">
        <v>1</v>
      </c>
      <c r="H1174" s="72"/>
      <c r="I1174" s="10"/>
      <c r="J1174" s="46">
        <f t="shared" si="37"/>
        <v>1</v>
      </c>
      <c r="K1174" s="46">
        <f>IFERROR(INDEX(TarrifTable,MATCH(Elements!E1174,Constants!$V$4:$V$7,0),MATCH(Elements!F1174,Constants!$W$3:$AA$3,0)),0)</f>
        <v>0</v>
      </c>
      <c r="L1174" s="69">
        <f t="shared" si="38"/>
        <v>0</v>
      </c>
    </row>
    <row r="1175" spans="2:12" x14ac:dyDescent="0.85">
      <c r="B1175" s="48">
        <v>1168</v>
      </c>
      <c r="C1175" s="277"/>
      <c r="D1175" s="284"/>
      <c r="E1175" s="44"/>
      <c r="F1175" s="44"/>
      <c r="G1175" s="49">
        <v>1</v>
      </c>
      <c r="H1175" s="73"/>
      <c r="I1175" s="44"/>
      <c r="J1175" s="48">
        <f t="shared" si="37"/>
        <v>1</v>
      </c>
      <c r="K1175" s="48">
        <f>IFERROR(INDEX(TarrifTable,MATCH(Elements!E1175,Constants!$V$4:$V$7,0),MATCH(Elements!F1175,Constants!$W$3:$AA$3,0)),0)</f>
        <v>0</v>
      </c>
      <c r="L1175" s="68">
        <f t="shared" si="38"/>
        <v>0</v>
      </c>
    </row>
    <row r="1176" spans="2:12" x14ac:dyDescent="0.85">
      <c r="B1176" s="46">
        <v>1169</v>
      </c>
      <c r="C1176" s="276"/>
      <c r="D1176" s="283"/>
      <c r="E1176" s="10"/>
      <c r="F1176" s="10"/>
      <c r="G1176" s="47">
        <v>1</v>
      </c>
      <c r="H1176" s="72"/>
      <c r="I1176" s="10"/>
      <c r="J1176" s="46">
        <f t="shared" si="37"/>
        <v>1</v>
      </c>
      <c r="K1176" s="46">
        <f>IFERROR(INDEX(TarrifTable,MATCH(Elements!E1176,Constants!$V$4:$V$7,0),MATCH(Elements!F1176,Constants!$W$3:$AA$3,0)),0)</f>
        <v>0</v>
      </c>
      <c r="L1176" s="69">
        <f t="shared" si="38"/>
        <v>0</v>
      </c>
    </row>
    <row r="1177" spans="2:12" x14ac:dyDescent="0.85">
      <c r="B1177" s="48">
        <v>1170</v>
      </c>
      <c r="C1177" s="277"/>
      <c r="D1177" s="284"/>
      <c r="E1177" s="44"/>
      <c r="F1177" s="44"/>
      <c r="G1177" s="49">
        <v>1</v>
      </c>
      <c r="H1177" s="73"/>
      <c r="I1177" s="44"/>
      <c r="J1177" s="48">
        <f t="shared" si="37"/>
        <v>1</v>
      </c>
      <c r="K1177" s="48">
        <f>IFERROR(INDEX(TarrifTable,MATCH(Elements!E1177,Constants!$V$4:$V$7,0),MATCH(Elements!F1177,Constants!$W$3:$AA$3,0)),0)</f>
        <v>0</v>
      </c>
      <c r="L1177" s="68">
        <f t="shared" si="38"/>
        <v>0</v>
      </c>
    </row>
    <row r="1178" spans="2:12" x14ac:dyDescent="0.85">
      <c r="B1178" s="46">
        <v>1171</v>
      </c>
      <c r="C1178" s="276"/>
      <c r="D1178" s="283"/>
      <c r="E1178" s="10"/>
      <c r="F1178" s="10"/>
      <c r="G1178" s="47">
        <v>1</v>
      </c>
      <c r="H1178" s="72"/>
      <c r="I1178" s="10"/>
      <c r="J1178" s="46">
        <f t="shared" si="37"/>
        <v>1</v>
      </c>
      <c r="K1178" s="46">
        <f>IFERROR(INDEX(TarrifTable,MATCH(Elements!E1178,Constants!$V$4:$V$7,0),MATCH(Elements!F1178,Constants!$W$3:$AA$3,0)),0)</f>
        <v>0</v>
      </c>
      <c r="L1178" s="69">
        <f t="shared" si="38"/>
        <v>0</v>
      </c>
    </row>
    <row r="1179" spans="2:12" x14ac:dyDescent="0.85">
      <c r="B1179" s="48">
        <v>1172</v>
      </c>
      <c r="C1179" s="277"/>
      <c r="D1179" s="284"/>
      <c r="E1179" s="44"/>
      <c r="F1179" s="44"/>
      <c r="G1179" s="49">
        <v>1</v>
      </c>
      <c r="H1179" s="73"/>
      <c r="I1179" s="44"/>
      <c r="J1179" s="48">
        <f t="shared" si="37"/>
        <v>1</v>
      </c>
      <c r="K1179" s="48">
        <f>IFERROR(INDEX(TarrifTable,MATCH(Elements!E1179,Constants!$V$4:$V$7,0),MATCH(Elements!F1179,Constants!$W$3:$AA$3,0)),0)</f>
        <v>0</v>
      </c>
      <c r="L1179" s="68">
        <f t="shared" si="38"/>
        <v>0</v>
      </c>
    </row>
    <row r="1180" spans="2:12" x14ac:dyDescent="0.85">
      <c r="B1180" s="46">
        <v>1173</v>
      </c>
      <c r="C1180" s="276"/>
      <c r="D1180" s="283"/>
      <c r="E1180" s="10"/>
      <c r="F1180" s="10"/>
      <c r="G1180" s="47">
        <v>1</v>
      </c>
      <c r="H1180" s="72"/>
      <c r="I1180" s="10"/>
      <c r="J1180" s="46">
        <f t="shared" si="37"/>
        <v>1</v>
      </c>
      <c r="K1180" s="46">
        <f>IFERROR(INDEX(TarrifTable,MATCH(Elements!E1180,Constants!$V$4:$V$7,0),MATCH(Elements!F1180,Constants!$W$3:$AA$3,0)),0)</f>
        <v>0</v>
      </c>
      <c r="L1180" s="69">
        <f t="shared" si="38"/>
        <v>0</v>
      </c>
    </row>
    <row r="1181" spans="2:12" x14ac:dyDescent="0.85">
      <c r="B1181" s="48">
        <v>1174</v>
      </c>
      <c r="C1181" s="277"/>
      <c r="D1181" s="284"/>
      <c r="E1181" s="44"/>
      <c r="F1181" s="44"/>
      <c r="G1181" s="49">
        <v>1</v>
      </c>
      <c r="H1181" s="73"/>
      <c r="I1181" s="44"/>
      <c r="J1181" s="48">
        <f t="shared" si="37"/>
        <v>1</v>
      </c>
      <c r="K1181" s="48">
        <f>IFERROR(INDEX(TarrifTable,MATCH(Elements!E1181,Constants!$V$4:$V$7,0),MATCH(Elements!F1181,Constants!$W$3:$AA$3,0)),0)</f>
        <v>0</v>
      </c>
      <c r="L1181" s="68">
        <f t="shared" si="38"/>
        <v>0</v>
      </c>
    </row>
    <row r="1182" spans="2:12" x14ac:dyDescent="0.85">
      <c r="B1182" s="46">
        <v>1175</v>
      </c>
      <c r="C1182" s="276"/>
      <c r="D1182" s="283"/>
      <c r="E1182" s="10"/>
      <c r="F1182" s="10"/>
      <c r="G1182" s="47">
        <v>1</v>
      </c>
      <c r="H1182" s="72"/>
      <c r="I1182" s="10"/>
      <c r="J1182" s="46">
        <f t="shared" si="37"/>
        <v>1</v>
      </c>
      <c r="K1182" s="46">
        <f>IFERROR(INDEX(TarrifTable,MATCH(Elements!E1182,Constants!$V$4:$V$7,0),MATCH(Elements!F1182,Constants!$W$3:$AA$3,0)),0)</f>
        <v>0</v>
      </c>
      <c r="L1182" s="69">
        <f t="shared" si="38"/>
        <v>0</v>
      </c>
    </row>
    <row r="1183" spans="2:12" x14ac:dyDescent="0.85">
      <c r="B1183" s="48">
        <v>1176</v>
      </c>
      <c r="C1183" s="277"/>
      <c r="D1183" s="284"/>
      <c r="E1183" s="44"/>
      <c r="F1183" s="44"/>
      <c r="G1183" s="49">
        <v>1</v>
      </c>
      <c r="H1183" s="73"/>
      <c r="I1183" s="44"/>
      <c r="J1183" s="48">
        <f t="shared" si="37"/>
        <v>1</v>
      </c>
      <c r="K1183" s="48">
        <f>IFERROR(INDEX(TarrifTable,MATCH(Elements!E1183,Constants!$V$4:$V$7,0),MATCH(Elements!F1183,Constants!$W$3:$AA$3,0)),0)</f>
        <v>0</v>
      </c>
      <c r="L1183" s="68">
        <f t="shared" si="38"/>
        <v>0</v>
      </c>
    </row>
    <row r="1184" spans="2:12" x14ac:dyDescent="0.85">
      <c r="B1184" s="46">
        <v>1177</v>
      </c>
      <c r="C1184" s="276"/>
      <c r="D1184" s="283"/>
      <c r="E1184" s="10"/>
      <c r="F1184" s="10"/>
      <c r="G1184" s="47">
        <v>1</v>
      </c>
      <c r="H1184" s="72"/>
      <c r="I1184" s="10"/>
      <c r="J1184" s="46">
        <f t="shared" si="37"/>
        <v>1</v>
      </c>
      <c r="K1184" s="46">
        <f>IFERROR(INDEX(TarrifTable,MATCH(Elements!E1184,Constants!$V$4:$V$7,0),MATCH(Elements!F1184,Constants!$W$3:$AA$3,0)),0)</f>
        <v>0</v>
      </c>
      <c r="L1184" s="69">
        <f t="shared" si="38"/>
        <v>0</v>
      </c>
    </row>
    <row r="1185" spans="2:12" x14ac:dyDescent="0.85">
      <c r="B1185" s="48">
        <v>1178</v>
      </c>
      <c r="C1185" s="277"/>
      <c r="D1185" s="284"/>
      <c r="E1185" s="44"/>
      <c r="F1185" s="44"/>
      <c r="G1185" s="49">
        <v>1</v>
      </c>
      <c r="H1185" s="73"/>
      <c r="I1185" s="44"/>
      <c r="J1185" s="48">
        <f t="shared" si="37"/>
        <v>1</v>
      </c>
      <c r="K1185" s="48">
        <f>IFERROR(INDEX(TarrifTable,MATCH(Elements!E1185,Constants!$V$4:$V$7,0),MATCH(Elements!F1185,Constants!$W$3:$AA$3,0)),0)</f>
        <v>0</v>
      </c>
      <c r="L1185" s="68">
        <f t="shared" si="38"/>
        <v>0</v>
      </c>
    </row>
    <row r="1186" spans="2:12" x14ac:dyDescent="0.85">
      <c r="B1186" s="46">
        <v>1179</v>
      </c>
      <c r="C1186" s="276"/>
      <c r="D1186" s="283"/>
      <c r="E1186" s="10"/>
      <c r="F1186" s="10"/>
      <c r="G1186" s="47">
        <v>1</v>
      </c>
      <c r="H1186" s="72"/>
      <c r="I1186" s="10"/>
      <c r="J1186" s="46">
        <f t="shared" si="37"/>
        <v>1</v>
      </c>
      <c r="K1186" s="46">
        <f>IFERROR(INDEX(TarrifTable,MATCH(Elements!E1186,Constants!$V$4:$V$7,0),MATCH(Elements!F1186,Constants!$W$3:$AA$3,0)),0)</f>
        <v>0</v>
      </c>
      <c r="L1186" s="69">
        <f t="shared" si="38"/>
        <v>0</v>
      </c>
    </row>
    <row r="1187" spans="2:12" x14ac:dyDescent="0.85">
      <c r="B1187" s="48">
        <v>1180</v>
      </c>
      <c r="C1187" s="277"/>
      <c r="D1187" s="284"/>
      <c r="E1187" s="44"/>
      <c r="F1187" s="44"/>
      <c r="G1187" s="49">
        <v>1</v>
      </c>
      <c r="H1187" s="73"/>
      <c r="I1187" s="44"/>
      <c r="J1187" s="48">
        <f t="shared" si="37"/>
        <v>1</v>
      </c>
      <c r="K1187" s="48">
        <f>IFERROR(INDEX(TarrifTable,MATCH(Elements!E1187,Constants!$V$4:$V$7,0),MATCH(Elements!F1187,Constants!$W$3:$AA$3,0)),0)</f>
        <v>0</v>
      </c>
      <c r="L1187" s="68">
        <f t="shared" si="38"/>
        <v>0</v>
      </c>
    </row>
    <row r="1188" spans="2:12" x14ac:dyDescent="0.85">
      <c r="B1188" s="46">
        <v>1181</v>
      </c>
      <c r="C1188" s="276"/>
      <c r="D1188" s="283"/>
      <c r="E1188" s="10"/>
      <c r="F1188" s="10"/>
      <c r="G1188" s="47">
        <v>1</v>
      </c>
      <c r="H1188" s="72"/>
      <c r="I1188" s="10"/>
      <c r="J1188" s="46">
        <f t="shared" si="37"/>
        <v>1</v>
      </c>
      <c r="K1188" s="46">
        <f>IFERROR(INDEX(TarrifTable,MATCH(Elements!E1188,Constants!$V$4:$V$7,0),MATCH(Elements!F1188,Constants!$W$3:$AA$3,0)),0)</f>
        <v>0</v>
      </c>
      <c r="L1188" s="69">
        <f t="shared" si="38"/>
        <v>0</v>
      </c>
    </row>
    <row r="1189" spans="2:12" x14ac:dyDescent="0.85">
      <c r="B1189" s="48">
        <v>1182</v>
      </c>
      <c r="C1189" s="277"/>
      <c r="D1189" s="284"/>
      <c r="E1189" s="44"/>
      <c r="F1189" s="44"/>
      <c r="G1189" s="49">
        <v>1</v>
      </c>
      <c r="H1189" s="73"/>
      <c r="I1189" s="44"/>
      <c r="J1189" s="48">
        <f t="shared" si="37"/>
        <v>1</v>
      </c>
      <c r="K1189" s="48">
        <f>IFERROR(INDEX(TarrifTable,MATCH(Elements!E1189,Constants!$V$4:$V$7,0),MATCH(Elements!F1189,Constants!$W$3:$AA$3,0)),0)</f>
        <v>0</v>
      </c>
      <c r="L1189" s="68">
        <f t="shared" si="38"/>
        <v>0</v>
      </c>
    </row>
    <row r="1190" spans="2:12" x14ac:dyDescent="0.85">
      <c r="B1190" s="46">
        <v>1183</v>
      </c>
      <c r="C1190" s="276"/>
      <c r="D1190" s="283"/>
      <c r="E1190" s="10"/>
      <c r="F1190" s="10"/>
      <c r="G1190" s="47">
        <v>1</v>
      </c>
      <c r="H1190" s="72"/>
      <c r="I1190" s="10"/>
      <c r="J1190" s="46">
        <f t="shared" si="37"/>
        <v>1</v>
      </c>
      <c r="K1190" s="46">
        <f>IFERROR(INDEX(TarrifTable,MATCH(Elements!E1190,Constants!$V$4:$V$7,0),MATCH(Elements!F1190,Constants!$W$3:$AA$3,0)),0)</f>
        <v>0</v>
      </c>
      <c r="L1190" s="69">
        <f t="shared" si="38"/>
        <v>0</v>
      </c>
    </row>
    <row r="1191" spans="2:12" x14ac:dyDescent="0.85">
      <c r="B1191" s="48">
        <v>1184</v>
      </c>
      <c r="C1191" s="277"/>
      <c r="D1191" s="284"/>
      <c r="E1191" s="44"/>
      <c r="F1191" s="44"/>
      <c r="G1191" s="49">
        <v>1</v>
      </c>
      <c r="H1191" s="73"/>
      <c r="I1191" s="44"/>
      <c r="J1191" s="48">
        <f t="shared" si="37"/>
        <v>1</v>
      </c>
      <c r="K1191" s="48">
        <f>IFERROR(INDEX(TarrifTable,MATCH(Elements!E1191,Constants!$V$4:$V$7,0),MATCH(Elements!F1191,Constants!$W$3:$AA$3,0)),0)</f>
        <v>0</v>
      </c>
      <c r="L1191" s="68">
        <f t="shared" si="38"/>
        <v>0</v>
      </c>
    </row>
    <row r="1192" spans="2:12" x14ac:dyDescent="0.85">
      <c r="B1192" s="46">
        <v>1185</v>
      </c>
      <c r="C1192" s="276"/>
      <c r="D1192" s="283"/>
      <c r="E1192" s="10"/>
      <c r="F1192" s="10"/>
      <c r="G1192" s="47">
        <v>1</v>
      </c>
      <c r="H1192" s="72"/>
      <c r="I1192" s="10"/>
      <c r="J1192" s="46">
        <f t="shared" si="37"/>
        <v>1</v>
      </c>
      <c r="K1192" s="46">
        <f>IFERROR(INDEX(TarrifTable,MATCH(Elements!E1192,Constants!$V$4:$V$7,0),MATCH(Elements!F1192,Constants!$W$3:$AA$3,0)),0)</f>
        <v>0</v>
      </c>
      <c r="L1192" s="69">
        <f t="shared" si="38"/>
        <v>0</v>
      </c>
    </row>
    <row r="1193" spans="2:12" x14ac:dyDescent="0.85">
      <c r="B1193" s="48">
        <v>1186</v>
      </c>
      <c r="C1193" s="277"/>
      <c r="D1193" s="284"/>
      <c r="E1193" s="44"/>
      <c r="F1193" s="44"/>
      <c r="G1193" s="49">
        <v>1</v>
      </c>
      <c r="H1193" s="73"/>
      <c r="I1193" s="44"/>
      <c r="J1193" s="48">
        <f t="shared" si="37"/>
        <v>1</v>
      </c>
      <c r="K1193" s="48">
        <f>IFERROR(INDEX(TarrifTable,MATCH(Elements!E1193,Constants!$V$4:$V$7,0),MATCH(Elements!F1193,Constants!$W$3:$AA$3,0)),0)</f>
        <v>0</v>
      </c>
      <c r="L1193" s="68">
        <f t="shared" si="38"/>
        <v>0</v>
      </c>
    </row>
    <row r="1194" spans="2:12" x14ac:dyDescent="0.85">
      <c r="B1194" s="46">
        <v>1187</v>
      </c>
      <c r="C1194" s="276"/>
      <c r="D1194" s="283"/>
      <c r="E1194" s="10"/>
      <c r="F1194" s="10"/>
      <c r="G1194" s="47">
        <v>1</v>
      </c>
      <c r="H1194" s="72"/>
      <c r="I1194" s="10"/>
      <c r="J1194" s="46">
        <f t="shared" si="37"/>
        <v>1</v>
      </c>
      <c r="K1194" s="46">
        <f>IFERROR(INDEX(TarrifTable,MATCH(Elements!E1194,Constants!$V$4:$V$7,0),MATCH(Elements!F1194,Constants!$W$3:$AA$3,0)),0)</f>
        <v>0</v>
      </c>
      <c r="L1194" s="69">
        <f t="shared" si="38"/>
        <v>0</v>
      </c>
    </row>
    <row r="1195" spans="2:12" x14ac:dyDescent="0.85">
      <c r="B1195" s="48">
        <v>1188</v>
      </c>
      <c r="C1195" s="277"/>
      <c r="D1195" s="284"/>
      <c r="E1195" s="44"/>
      <c r="F1195" s="44"/>
      <c r="G1195" s="49">
        <v>1</v>
      </c>
      <c r="H1195" s="73"/>
      <c r="I1195" s="44"/>
      <c r="J1195" s="48">
        <f t="shared" si="37"/>
        <v>1</v>
      </c>
      <c r="K1195" s="48">
        <f>IFERROR(INDEX(TarrifTable,MATCH(Elements!E1195,Constants!$V$4:$V$7,0),MATCH(Elements!F1195,Constants!$W$3:$AA$3,0)),0)</f>
        <v>0</v>
      </c>
      <c r="L1195" s="68">
        <f t="shared" si="38"/>
        <v>0</v>
      </c>
    </row>
    <row r="1196" spans="2:12" x14ac:dyDescent="0.85">
      <c r="B1196" s="46">
        <v>1189</v>
      </c>
      <c r="C1196" s="276"/>
      <c r="D1196" s="283"/>
      <c r="E1196" s="10"/>
      <c r="F1196" s="10"/>
      <c r="G1196" s="47">
        <v>1</v>
      </c>
      <c r="H1196" s="72"/>
      <c r="I1196" s="10"/>
      <c r="J1196" s="46">
        <f t="shared" si="37"/>
        <v>1</v>
      </c>
      <c r="K1196" s="46">
        <f>IFERROR(INDEX(TarrifTable,MATCH(Elements!E1196,Constants!$V$4:$V$7,0),MATCH(Elements!F1196,Constants!$W$3:$AA$3,0)),0)</f>
        <v>0</v>
      </c>
      <c r="L1196" s="69">
        <f t="shared" si="38"/>
        <v>0</v>
      </c>
    </row>
    <row r="1197" spans="2:12" x14ac:dyDescent="0.85">
      <c r="B1197" s="48">
        <v>1190</v>
      </c>
      <c r="C1197" s="277"/>
      <c r="D1197" s="284"/>
      <c r="E1197" s="44"/>
      <c r="F1197" s="44"/>
      <c r="G1197" s="49">
        <v>1</v>
      </c>
      <c r="H1197" s="73"/>
      <c r="I1197" s="44"/>
      <c r="J1197" s="48">
        <f t="shared" si="37"/>
        <v>1</v>
      </c>
      <c r="K1197" s="48">
        <f>IFERROR(INDEX(TarrifTable,MATCH(Elements!E1197,Constants!$V$4:$V$7,0),MATCH(Elements!F1197,Constants!$W$3:$AA$3,0)),0)</f>
        <v>0</v>
      </c>
      <c r="L1197" s="68">
        <f t="shared" si="38"/>
        <v>0</v>
      </c>
    </row>
    <row r="1198" spans="2:12" x14ac:dyDescent="0.85">
      <c r="B1198" s="46">
        <v>1191</v>
      </c>
      <c r="C1198" s="276"/>
      <c r="D1198" s="283"/>
      <c r="E1198" s="10"/>
      <c r="F1198" s="10"/>
      <c r="G1198" s="47">
        <v>1</v>
      </c>
      <c r="H1198" s="72"/>
      <c r="I1198" s="10"/>
      <c r="J1198" s="46">
        <f t="shared" si="37"/>
        <v>1</v>
      </c>
      <c r="K1198" s="46">
        <f>IFERROR(INDEX(TarrifTable,MATCH(Elements!E1198,Constants!$V$4:$V$7,0),MATCH(Elements!F1198,Constants!$W$3:$AA$3,0)),0)</f>
        <v>0</v>
      </c>
      <c r="L1198" s="69">
        <f t="shared" si="38"/>
        <v>0</v>
      </c>
    </row>
    <row r="1199" spans="2:12" x14ac:dyDescent="0.85">
      <c r="B1199" s="48">
        <v>1192</v>
      </c>
      <c r="C1199" s="277"/>
      <c r="D1199" s="284"/>
      <c r="E1199" s="44"/>
      <c r="F1199" s="44"/>
      <c r="G1199" s="49">
        <v>1</v>
      </c>
      <c r="H1199" s="73"/>
      <c r="I1199" s="44"/>
      <c r="J1199" s="48">
        <f t="shared" si="37"/>
        <v>1</v>
      </c>
      <c r="K1199" s="48">
        <f>IFERROR(INDEX(TarrifTable,MATCH(Elements!E1199,Constants!$V$4:$V$7,0),MATCH(Elements!F1199,Constants!$W$3:$AA$3,0)),0)</f>
        <v>0</v>
      </c>
      <c r="L1199" s="68">
        <f t="shared" si="38"/>
        <v>0</v>
      </c>
    </row>
    <row r="1200" spans="2:12" x14ac:dyDescent="0.85">
      <c r="B1200" s="46">
        <v>1193</v>
      </c>
      <c r="C1200" s="276"/>
      <c r="D1200" s="283"/>
      <c r="E1200" s="10"/>
      <c r="F1200" s="10"/>
      <c r="G1200" s="47">
        <v>1</v>
      </c>
      <c r="H1200" s="72"/>
      <c r="I1200" s="10"/>
      <c r="J1200" s="46">
        <f t="shared" si="37"/>
        <v>1</v>
      </c>
      <c r="K1200" s="46">
        <f>IFERROR(INDEX(TarrifTable,MATCH(Elements!E1200,Constants!$V$4:$V$7,0),MATCH(Elements!F1200,Constants!$W$3:$AA$3,0)),0)</f>
        <v>0</v>
      </c>
      <c r="L1200" s="69">
        <f t="shared" si="38"/>
        <v>0</v>
      </c>
    </row>
    <row r="1201" spans="2:12" x14ac:dyDescent="0.85">
      <c r="B1201" s="48">
        <v>1194</v>
      </c>
      <c r="C1201" s="277"/>
      <c r="D1201" s="284"/>
      <c r="E1201" s="44"/>
      <c r="F1201" s="44"/>
      <c r="G1201" s="49">
        <v>1</v>
      </c>
      <c r="H1201" s="73"/>
      <c r="I1201" s="44"/>
      <c r="J1201" s="48">
        <f t="shared" si="37"/>
        <v>1</v>
      </c>
      <c r="K1201" s="48">
        <f>IFERROR(INDEX(TarrifTable,MATCH(Elements!E1201,Constants!$V$4:$V$7,0),MATCH(Elements!F1201,Constants!$W$3:$AA$3,0)),0)</f>
        <v>0</v>
      </c>
      <c r="L1201" s="68">
        <f t="shared" si="38"/>
        <v>0</v>
      </c>
    </row>
    <row r="1202" spans="2:12" x14ac:dyDescent="0.85">
      <c r="B1202" s="46">
        <v>1195</v>
      </c>
      <c r="C1202" s="276"/>
      <c r="D1202" s="283"/>
      <c r="E1202" s="10"/>
      <c r="F1202" s="10"/>
      <c r="G1202" s="47">
        <v>1</v>
      </c>
      <c r="H1202" s="72"/>
      <c r="I1202" s="10"/>
      <c r="J1202" s="46">
        <f t="shared" si="37"/>
        <v>1</v>
      </c>
      <c r="K1202" s="46">
        <f>IFERROR(INDEX(TarrifTable,MATCH(Elements!E1202,Constants!$V$4:$V$7,0),MATCH(Elements!F1202,Constants!$W$3:$AA$3,0)),0)</f>
        <v>0</v>
      </c>
      <c r="L1202" s="69">
        <f t="shared" si="38"/>
        <v>0</v>
      </c>
    </row>
    <row r="1203" spans="2:12" x14ac:dyDescent="0.85">
      <c r="B1203" s="48">
        <v>1196</v>
      </c>
      <c r="C1203" s="277"/>
      <c r="D1203" s="284"/>
      <c r="E1203" s="44"/>
      <c r="F1203" s="44"/>
      <c r="G1203" s="49">
        <v>1</v>
      </c>
      <c r="H1203" s="73"/>
      <c r="I1203" s="44"/>
      <c r="J1203" s="48">
        <f t="shared" si="37"/>
        <v>1</v>
      </c>
      <c r="K1203" s="48">
        <f>IFERROR(INDEX(TarrifTable,MATCH(Elements!E1203,Constants!$V$4:$V$7,0),MATCH(Elements!F1203,Constants!$W$3:$AA$3,0)),0)</f>
        <v>0</v>
      </c>
      <c r="L1203" s="68">
        <f t="shared" si="38"/>
        <v>0</v>
      </c>
    </row>
    <row r="1204" spans="2:12" x14ac:dyDescent="0.85">
      <c r="B1204" s="46">
        <v>1197</v>
      </c>
      <c r="C1204" s="276"/>
      <c r="D1204" s="283"/>
      <c r="E1204" s="10"/>
      <c r="F1204" s="10"/>
      <c r="G1204" s="47">
        <v>1</v>
      </c>
      <c r="H1204" s="72"/>
      <c r="I1204" s="10"/>
      <c r="J1204" s="46">
        <f t="shared" si="37"/>
        <v>1</v>
      </c>
      <c r="K1204" s="46">
        <f>IFERROR(INDEX(TarrifTable,MATCH(Elements!E1204,Constants!$V$4:$V$7,0),MATCH(Elements!F1204,Constants!$W$3:$AA$3,0)),0)</f>
        <v>0</v>
      </c>
      <c r="L1204" s="69">
        <f t="shared" si="38"/>
        <v>0</v>
      </c>
    </row>
    <row r="1205" spans="2:12" x14ac:dyDescent="0.85">
      <c r="B1205" s="48">
        <v>1198</v>
      </c>
      <c r="C1205" s="277"/>
      <c r="D1205" s="284"/>
      <c r="E1205" s="44"/>
      <c r="F1205" s="44"/>
      <c r="G1205" s="49">
        <v>1</v>
      </c>
      <c r="H1205" s="73"/>
      <c r="I1205" s="44"/>
      <c r="J1205" s="48">
        <f t="shared" si="37"/>
        <v>1</v>
      </c>
      <c r="K1205" s="48">
        <f>IFERROR(INDEX(TarrifTable,MATCH(Elements!E1205,Constants!$V$4:$V$7,0),MATCH(Elements!F1205,Constants!$W$3:$AA$3,0)),0)</f>
        <v>0</v>
      </c>
      <c r="L1205" s="68">
        <f t="shared" si="38"/>
        <v>0</v>
      </c>
    </row>
    <row r="1206" spans="2:12" x14ac:dyDescent="0.85">
      <c r="B1206" s="46">
        <v>1199</v>
      </c>
      <c r="C1206" s="276"/>
      <c r="D1206" s="283"/>
      <c r="E1206" s="10"/>
      <c r="F1206" s="10"/>
      <c r="G1206" s="47">
        <v>1</v>
      </c>
      <c r="H1206" s="72"/>
      <c r="I1206" s="10"/>
      <c r="J1206" s="46">
        <f t="shared" si="37"/>
        <v>1</v>
      </c>
      <c r="K1206" s="46">
        <f>IFERROR(INDEX(TarrifTable,MATCH(Elements!E1206,Constants!$V$4:$V$7,0),MATCH(Elements!F1206,Constants!$W$3:$AA$3,0)),0)</f>
        <v>0</v>
      </c>
      <c r="L1206" s="69">
        <f t="shared" si="38"/>
        <v>0</v>
      </c>
    </row>
    <row r="1207" spans="2:12" x14ac:dyDescent="0.85">
      <c r="B1207" s="48">
        <v>1200</v>
      </c>
      <c r="C1207" s="277"/>
      <c r="D1207" s="284"/>
      <c r="E1207" s="44"/>
      <c r="F1207" s="44"/>
      <c r="G1207" s="49">
        <v>1</v>
      </c>
      <c r="H1207" s="73"/>
      <c r="I1207" s="44"/>
      <c r="J1207" s="48">
        <f t="shared" si="37"/>
        <v>1</v>
      </c>
      <c r="K1207" s="48">
        <f>IFERROR(INDEX(TarrifTable,MATCH(Elements!E1207,Constants!$V$4:$V$7,0),MATCH(Elements!F1207,Constants!$W$3:$AA$3,0)),0)</f>
        <v>0</v>
      </c>
      <c r="L1207" s="68">
        <f t="shared" si="38"/>
        <v>0</v>
      </c>
    </row>
    <row r="1208" spans="2:12" x14ac:dyDescent="0.85">
      <c r="B1208" s="46">
        <v>1201</v>
      </c>
      <c r="C1208" s="276"/>
      <c r="D1208" s="283"/>
      <c r="E1208" s="10"/>
      <c r="F1208" s="10"/>
      <c r="G1208" s="47">
        <v>1</v>
      </c>
      <c r="H1208" s="72"/>
      <c r="I1208" s="10"/>
      <c r="J1208" s="46">
        <f t="shared" si="37"/>
        <v>1</v>
      </c>
      <c r="K1208" s="46">
        <f>IFERROR(INDEX(TarrifTable,MATCH(Elements!E1208,Constants!$V$4:$V$7,0),MATCH(Elements!F1208,Constants!$W$3:$AA$3,0)),0)</f>
        <v>0</v>
      </c>
      <c r="L1208" s="69">
        <f t="shared" si="38"/>
        <v>0</v>
      </c>
    </row>
    <row r="1209" spans="2:12" x14ac:dyDescent="0.85">
      <c r="B1209" s="48">
        <v>1202</v>
      </c>
      <c r="C1209" s="277"/>
      <c r="D1209" s="284"/>
      <c r="E1209" s="44"/>
      <c r="F1209" s="44"/>
      <c r="G1209" s="49">
        <v>1</v>
      </c>
      <c r="H1209" s="73"/>
      <c r="I1209" s="44"/>
      <c r="J1209" s="48">
        <f t="shared" si="37"/>
        <v>1</v>
      </c>
      <c r="K1209" s="48">
        <f>IFERROR(INDEX(TarrifTable,MATCH(Elements!E1209,Constants!$V$4:$V$7,0),MATCH(Elements!F1209,Constants!$W$3:$AA$3,0)),0)</f>
        <v>0</v>
      </c>
      <c r="L1209" s="68">
        <f t="shared" si="38"/>
        <v>0</v>
      </c>
    </row>
    <row r="1210" spans="2:12" x14ac:dyDescent="0.85">
      <c r="B1210" s="46">
        <v>1203</v>
      </c>
      <c r="C1210" s="276"/>
      <c r="D1210" s="283"/>
      <c r="E1210" s="10"/>
      <c r="F1210" s="10"/>
      <c r="G1210" s="47">
        <v>1</v>
      </c>
      <c r="H1210" s="72"/>
      <c r="I1210" s="10"/>
      <c r="J1210" s="46">
        <f t="shared" si="37"/>
        <v>1</v>
      </c>
      <c r="K1210" s="46">
        <f>IFERROR(INDEX(TarrifTable,MATCH(Elements!E1210,Constants!$V$4:$V$7,0),MATCH(Elements!F1210,Constants!$W$3:$AA$3,0)),0)</f>
        <v>0</v>
      </c>
      <c r="L1210" s="69">
        <f t="shared" si="38"/>
        <v>0</v>
      </c>
    </row>
    <row r="1211" spans="2:12" x14ac:dyDescent="0.85">
      <c r="B1211" s="48">
        <v>1204</v>
      </c>
      <c r="C1211" s="277"/>
      <c r="D1211" s="284"/>
      <c r="E1211" s="44"/>
      <c r="F1211" s="44"/>
      <c r="G1211" s="49">
        <v>1</v>
      </c>
      <c r="H1211" s="73"/>
      <c r="I1211" s="44"/>
      <c r="J1211" s="48">
        <f t="shared" si="37"/>
        <v>1</v>
      </c>
      <c r="K1211" s="48">
        <f>IFERROR(INDEX(TarrifTable,MATCH(Elements!E1211,Constants!$V$4:$V$7,0),MATCH(Elements!F1211,Constants!$W$3:$AA$3,0)),0)</f>
        <v>0</v>
      </c>
      <c r="L1211" s="68">
        <f t="shared" si="38"/>
        <v>0</v>
      </c>
    </row>
    <row r="1212" spans="2:12" x14ac:dyDescent="0.85">
      <c r="B1212" s="46">
        <v>1205</v>
      </c>
      <c r="C1212" s="276"/>
      <c r="D1212" s="283"/>
      <c r="E1212" s="10"/>
      <c r="F1212" s="10"/>
      <c r="G1212" s="47">
        <v>1</v>
      </c>
      <c r="H1212" s="72"/>
      <c r="I1212" s="10"/>
      <c r="J1212" s="46">
        <f t="shared" si="37"/>
        <v>1</v>
      </c>
      <c r="K1212" s="46">
        <f>IFERROR(INDEX(TarrifTable,MATCH(Elements!E1212,Constants!$V$4:$V$7,0),MATCH(Elements!F1212,Constants!$W$3:$AA$3,0)),0)</f>
        <v>0</v>
      </c>
      <c r="L1212" s="69">
        <f t="shared" si="38"/>
        <v>0</v>
      </c>
    </row>
    <row r="1213" spans="2:12" x14ac:dyDescent="0.85">
      <c r="B1213" s="48">
        <v>1206</v>
      </c>
      <c r="C1213" s="277"/>
      <c r="D1213" s="284"/>
      <c r="E1213" s="44"/>
      <c r="F1213" s="44"/>
      <c r="G1213" s="49">
        <v>1</v>
      </c>
      <c r="H1213" s="73"/>
      <c r="I1213" s="44"/>
      <c r="J1213" s="48">
        <f t="shared" si="37"/>
        <v>1</v>
      </c>
      <c r="K1213" s="48">
        <f>IFERROR(INDEX(TarrifTable,MATCH(Elements!E1213,Constants!$V$4:$V$7,0),MATCH(Elements!F1213,Constants!$W$3:$AA$3,0)),0)</f>
        <v>0</v>
      </c>
      <c r="L1213" s="68">
        <f t="shared" si="38"/>
        <v>0</v>
      </c>
    </row>
    <row r="1214" spans="2:12" x14ac:dyDescent="0.85">
      <c r="B1214" s="46">
        <v>1207</v>
      </c>
      <c r="C1214" s="276"/>
      <c r="D1214" s="283"/>
      <c r="E1214" s="10"/>
      <c r="F1214" s="10"/>
      <c r="G1214" s="47">
        <v>1</v>
      </c>
      <c r="H1214" s="72"/>
      <c r="I1214" s="10"/>
      <c r="J1214" s="46">
        <f t="shared" si="37"/>
        <v>1</v>
      </c>
      <c r="K1214" s="46">
        <f>IFERROR(INDEX(TarrifTable,MATCH(Elements!E1214,Constants!$V$4:$V$7,0),MATCH(Elements!F1214,Constants!$W$3:$AA$3,0)),0)</f>
        <v>0</v>
      </c>
      <c r="L1214" s="69">
        <f t="shared" si="38"/>
        <v>0</v>
      </c>
    </row>
    <row r="1215" spans="2:12" x14ac:dyDescent="0.85">
      <c r="B1215" s="48">
        <v>1208</v>
      </c>
      <c r="C1215" s="277"/>
      <c r="D1215" s="284"/>
      <c r="E1215" s="44"/>
      <c r="F1215" s="44"/>
      <c r="G1215" s="49">
        <v>1</v>
      </c>
      <c r="H1215" s="73"/>
      <c r="I1215" s="44"/>
      <c r="J1215" s="48">
        <f t="shared" si="37"/>
        <v>1</v>
      </c>
      <c r="K1215" s="48">
        <f>IFERROR(INDEX(TarrifTable,MATCH(Elements!E1215,Constants!$V$4:$V$7,0),MATCH(Elements!F1215,Constants!$W$3:$AA$3,0)),0)</f>
        <v>0</v>
      </c>
      <c r="L1215" s="68">
        <f t="shared" si="38"/>
        <v>0</v>
      </c>
    </row>
    <row r="1216" spans="2:12" x14ac:dyDescent="0.85">
      <c r="B1216" s="46">
        <v>1209</v>
      </c>
      <c r="C1216" s="276"/>
      <c r="D1216" s="283"/>
      <c r="E1216" s="10"/>
      <c r="F1216" s="10"/>
      <c r="G1216" s="47">
        <v>1</v>
      </c>
      <c r="H1216" s="72"/>
      <c r="I1216" s="10"/>
      <c r="J1216" s="46">
        <f t="shared" si="37"/>
        <v>1</v>
      </c>
      <c r="K1216" s="46">
        <f>IFERROR(INDEX(TarrifTable,MATCH(Elements!E1216,Constants!$V$4:$V$7,0),MATCH(Elements!F1216,Constants!$W$3:$AA$3,0)),0)</f>
        <v>0</v>
      </c>
      <c r="L1216" s="69">
        <f t="shared" si="38"/>
        <v>0</v>
      </c>
    </row>
    <row r="1217" spans="2:12" x14ac:dyDescent="0.85">
      <c r="B1217" s="48">
        <v>1210</v>
      </c>
      <c r="C1217" s="277"/>
      <c r="D1217" s="284"/>
      <c r="E1217" s="44"/>
      <c r="F1217" s="44"/>
      <c r="G1217" s="49">
        <v>1</v>
      </c>
      <c r="H1217" s="73"/>
      <c r="I1217" s="44"/>
      <c r="J1217" s="48">
        <f t="shared" si="37"/>
        <v>1</v>
      </c>
      <c r="K1217" s="48">
        <f>IFERROR(INDEX(TarrifTable,MATCH(Elements!E1217,Constants!$V$4:$V$7,0),MATCH(Elements!F1217,Constants!$W$3:$AA$3,0)),0)</f>
        <v>0</v>
      </c>
      <c r="L1217" s="68">
        <f t="shared" si="38"/>
        <v>0</v>
      </c>
    </row>
    <row r="1218" spans="2:12" x14ac:dyDescent="0.85">
      <c r="B1218" s="46">
        <v>1211</v>
      </c>
      <c r="C1218" s="276"/>
      <c r="D1218" s="283"/>
      <c r="E1218" s="10"/>
      <c r="F1218" s="10"/>
      <c r="G1218" s="47">
        <v>1</v>
      </c>
      <c r="H1218" s="72"/>
      <c r="I1218" s="10"/>
      <c r="J1218" s="46">
        <f t="shared" si="37"/>
        <v>1</v>
      </c>
      <c r="K1218" s="46">
        <f>IFERROR(INDEX(TarrifTable,MATCH(Elements!E1218,Constants!$V$4:$V$7,0),MATCH(Elements!F1218,Constants!$W$3:$AA$3,0)),0)</f>
        <v>0</v>
      </c>
      <c r="L1218" s="69">
        <f t="shared" si="38"/>
        <v>0</v>
      </c>
    </row>
    <row r="1219" spans="2:12" x14ac:dyDescent="0.85">
      <c r="B1219" s="48">
        <v>1212</v>
      </c>
      <c r="C1219" s="277"/>
      <c r="D1219" s="284"/>
      <c r="E1219" s="44"/>
      <c r="F1219" s="44"/>
      <c r="G1219" s="49">
        <v>1</v>
      </c>
      <c r="H1219" s="73"/>
      <c r="I1219" s="44"/>
      <c r="J1219" s="48">
        <f t="shared" si="37"/>
        <v>1</v>
      </c>
      <c r="K1219" s="48">
        <f>IFERROR(INDEX(TarrifTable,MATCH(Elements!E1219,Constants!$V$4:$V$7,0),MATCH(Elements!F1219,Constants!$W$3:$AA$3,0)),0)</f>
        <v>0</v>
      </c>
      <c r="L1219" s="68">
        <f t="shared" si="38"/>
        <v>0</v>
      </c>
    </row>
    <row r="1220" spans="2:12" x14ac:dyDescent="0.85">
      <c r="B1220" s="46">
        <v>1213</v>
      </c>
      <c r="C1220" s="276"/>
      <c r="D1220" s="283"/>
      <c r="E1220" s="10"/>
      <c r="F1220" s="10"/>
      <c r="G1220" s="47">
        <v>1</v>
      </c>
      <c r="H1220" s="72"/>
      <c r="I1220" s="10"/>
      <c r="J1220" s="46">
        <f t="shared" si="37"/>
        <v>1</v>
      </c>
      <c r="K1220" s="46">
        <f>IFERROR(INDEX(TarrifTable,MATCH(Elements!E1220,Constants!$V$4:$V$7,0),MATCH(Elements!F1220,Constants!$W$3:$AA$3,0)),0)</f>
        <v>0</v>
      </c>
      <c r="L1220" s="69">
        <f t="shared" si="38"/>
        <v>0</v>
      </c>
    </row>
    <row r="1221" spans="2:12" x14ac:dyDescent="0.85">
      <c r="B1221" s="48">
        <v>1214</v>
      </c>
      <c r="C1221" s="277"/>
      <c r="D1221" s="284"/>
      <c r="E1221" s="44"/>
      <c r="F1221" s="44"/>
      <c r="G1221" s="49">
        <v>1</v>
      </c>
      <c r="H1221" s="73"/>
      <c r="I1221" s="44"/>
      <c r="J1221" s="48">
        <f t="shared" si="37"/>
        <v>1</v>
      </c>
      <c r="K1221" s="48">
        <f>IFERROR(INDEX(TarrifTable,MATCH(Elements!E1221,Constants!$V$4:$V$7,0),MATCH(Elements!F1221,Constants!$W$3:$AA$3,0)),0)</f>
        <v>0</v>
      </c>
      <c r="L1221" s="68">
        <f t="shared" si="38"/>
        <v>0</v>
      </c>
    </row>
    <row r="1222" spans="2:12" x14ac:dyDescent="0.85">
      <c r="B1222" s="46">
        <v>1215</v>
      </c>
      <c r="C1222" s="276"/>
      <c r="D1222" s="283"/>
      <c r="E1222" s="10"/>
      <c r="F1222" s="10"/>
      <c r="G1222" s="47">
        <v>1</v>
      </c>
      <c r="H1222" s="72"/>
      <c r="I1222" s="10"/>
      <c r="J1222" s="46">
        <f t="shared" si="37"/>
        <v>1</v>
      </c>
      <c r="K1222" s="46">
        <f>IFERROR(INDEX(TarrifTable,MATCH(Elements!E1222,Constants!$V$4:$V$7,0),MATCH(Elements!F1222,Constants!$W$3:$AA$3,0)),0)</f>
        <v>0</v>
      </c>
      <c r="L1222" s="69">
        <f t="shared" si="38"/>
        <v>0</v>
      </c>
    </row>
    <row r="1223" spans="2:12" x14ac:dyDescent="0.85">
      <c r="B1223" s="48">
        <v>1216</v>
      </c>
      <c r="C1223" s="277"/>
      <c r="D1223" s="284"/>
      <c r="E1223" s="44"/>
      <c r="F1223" s="44"/>
      <c r="G1223" s="49">
        <v>1</v>
      </c>
      <c r="H1223" s="73"/>
      <c r="I1223" s="44"/>
      <c r="J1223" s="48">
        <f t="shared" si="37"/>
        <v>1</v>
      </c>
      <c r="K1223" s="48">
        <f>IFERROR(INDEX(TarrifTable,MATCH(Elements!E1223,Constants!$V$4:$V$7,0),MATCH(Elements!F1223,Constants!$W$3:$AA$3,0)),0)</f>
        <v>0</v>
      </c>
      <c r="L1223" s="68">
        <f t="shared" si="38"/>
        <v>0</v>
      </c>
    </row>
    <row r="1224" spans="2:12" x14ac:dyDescent="0.85">
      <c r="B1224" s="46">
        <v>1217</v>
      </c>
      <c r="C1224" s="276"/>
      <c r="D1224" s="283"/>
      <c r="E1224" s="10"/>
      <c r="F1224" s="10"/>
      <c r="G1224" s="47">
        <v>1</v>
      </c>
      <c r="H1224" s="72"/>
      <c r="I1224" s="10"/>
      <c r="J1224" s="46">
        <f t="shared" ref="J1224:J1287" si="39">IF(ISBLANK(H1224),1,H1224)</f>
        <v>1</v>
      </c>
      <c r="K1224" s="46">
        <f>IFERROR(INDEX(TarrifTable,MATCH(Elements!E1224,Constants!$V$4:$V$7,0),MATCH(Elements!F1224,Constants!$W$3:$AA$3,0)),0)</f>
        <v>0</v>
      </c>
      <c r="L1224" s="69">
        <f t="shared" ref="L1224:L1287" si="40">J1224*G1224*K1224</f>
        <v>0</v>
      </c>
    </row>
    <row r="1225" spans="2:12" x14ac:dyDescent="0.85">
      <c r="B1225" s="48">
        <v>1218</v>
      </c>
      <c r="C1225" s="277"/>
      <c r="D1225" s="284"/>
      <c r="E1225" s="44"/>
      <c r="F1225" s="44"/>
      <c r="G1225" s="49">
        <v>1</v>
      </c>
      <c r="H1225" s="73"/>
      <c r="I1225" s="44"/>
      <c r="J1225" s="48">
        <f t="shared" si="39"/>
        <v>1</v>
      </c>
      <c r="K1225" s="48">
        <f>IFERROR(INDEX(TarrifTable,MATCH(Elements!E1225,Constants!$V$4:$V$7,0),MATCH(Elements!F1225,Constants!$W$3:$AA$3,0)),0)</f>
        <v>0</v>
      </c>
      <c r="L1225" s="68">
        <f t="shared" si="40"/>
        <v>0</v>
      </c>
    </row>
    <row r="1226" spans="2:12" x14ac:dyDescent="0.85">
      <c r="B1226" s="46">
        <v>1219</v>
      </c>
      <c r="C1226" s="276"/>
      <c r="D1226" s="283"/>
      <c r="E1226" s="10"/>
      <c r="F1226" s="10"/>
      <c r="G1226" s="47">
        <v>1</v>
      </c>
      <c r="H1226" s="72"/>
      <c r="I1226" s="10"/>
      <c r="J1226" s="46">
        <f t="shared" si="39"/>
        <v>1</v>
      </c>
      <c r="K1226" s="46">
        <f>IFERROR(INDEX(TarrifTable,MATCH(Elements!E1226,Constants!$V$4:$V$7,0),MATCH(Elements!F1226,Constants!$W$3:$AA$3,0)),0)</f>
        <v>0</v>
      </c>
      <c r="L1226" s="69">
        <f t="shared" si="40"/>
        <v>0</v>
      </c>
    </row>
    <row r="1227" spans="2:12" x14ac:dyDescent="0.85">
      <c r="B1227" s="48">
        <v>1220</v>
      </c>
      <c r="C1227" s="277"/>
      <c r="D1227" s="284"/>
      <c r="E1227" s="44"/>
      <c r="F1227" s="44"/>
      <c r="G1227" s="49">
        <v>1</v>
      </c>
      <c r="H1227" s="73"/>
      <c r="I1227" s="44"/>
      <c r="J1227" s="48">
        <f t="shared" si="39"/>
        <v>1</v>
      </c>
      <c r="K1227" s="48">
        <f>IFERROR(INDEX(TarrifTable,MATCH(Elements!E1227,Constants!$V$4:$V$7,0),MATCH(Elements!F1227,Constants!$W$3:$AA$3,0)),0)</f>
        <v>0</v>
      </c>
      <c r="L1227" s="68">
        <f t="shared" si="40"/>
        <v>0</v>
      </c>
    </row>
    <row r="1228" spans="2:12" x14ac:dyDescent="0.85">
      <c r="B1228" s="46">
        <v>1221</v>
      </c>
      <c r="C1228" s="276"/>
      <c r="D1228" s="283"/>
      <c r="E1228" s="10"/>
      <c r="F1228" s="10"/>
      <c r="G1228" s="47">
        <v>1</v>
      </c>
      <c r="H1228" s="72"/>
      <c r="I1228" s="10"/>
      <c r="J1228" s="46">
        <f t="shared" si="39"/>
        <v>1</v>
      </c>
      <c r="K1228" s="46">
        <f>IFERROR(INDEX(TarrifTable,MATCH(Elements!E1228,Constants!$V$4:$V$7,0),MATCH(Elements!F1228,Constants!$W$3:$AA$3,0)),0)</f>
        <v>0</v>
      </c>
      <c r="L1228" s="69">
        <f t="shared" si="40"/>
        <v>0</v>
      </c>
    </row>
    <row r="1229" spans="2:12" x14ac:dyDescent="0.85">
      <c r="B1229" s="48">
        <v>1222</v>
      </c>
      <c r="C1229" s="277"/>
      <c r="D1229" s="284"/>
      <c r="E1229" s="44"/>
      <c r="F1229" s="44"/>
      <c r="G1229" s="49">
        <v>1</v>
      </c>
      <c r="H1229" s="73"/>
      <c r="I1229" s="44"/>
      <c r="J1229" s="48">
        <f t="shared" si="39"/>
        <v>1</v>
      </c>
      <c r="K1229" s="48">
        <f>IFERROR(INDEX(TarrifTable,MATCH(Elements!E1229,Constants!$V$4:$V$7,0),MATCH(Elements!F1229,Constants!$W$3:$AA$3,0)),0)</f>
        <v>0</v>
      </c>
      <c r="L1229" s="68">
        <f t="shared" si="40"/>
        <v>0</v>
      </c>
    </row>
    <row r="1230" spans="2:12" x14ac:dyDescent="0.85">
      <c r="B1230" s="46">
        <v>1223</v>
      </c>
      <c r="C1230" s="276"/>
      <c r="D1230" s="283"/>
      <c r="E1230" s="10"/>
      <c r="F1230" s="10"/>
      <c r="G1230" s="47">
        <v>1</v>
      </c>
      <c r="H1230" s="72"/>
      <c r="I1230" s="10"/>
      <c r="J1230" s="46">
        <f t="shared" si="39"/>
        <v>1</v>
      </c>
      <c r="K1230" s="46">
        <f>IFERROR(INDEX(TarrifTable,MATCH(Elements!E1230,Constants!$V$4:$V$7,0),MATCH(Elements!F1230,Constants!$W$3:$AA$3,0)),0)</f>
        <v>0</v>
      </c>
      <c r="L1230" s="69">
        <f t="shared" si="40"/>
        <v>0</v>
      </c>
    </row>
    <row r="1231" spans="2:12" x14ac:dyDescent="0.85">
      <c r="B1231" s="48">
        <v>1224</v>
      </c>
      <c r="C1231" s="277"/>
      <c r="D1231" s="284"/>
      <c r="E1231" s="44"/>
      <c r="F1231" s="44"/>
      <c r="G1231" s="49">
        <v>1</v>
      </c>
      <c r="H1231" s="73"/>
      <c r="I1231" s="44"/>
      <c r="J1231" s="48">
        <f t="shared" si="39"/>
        <v>1</v>
      </c>
      <c r="K1231" s="48">
        <f>IFERROR(INDEX(TarrifTable,MATCH(Elements!E1231,Constants!$V$4:$V$7,0),MATCH(Elements!F1231,Constants!$W$3:$AA$3,0)),0)</f>
        <v>0</v>
      </c>
      <c r="L1231" s="68">
        <f t="shared" si="40"/>
        <v>0</v>
      </c>
    </row>
    <row r="1232" spans="2:12" x14ac:dyDescent="0.85">
      <c r="B1232" s="46">
        <v>1225</v>
      </c>
      <c r="C1232" s="276"/>
      <c r="D1232" s="283"/>
      <c r="E1232" s="10"/>
      <c r="F1232" s="10"/>
      <c r="G1232" s="47">
        <v>1</v>
      </c>
      <c r="H1232" s="72"/>
      <c r="I1232" s="10"/>
      <c r="J1232" s="46">
        <f t="shared" si="39"/>
        <v>1</v>
      </c>
      <c r="K1232" s="46">
        <f>IFERROR(INDEX(TarrifTable,MATCH(Elements!E1232,Constants!$V$4:$V$7,0),MATCH(Elements!F1232,Constants!$W$3:$AA$3,0)),0)</f>
        <v>0</v>
      </c>
      <c r="L1232" s="69">
        <f t="shared" si="40"/>
        <v>0</v>
      </c>
    </row>
    <row r="1233" spans="2:12" x14ac:dyDescent="0.85">
      <c r="B1233" s="48">
        <v>1226</v>
      </c>
      <c r="C1233" s="277"/>
      <c r="D1233" s="284"/>
      <c r="E1233" s="44"/>
      <c r="F1233" s="44"/>
      <c r="G1233" s="49">
        <v>1</v>
      </c>
      <c r="H1233" s="73"/>
      <c r="I1233" s="44"/>
      <c r="J1233" s="48">
        <f t="shared" si="39"/>
        <v>1</v>
      </c>
      <c r="K1233" s="48">
        <f>IFERROR(INDEX(TarrifTable,MATCH(Elements!E1233,Constants!$V$4:$V$7,0),MATCH(Elements!F1233,Constants!$W$3:$AA$3,0)),0)</f>
        <v>0</v>
      </c>
      <c r="L1233" s="68">
        <f t="shared" si="40"/>
        <v>0</v>
      </c>
    </row>
    <row r="1234" spans="2:12" x14ac:dyDescent="0.85">
      <c r="B1234" s="46">
        <v>1227</v>
      </c>
      <c r="C1234" s="276"/>
      <c r="D1234" s="283"/>
      <c r="E1234" s="10"/>
      <c r="F1234" s="10"/>
      <c r="G1234" s="47">
        <v>1</v>
      </c>
      <c r="H1234" s="72"/>
      <c r="I1234" s="10"/>
      <c r="J1234" s="46">
        <f t="shared" si="39"/>
        <v>1</v>
      </c>
      <c r="K1234" s="46">
        <f>IFERROR(INDEX(TarrifTable,MATCH(Elements!E1234,Constants!$V$4:$V$7,0),MATCH(Elements!F1234,Constants!$W$3:$AA$3,0)),0)</f>
        <v>0</v>
      </c>
      <c r="L1234" s="69">
        <f t="shared" si="40"/>
        <v>0</v>
      </c>
    </row>
    <row r="1235" spans="2:12" x14ac:dyDescent="0.85">
      <c r="B1235" s="48">
        <v>1228</v>
      </c>
      <c r="C1235" s="277"/>
      <c r="D1235" s="284"/>
      <c r="E1235" s="44"/>
      <c r="F1235" s="44"/>
      <c r="G1235" s="49">
        <v>1</v>
      </c>
      <c r="H1235" s="73"/>
      <c r="I1235" s="44"/>
      <c r="J1235" s="48">
        <f t="shared" si="39"/>
        <v>1</v>
      </c>
      <c r="K1235" s="48">
        <f>IFERROR(INDEX(TarrifTable,MATCH(Elements!E1235,Constants!$V$4:$V$7,0),MATCH(Elements!F1235,Constants!$W$3:$AA$3,0)),0)</f>
        <v>0</v>
      </c>
      <c r="L1235" s="68">
        <f t="shared" si="40"/>
        <v>0</v>
      </c>
    </row>
    <row r="1236" spans="2:12" x14ac:dyDescent="0.85">
      <c r="B1236" s="46">
        <v>1229</v>
      </c>
      <c r="C1236" s="276"/>
      <c r="D1236" s="283"/>
      <c r="E1236" s="10"/>
      <c r="F1236" s="10"/>
      <c r="G1236" s="47">
        <v>1</v>
      </c>
      <c r="H1236" s="72"/>
      <c r="I1236" s="10"/>
      <c r="J1236" s="46">
        <f t="shared" si="39"/>
        <v>1</v>
      </c>
      <c r="K1236" s="46">
        <f>IFERROR(INDEX(TarrifTable,MATCH(Elements!E1236,Constants!$V$4:$V$7,0),MATCH(Elements!F1236,Constants!$W$3:$AA$3,0)),0)</f>
        <v>0</v>
      </c>
      <c r="L1236" s="69">
        <f t="shared" si="40"/>
        <v>0</v>
      </c>
    </row>
    <row r="1237" spans="2:12" x14ac:dyDescent="0.85">
      <c r="B1237" s="48">
        <v>1230</v>
      </c>
      <c r="C1237" s="277"/>
      <c r="D1237" s="284"/>
      <c r="E1237" s="44"/>
      <c r="F1237" s="44"/>
      <c r="G1237" s="49">
        <v>1</v>
      </c>
      <c r="H1237" s="73"/>
      <c r="I1237" s="44"/>
      <c r="J1237" s="48">
        <f t="shared" si="39"/>
        <v>1</v>
      </c>
      <c r="K1237" s="48">
        <f>IFERROR(INDEX(TarrifTable,MATCH(Elements!E1237,Constants!$V$4:$V$7,0),MATCH(Elements!F1237,Constants!$W$3:$AA$3,0)),0)</f>
        <v>0</v>
      </c>
      <c r="L1237" s="68">
        <f t="shared" si="40"/>
        <v>0</v>
      </c>
    </row>
    <row r="1238" spans="2:12" x14ac:dyDescent="0.85">
      <c r="B1238" s="46">
        <v>1231</v>
      </c>
      <c r="C1238" s="276"/>
      <c r="D1238" s="283"/>
      <c r="E1238" s="10"/>
      <c r="F1238" s="10"/>
      <c r="G1238" s="47">
        <v>1</v>
      </c>
      <c r="H1238" s="72"/>
      <c r="I1238" s="10"/>
      <c r="J1238" s="46">
        <f t="shared" si="39"/>
        <v>1</v>
      </c>
      <c r="K1238" s="46">
        <f>IFERROR(INDEX(TarrifTable,MATCH(Elements!E1238,Constants!$V$4:$V$7,0),MATCH(Elements!F1238,Constants!$W$3:$AA$3,0)),0)</f>
        <v>0</v>
      </c>
      <c r="L1238" s="69">
        <f t="shared" si="40"/>
        <v>0</v>
      </c>
    </row>
    <row r="1239" spans="2:12" x14ac:dyDescent="0.85">
      <c r="B1239" s="48">
        <v>1232</v>
      </c>
      <c r="C1239" s="277"/>
      <c r="D1239" s="284"/>
      <c r="E1239" s="44"/>
      <c r="F1239" s="44"/>
      <c r="G1239" s="49">
        <v>1</v>
      </c>
      <c r="H1239" s="73"/>
      <c r="I1239" s="44"/>
      <c r="J1239" s="48">
        <f t="shared" si="39"/>
        <v>1</v>
      </c>
      <c r="K1239" s="48">
        <f>IFERROR(INDEX(TarrifTable,MATCH(Elements!E1239,Constants!$V$4:$V$7,0),MATCH(Elements!F1239,Constants!$W$3:$AA$3,0)),0)</f>
        <v>0</v>
      </c>
      <c r="L1239" s="68">
        <f t="shared" si="40"/>
        <v>0</v>
      </c>
    </row>
    <row r="1240" spans="2:12" x14ac:dyDescent="0.85">
      <c r="B1240" s="46">
        <v>1233</v>
      </c>
      <c r="C1240" s="276"/>
      <c r="D1240" s="283"/>
      <c r="E1240" s="10"/>
      <c r="F1240" s="10"/>
      <c r="G1240" s="47">
        <v>1</v>
      </c>
      <c r="H1240" s="72"/>
      <c r="I1240" s="10"/>
      <c r="J1240" s="46">
        <f t="shared" si="39"/>
        <v>1</v>
      </c>
      <c r="K1240" s="46">
        <f>IFERROR(INDEX(TarrifTable,MATCH(Elements!E1240,Constants!$V$4:$V$7,0),MATCH(Elements!F1240,Constants!$W$3:$AA$3,0)),0)</f>
        <v>0</v>
      </c>
      <c r="L1240" s="69">
        <f t="shared" si="40"/>
        <v>0</v>
      </c>
    </row>
    <row r="1241" spans="2:12" x14ac:dyDescent="0.85">
      <c r="B1241" s="48">
        <v>1234</v>
      </c>
      <c r="C1241" s="277"/>
      <c r="D1241" s="284"/>
      <c r="E1241" s="44"/>
      <c r="F1241" s="44"/>
      <c r="G1241" s="49">
        <v>1</v>
      </c>
      <c r="H1241" s="73"/>
      <c r="I1241" s="44"/>
      <c r="J1241" s="48">
        <f t="shared" si="39"/>
        <v>1</v>
      </c>
      <c r="K1241" s="48">
        <f>IFERROR(INDEX(TarrifTable,MATCH(Elements!E1241,Constants!$V$4:$V$7,0),MATCH(Elements!F1241,Constants!$W$3:$AA$3,0)),0)</f>
        <v>0</v>
      </c>
      <c r="L1241" s="68">
        <f t="shared" si="40"/>
        <v>0</v>
      </c>
    </row>
    <row r="1242" spans="2:12" x14ac:dyDescent="0.85">
      <c r="B1242" s="46">
        <v>1235</v>
      </c>
      <c r="C1242" s="276"/>
      <c r="D1242" s="283"/>
      <c r="E1242" s="10"/>
      <c r="F1242" s="10"/>
      <c r="G1242" s="47">
        <v>1</v>
      </c>
      <c r="H1242" s="72"/>
      <c r="I1242" s="10"/>
      <c r="J1242" s="46">
        <f t="shared" si="39"/>
        <v>1</v>
      </c>
      <c r="K1242" s="46">
        <f>IFERROR(INDEX(TarrifTable,MATCH(Elements!E1242,Constants!$V$4:$V$7,0),MATCH(Elements!F1242,Constants!$W$3:$AA$3,0)),0)</f>
        <v>0</v>
      </c>
      <c r="L1242" s="69">
        <f t="shared" si="40"/>
        <v>0</v>
      </c>
    </row>
    <row r="1243" spans="2:12" x14ac:dyDescent="0.85">
      <c r="B1243" s="48">
        <v>1236</v>
      </c>
      <c r="C1243" s="277"/>
      <c r="D1243" s="284"/>
      <c r="E1243" s="44"/>
      <c r="F1243" s="44"/>
      <c r="G1243" s="49">
        <v>1</v>
      </c>
      <c r="H1243" s="73"/>
      <c r="I1243" s="44"/>
      <c r="J1243" s="48">
        <f t="shared" si="39"/>
        <v>1</v>
      </c>
      <c r="K1243" s="48">
        <f>IFERROR(INDEX(TarrifTable,MATCH(Elements!E1243,Constants!$V$4:$V$7,0),MATCH(Elements!F1243,Constants!$W$3:$AA$3,0)),0)</f>
        <v>0</v>
      </c>
      <c r="L1243" s="68">
        <f t="shared" si="40"/>
        <v>0</v>
      </c>
    </row>
    <row r="1244" spans="2:12" x14ac:dyDescent="0.85">
      <c r="B1244" s="46">
        <v>1237</v>
      </c>
      <c r="C1244" s="276"/>
      <c r="D1244" s="283"/>
      <c r="E1244" s="10"/>
      <c r="F1244" s="10"/>
      <c r="G1244" s="47">
        <v>1</v>
      </c>
      <c r="H1244" s="72"/>
      <c r="I1244" s="10"/>
      <c r="J1244" s="46">
        <f t="shared" si="39"/>
        <v>1</v>
      </c>
      <c r="K1244" s="46">
        <f>IFERROR(INDEX(TarrifTable,MATCH(Elements!E1244,Constants!$V$4:$V$7,0),MATCH(Elements!F1244,Constants!$W$3:$AA$3,0)),0)</f>
        <v>0</v>
      </c>
      <c r="L1244" s="69">
        <f t="shared" si="40"/>
        <v>0</v>
      </c>
    </row>
    <row r="1245" spans="2:12" x14ac:dyDescent="0.85">
      <c r="B1245" s="48">
        <v>1238</v>
      </c>
      <c r="C1245" s="277"/>
      <c r="D1245" s="284"/>
      <c r="E1245" s="44"/>
      <c r="F1245" s="44"/>
      <c r="G1245" s="49">
        <v>1</v>
      </c>
      <c r="H1245" s="73"/>
      <c r="I1245" s="44"/>
      <c r="J1245" s="48">
        <f t="shared" si="39"/>
        <v>1</v>
      </c>
      <c r="K1245" s="48">
        <f>IFERROR(INDEX(TarrifTable,MATCH(Elements!E1245,Constants!$V$4:$V$7,0),MATCH(Elements!F1245,Constants!$W$3:$AA$3,0)),0)</f>
        <v>0</v>
      </c>
      <c r="L1245" s="68">
        <f t="shared" si="40"/>
        <v>0</v>
      </c>
    </row>
    <row r="1246" spans="2:12" x14ac:dyDescent="0.85">
      <c r="B1246" s="46">
        <v>1239</v>
      </c>
      <c r="C1246" s="276"/>
      <c r="D1246" s="283"/>
      <c r="E1246" s="10"/>
      <c r="F1246" s="10"/>
      <c r="G1246" s="47">
        <v>1</v>
      </c>
      <c r="H1246" s="72"/>
      <c r="I1246" s="10"/>
      <c r="J1246" s="46">
        <f t="shared" si="39"/>
        <v>1</v>
      </c>
      <c r="K1246" s="46">
        <f>IFERROR(INDEX(TarrifTable,MATCH(Elements!E1246,Constants!$V$4:$V$7,0),MATCH(Elements!F1246,Constants!$W$3:$AA$3,0)),0)</f>
        <v>0</v>
      </c>
      <c r="L1246" s="69">
        <f t="shared" si="40"/>
        <v>0</v>
      </c>
    </row>
    <row r="1247" spans="2:12" x14ac:dyDescent="0.85">
      <c r="B1247" s="48">
        <v>1240</v>
      </c>
      <c r="C1247" s="277"/>
      <c r="D1247" s="284"/>
      <c r="E1247" s="44"/>
      <c r="F1247" s="44"/>
      <c r="G1247" s="49">
        <v>1</v>
      </c>
      <c r="H1247" s="73"/>
      <c r="I1247" s="44"/>
      <c r="J1247" s="48">
        <f t="shared" si="39"/>
        <v>1</v>
      </c>
      <c r="K1247" s="48">
        <f>IFERROR(INDEX(TarrifTable,MATCH(Elements!E1247,Constants!$V$4:$V$7,0),MATCH(Elements!F1247,Constants!$W$3:$AA$3,0)),0)</f>
        <v>0</v>
      </c>
      <c r="L1247" s="68">
        <f t="shared" si="40"/>
        <v>0</v>
      </c>
    </row>
    <row r="1248" spans="2:12" x14ac:dyDescent="0.85">
      <c r="B1248" s="46">
        <v>1241</v>
      </c>
      <c r="C1248" s="276"/>
      <c r="D1248" s="283"/>
      <c r="E1248" s="10"/>
      <c r="F1248" s="10"/>
      <c r="G1248" s="47">
        <v>1</v>
      </c>
      <c r="H1248" s="72"/>
      <c r="I1248" s="10"/>
      <c r="J1248" s="46">
        <f t="shared" si="39"/>
        <v>1</v>
      </c>
      <c r="K1248" s="46">
        <f>IFERROR(INDEX(TarrifTable,MATCH(Elements!E1248,Constants!$V$4:$V$7,0),MATCH(Elements!F1248,Constants!$W$3:$AA$3,0)),0)</f>
        <v>0</v>
      </c>
      <c r="L1248" s="69">
        <f t="shared" si="40"/>
        <v>0</v>
      </c>
    </row>
    <row r="1249" spans="2:12" x14ac:dyDescent="0.85">
      <c r="B1249" s="48">
        <v>1242</v>
      </c>
      <c r="C1249" s="277"/>
      <c r="D1249" s="284"/>
      <c r="E1249" s="44"/>
      <c r="F1249" s="44"/>
      <c r="G1249" s="49">
        <v>1</v>
      </c>
      <c r="H1249" s="73"/>
      <c r="I1249" s="44"/>
      <c r="J1249" s="48">
        <f t="shared" si="39"/>
        <v>1</v>
      </c>
      <c r="K1249" s="48">
        <f>IFERROR(INDEX(TarrifTable,MATCH(Elements!E1249,Constants!$V$4:$V$7,0),MATCH(Elements!F1249,Constants!$W$3:$AA$3,0)),0)</f>
        <v>0</v>
      </c>
      <c r="L1249" s="68">
        <f t="shared" si="40"/>
        <v>0</v>
      </c>
    </row>
    <row r="1250" spans="2:12" x14ac:dyDescent="0.85">
      <c r="B1250" s="46">
        <v>1243</v>
      </c>
      <c r="C1250" s="276"/>
      <c r="D1250" s="283"/>
      <c r="E1250" s="10"/>
      <c r="F1250" s="10"/>
      <c r="G1250" s="47">
        <v>1</v>
      </c>
      <c r="H1250" s="72"/>
      <c r="I1250" s="10"/>
      <c r="J1250" s="46">
        <f t="shared" si="39"/>
        <v>1</v>
      </c>
      <c r="K1250" s="46">
        <f>IFERROR(INDEX(TarrifTable,MATCH(Elements!E1250,Constants!$V$4:$V$7,0),MATCH(Elements!F1250,Constants!$W$3:$AA$3,0)),0)</f>
        <v>0</v>
      </c>
      <c r="L1250" s="69">
        <f t="shared" si="40"/>
        <v>0</v>
      </c>
    </row>
    <row r="1251" spans="2:12" x14ac:dyDescent="0.85">
      <c r="B1251" s="48">
        <v>1244</v>
      </c>
      <c r="C1251" s="277"/>
      <c r="D1251" s="284"/>
      <c r="E1251" s="44"/>
      <c r="F1251" s="44"/>
      <c r="G1251" s="49">
        <v>1</v>
      </c>
      <c r="H1251" s="73"/>
      <c r="I1251" s="44"/>
      <c r="J1251" s="48">
        <f t="shared" si="39"/>
        <v>1</v>
      </c>
      <c r="K1251" s="48">
        <f>IFERROR(INDEX(TarrifTable,MATCH(Elements!E1251,Constants!$V$4:$V$7,0),MATCH(Elements!F1251,Constants!$W$3:$AA$3,0)),0)</f>
        <v>0</v>
      </c>
      <c r="L1251" s="68">
        <f t="shared" si="40"/>
        <v>0</v>
      </c>
    </row>
    <row r="1252" spans="2:12" x14ac:dyDescent="0.85">
      <c r="B1252" s="46">
        <v>1245</v>
      </c>
      <c r="C1252" s="276"/>
      <c r="D1252" s="283"/>
      <c r="E1252" s="10"/>
      <c r="F1252" s="10"/>
      <c r="G1252" s="47">
        <v>1</v>
      </c>
      <c r="H1252" s="72"/>
      <c r="I1252" s="10"/>
      <c r="J1252" s="46">
        <f t="shared" si="39"/>
        <v>1</v>
      </c>
      <c r="K1252" s="46">
        <f>IFERROR(INDEX(TarrifTable,MATCH(Elements!E1252,Constants!$V$4:$V$7,0),MATCH(Elements!F1252,Constants!$W$3:$AA$3,0)),0)</f>
        <v>0</v>
      </c>
      <c r="L1252" s="69">
        <f t="shared" si="40"/>
        <v>0</v>
      </c>
    </row>
    <row r="1253" spans="2:12" x14ac:dyDescent="0.85">
      <c r="B1253" s="48">
        <v>1246</v>
      </c>
      <c r="C1253" s="277"/>
      <c r="D1253" s="284"/>
      <c r="E1253" s="44"/>
      <c r="F1253" s="44"/>
      <c r="G1253" s="49">
        <v>1</v>
      </c>
      <c r="H1253" s="73"/>
      <c r="I1253" s="44"/>
      <c r="J1253" s="48">
        <f t="shared" si="39"/>
        <v>1</v>
      </c>
      <c r="K1253" s="48">
        <f>IFERROR(INDEX(TarrifTable,MATCH(Elements!E1253,Constants!$V$4:$V$7,0),MATCH(Elements!F1253,Constants!$W$3:$AA$3,0)),0)</f>
        <v>0</v>
      </c>
      <c r="L1253" s="68">
        <f t="shared" si="40"/>
        <v>0</v>
      </c>
    </row>
    <row r="1254" spans="2:12" x14ac:dyDescent="0.85">
      <c r="B1254" s="46">
        <v>1247</v>
      </c>
      <c r="C1254" s="276"/>
      <c r="D1254" s="283"/>
      <c r="E1254" s="10"/>
      <c r="F1254" s="10"/>
      <c r="G1254" s="47">
        <v>1</v>
      </c>
      <c r="H1254" s="72"/>
      <c r="I1254" s="10"/>
      <c r="J1254" s="46">
        <f t="shared" si="39"/>
        <v>1</v>
      </c>
      <c r="K1254" s="46">
        <f>IFERROR(INDEX(TarrifTable,MATCH(Elements!E1254,Constants!$V$4:$V$7,0),MATCH(Elements!F1254,Constants!$W$3:$AA$3,0)),0)</f>
        <v>0</v>
      </c>
      <c r="L1254" s="69">
        <f t="shared" si="40"/>
        <v>0</v>
      </c>
    </row>
    <row r="1255" spans="2:12" x14ac:dyDescent="0.85">
      <c r="B1255" s="48">
        <v>1248</v>
      </c>
      <c r="C1255" s="277"/>
      <c r="D1255" s="284"/>
      <c r="E1255" s="44"/>
      <c r="F1255" s="44"/>
      <c r="G1255" s="49">
        <v>1</v>
      </c>
      <c r="H1255" s="73"/>
      <c r="I1255" s="44"/>
      <c r="J1255" s="48">
        <f t="shared" si="39"/>
        <v>1</v>
      </c>
      <c r="K1255" s="48">
        <f>IFERROR(INDEX(TarrifTable,MATCH(Elements!E1255,Constants!$V$4:$V$7,0),MATCH(Elements!F1255,Constants!$W$3:$AA$3,0)),0)</f>
        <v>0</v>
      </c>
      <c r="L1255" s="68">
        <f t="shared" si="40"/>
        <v>0</v>
      </c>
    </row>
    <row r="1256" spans="2:12" x14ac:dyDescent="0.85">
      <c r="B1256" s="46">
        <v>1249</v>
      </c>
      <c r="C1256" s="276"/>
      <c r="D1256" s="283"/>
      <c r="E1256" s="10"/>
      <c r="F1256" s="10"/>
      <c r="G1256" s="47">
        <v>1</v>
      </c>
      <c r="H1256" s="72"/>
      <c r="I1256" s="10"/>
      <c r="J1256" s="46">
        <f t="shared" si="39"/>
        <v>1</v>
      </c>
      <c r="K1256" s="46">
        <f>IFERROR(INDEX(TarrifTable,MATCH(Elements!E1256,Constants!$V$4:$V$7,0),MATCH(Elements!F1256,Constants!$W$3:$AA$3,0)),0)</f>
        <v>0</v>
      </c>
      <c r="L1256" s="69">
        <f t="shared" si="40"/>
        <v>0</v>
      </c>
    </row>
    <row r="1257" spans="2:12" x14ac:dyDescent="0.85">
      <c r="B1257" s="48">
        <v>1250</v>
      </c>
      <c r="C1257" s="277"/>
      <c r="D1257" s="284"/>
      <c r="E1257" s="44"/>
      <c r="F1257" s="44"/>
      <c r="G1257" s="49">
        <v>1</v>
      </c>
      <c r="H1257" s="73"/>
      <c r="I1257" s="44"/>
      <c r="J1257" s="48">
        <f t="shared" si="39"/>
        <v>1</v>
      </c>
      <c r="K1257" s="48">
        <f>IFERROR(INDEX(TarrifTable,MATCH(Elements!E1257,Constants!$V$4:$V$7,0),MATCH(Elements!F1257,Constants!$W$3:$AA$3,0)),0)</f>
        <v>0</v>
      </c>
      <c r="L1257" s="68">
        <f t="shared" si="40"/>
        <v>0</v>
      </c>
    </row>
    <row r="1258" spans="2:12" x14ac:dyDescent="0.85">
      <c r="B1258" s="46">
        <v>1251</v>
      </c>
      <c r="C1258" s="276"/>
      <c r="D1258" s="283"/>
      <c r="E1258" s="10"/>
      <c r="F1258" s="10"/>
      <c r="G1258" s="47">
        <v>1</v>
      </c>
      <c r="H1258" s="72"/>
      <c r="I1258" s="10"/>
      <c r="J1258" s="46">
        <f t="shared" si="39"/>
        <v>1</v>
      </c>
      <c r="K1258" s="46">
        <f>IFERROR(INDEX(TarrifTable,MATCH(Elements!E1258,Constants!$V$4:$V$7,0),MATCH(Elements!F1258,Constants!$W$3:$AA$3,0)),0)</f>
        <v>0</v>
      </c>
      <c r="L1258" s="69">
        <f t="shared" si="40"/>
        <v>0</v>
      </c>
    </row>
    <row r="1259" spans="2:12" x14ac:dyDescent="0.85">
      <c r="B1259" s="48">
        <v>1252</v>
      </c>
      <c r="C1259" s="277"/>
      <c r="D1259" s="284"/>
      <c r="E1259" s="44"/>
      <c r="F1259" s="44"/>
      <c r="G1259" s="49">
        <v>1</v>
      </c>
      <c r="H1259" s="73"/>
      <c r="I1259" s="44"/>
      <c r="J1259" s="48">
        <f t="shared" si="39"/>
        <v>1</v>
      </c>
      <c r="K1259" s="48">
        <f>IFERROR(INDEX(TarrifTable,MATCH(Elements!E1259,Constants!$V$4:$V$7,0),MATCH(Elements!F1259,Constants!$W$3:$AA$3,0)),0)</f>
        <v>0</v>
      </c>
      <c r="L1259" s="68">
        <f t="shared" si="40"/>
        <v>0</v>
      </c>
    </row>
    <row r="1260" spans="2:12" x14ac:dyDescent="0.85">
      <c r="B1260" s="46">
        <v>1253</v>
      </c>
      <c r="C1260" s="276"/>
      <c r="D1260" s="283"/>
      <c r="E1260" s="10"/>
      <c r="F1260" s="10"/>
      <c r="G1260" s="47">
        <v>1</v>
      </c>
      <c r="H1260" s="72"/>
      <c r="I1260" s="10"/>
      <c r="J1260" s="46">
        <f t="shared" si="39"/>
        <v>1</v>
      </c>
      <c r="K1260" s="46">
        <f>IFERROR(INDEX(TarrifTable,MATCH(Elements!E1260,Constants!$V$4:$V$7,0),MATCH(Elements!F1260,Constants!$W$3:$AA$3,0)),0)</f>
        <v>0</v>
      </c>
      <c r="L1260" s="69">
        <f t="shared" si="40"/>
        <v>0</v>
      </c>
    </row>
    <row r="1261" spans="2:12" x14ac:dyDescent="0.85">
      <c r="B1261" s="48">
        <v>1254</v>
      </c>
      <c r="C1261" s="277"/>
      <c r="D1261" s="284"/>
      <c r="E1261" s="44"/>
      <c r="F1261" s="44"/>
      <c r="G1261" s="49">
        <v>1</v>
      </c>
      <c r="H1261" s="73"/>
      <c r="I1261" s="44"/>
      <c r="J1261" s="48">
        <f t="shared" si="39"/>
        <v>1</v>
      </c>
      <c r="K1261" s="48">
        <f>IFERROR(INDEX(TarrifTable,MATCH(Elements!E1261,Constants!$V$4:$V$7,0),MATCH(Elements!F1261,Constants!$W$3:$AA$3,0)),0)</f>
        <v>0</v>
      </c>
      <c r="L1261" s="68">
        <f t="shared" si="40"/>
        <v>0</v>
      </c>
    </row>
    <row r="1262" spans="2:12" x14ac:dyDescent="0.85">
      <c r="B1262" s="46">
        <v>1255</v>
      </c>
      <c r="C1262" s="276"/>
      <c r="D1262" s="283"/>
      <c r="E1262" s="10"/>
      <c r="F1262" s="10"/>
      <c r="G1262" s="47">
        <v>1</v>
      </c>
      <c r="H1262" s="72"/>
      <c r="I1262" s="10"/>
      <c r="J1262" s="46">
        <f t="shared" si="39"/>
        <v>1</v>
      </c>
      <c r="K1262" s="46">
        <f>IFERROR(INDEX(TarrifTable,MATCH(Elements!E1262,Constants!$V$4:$V$7,0),MATCH(Elements!F1262,Constants!$W$3:$AA$3,0)),0)</f>
        <v>0</v>
      </c>
      <c r="L1262" s="69">
        <f t="shared" si="40"/>
        <v>0</v>
      </c>
    </row>
    <row r="1263" spans="2:12" x14ac:dyDescent="0.85">
      <c r="B1263" s="48">
        <v>1256</v>
      </c>
      <c r="C1263" s="277"/>
      <c r="D1263" s="284"/>
      <c r="E1263" s="44"/>
      <c r="F1263" s="44"/>
      <c r="G1263" s="49">
        <v>1</v>
      </c>
      <c r="H1263" s="73"/>
      <c r="I1263" s="44"/>
      <c r="J1263" s="48">
        <f t="shared" si="39"/>
        <v>1</v>
      </c>
      <c r="K1263" s="48">
        <f>IFERROR(INDEX(TarrifTable,MATCH(Elements!E1263,Constants!$V$4:$V$7,0),MATCH(Elements!F1263,Constants!$W$3:$AA$3,0)),0)</f>
        <v>0</v>
      </c>
      <c r="L1263" s="68">
        <f t="shared" si="40"/>
        <v>0</v>
      </c>
    </row>
    <row r="1264" spans="2:12" x14ac:dyDescent="0.85">
      <c r="B1264" s="46">
        <v>1257</v>
      </c>
      <c r="C1264" s="276"/>
      <c r="D1264" s="283"/>
      <c r="E1264" s="10"/>
      <c r="F1264" s="10"/>
      <c r="G1264" s="47">
        <v>1</v>
      </c>
      <c r="H1264" s="72"/>
      <c r="I1264" s="10"/>
      <c r="J1264" s="46">
        <f t="shared" si="39"/>
        <v>1</v>
      </c>
      <c r="K1264" s="46">
        <f>IFERROR(INDEX(TarrifTable,MATCH(Elements!E1264,Constants!$V$4:$V$7,0),MATCH(Elements!F1264,Constants!$W$3:$AA$3,0)),0)</f>
        <v>0</v>
      </c>
      <c r="L1264" s="69">
        <f t="shared" si="40"/>
        <v>0</v>
      </c>
    </row>
    <row r="1265" spans="2:12" x14ac:dyDescent="0.85">
      <c r="B1265" s="48">
        <v>1258</v>
      </c>
      <c r="C1265" s="277"/>
      <c r="D1265" s="284"/>
      <c r="E1265" s="44"/>
      <c r="F1265" s="44"/>
      <c r="G1265" s="49">
        <v>1</v>
      </c>
      <c r="H1265" s="73"/>
      <c r="I1265" s="44"/>
      <c r="J1265" s="48">
        <f t="shared" si="39"/>
        <v>1</v>
      </c>
      <c r="K1265" s="48">
        <f>IFERROR(INDEX(TarrifTable,MATCH(Elements!E1265,Constants!$V$4:$V$7,0),MATCH(Elements!F1265,Constants!$W$3:$AA$3,0)),0)</f>
        <v>0</v>
      </c>
      <c r="L1265" s="68">
        <f t="shared" si="40"/>
        <v>0</v>
      </c>
    </row>
    <row r="1266" spans="2:12" x14ac:dyDescent="0.85">
      <c r="B1266" s="46">
        <v>1259</v>
      </c>
      <c r="C1266" s="276"/>
      <c r="D1266" s="283"/>
      <c r="E1266" s="10"/>
      <c r="F1266" s="10"/>
      <c r="G1266" s="47">
        <v>1</v>
      </c>
      <c r="H1266" s="72"/>
      <c r="I1266" s="10"/>
      <c r="J1266" s="46">
        <f t="shared" si="39"/>
        <v>1</v>
      </c>
      <c r="K1266" s="46">
        <f>IFERROR(INDEX(TarrifTable,MATCH(Elements!E1266,Constants!$V$4:$V$7,0),MATCH(Elements!F1266,Constants!$W$3:$AA$3,0)),0)</f>
        <v>0</v>
      </c>
      <c r="L1266" s="69">
        <f t="shared" si="40"/>
        <v>0</v>
      </c>
    </row>
    <row r="1267" spans="2:12" x14ac:dyDescent="0.85">
      <c r="B1267" s="48">
        <v>1260</v>
      </c>
      <c r="C1267" s="277"/>
      <c r="D1267" s="284"/>
      <c r="E1267" s="44"/>
      <c r="F1267" s="44"/>
      <c r="G1267" s="49">
        <v>1</v>
      </c>
      <c r="H1267" s="73"/>
      <c r="I1267" s="44"/>
      <c r="J1267" s="48">
        <f t="shared" si="39"/>
        <v>1</v>
      </c>
      <c r="K1267" s="48">
        <f>IFERROR(INDEX(TarrifTable,MATCH(Elements!E1267,Constants!$V$4:$V$7,0),MATCH(Elements!F1267,Constants!$W$3:$AA$3,0)),0)</f>
        <v>0</v>
      </c>
      <c r="L1267" s="68">
        <f t="shared" si="40"/>
        <v>0</v>
      </c>
    </row>
    <row r="1268" spans="2:12" x14ac:dyDescent="0.85">
      <c r="B1268" s="46">
        <v>1261</v>
      </c>
      <c r="C1268" s="276"/>
      <c r="D1268" s="283"/>
      <c r="E1268" s="10"/>
      <c r="F1268" s="10"/>
      <c r="G1268" s="47">
        <v>1</v>
      </c>
      <c r="H1268" s="72"/>
      <c r="I1268" s="10"/>
      <c r="J1268" s="46">
        <f t="shared" si="39"/>
        <v>1</v>
      </c>
      <c r="K1268" s="46">
        <f>IFERROR(INDEX(TarrifTable,MATCH(Elements!E1268,Constants!$V$4:$V$7,0),MATCH(Elements!F1268,Constants!$W$3:$AA$3,0)),0)</f>
        <v>0</v>
      </c>
      <c r="L1268" s="69">
        <f t="shared" si="40"/>
        <v>0</v>
      </c>
    </row>
    <row r="1269" spans="2:12" x14ac:dyDescent="0.85">
      <c r="B1269" s="48">
        <v>1262</v>
      </c>
      <c r="C1269" s="277"/>
      <c r="D1269" s="284"/>
      <c r="E1269" s="44"/>
      <c r="F1269" s="44"/>
      <c r="G1269" s="49">
        <v>1</v>
      </c>
      <c r="H1269" s="73"/>
      <c r="I1269" s="44"/>
      <c r="J1269" s="48">
        <f t="shared" si="39"/>
        <v>1</v>
      </c>
      <c r="K1269" s="48">
        <f>IFERROR(INDEX(TarrifTable,MATCH(Elements!E1269,Constants!$V$4:$V$7,0),MATCH(Elements!F1269,Constants!$W$3:$AA$3,0)),0)</f>
        <v>0</v>
      </c>
      <c r="L1269" s="68">
        <f t="shared" si="40"/>
        <v>0</v>
      </c>
    </row>
    <row r="1270" spans="2:12" x14ac:dyDescent="0.85">
      <c r="B1270" s="46">
        <v>1263</v>
      </c>
      <c r="C1270" s="276"/>
      <c r="D1270" s="283"/>
      <c r="E1270" s="10"/>
      <c r="F1270" s="10"/>
      <c r="G1270" s="47">
        <v>1</v>
      </c>
      <c r="H1270" s="72"/>
      <c r="I1270" s="10"/>
      <c r="J1270" s="46">
        <f t="shared" si="39"/>
        <v>1</v>
      </c>
      <c r="K1270" s="46">
        <f>IFERROR(INDEX(TarrifTable,MATCH(Elements!E1270,Constants!$V$4:$V$7,0),MATCH(Elements!F1270,Constants!$W$3:$AA$3,0)),0)</f>
        <v>0</v>
      </c>
      <c r="L1270" s="69">
        <f t="shared" si="40"/>
        <v>0</v>
      </c>
    </row>
    <row r="1271" spans="2:12" x14ac:dyDescent="0.85">
      <c r="B1271" s="48">
        <v>1264</v>
      </c>
      <c r="C1271" s="277"/>
      <c r="D1271" s="284"/>
      <c r="E1271" s="44"/>
      <c r="F1271" s="44"/>
      <c r="G1271" s="49">
        <v>1</v>
      </c>
      <c r="H1271" s="73"/>
      <c r="I1271" s="44"/>
      <c r="J1271" s="48">
        <f t="shared" si="39"/>
        <v>1</v>
      </c>
      <c r="K1271" s="48">
        <f>IFERROR(INDEX(TarrifTable,MATCH(Elements!E1271,Constants!$V$4:$V$7,0),MATCH(Elements!F1271,Constants!$W$3:$AA$3,0)),0)</f>
        <v>0</v>
      </c>
      <c r="L1271" s="68">
        <f t="shared" si="40"/>
        <v>0</v>
      </c>
    </row>
    <row r="1272" spans="2:12" x14ac:dyDescent="0.85">
      <c r="B1272" s="46">
        <v>1265</v>
      </c>
      <c r="C1272" s="276"/>
      <c r="D1272" s="283"/>
      <c r="E1272" s="10"/>
      <c r="F1272" s="10"/>
      <c r="G1272" s="47">
        <v>1</v>
      </c>
      <c r="H1272" s="72"/>
      <c r="I1272" s="10"/>
      <c r="J1272" s="46">
        <f t="shared" si="39"/>
        <v>1</v>
      </c>
      <c r="K1272" s="46">
        <f>IFERROR(INDEX(TarrifTable,MATCH(Elements!E1272,Constants!$V$4:$V$7,0),MATCH(Elements!F1272,Constants!$W$3:$AA$3,0)),0)</f>
        <v>0</v>
      </c>
      <c r="L1272" s="69">
        <f t="shared" si="40"/>
        <v>0</v>
      </c>
    </row>
    <row r="1273" spans="2:12" x14ac:dyDescent="0.85">
      <c r="B1273" s="48">
        <v>1266</v>
      </c>
      <c r="C1273" s="277"/>
      <c r="D1273" s="284"/>
      <c r="E1273" s="44"/>
      <c r="F1273" s="44"/>
      <c r="G1273" s="49">
        <v>1</v>
      </c>
      <c r="H1273" s="73"/>
      <c r="I1273" s="44"/>
      <c r="J1273" s="48">
        <f t="shared" si="39"/>
        <v>1</v>
      </c>
      <c r="K1273" s="48">
        <f>IFERROR(INDEX(TarrifTable,MATCH(Elements!E1273,Constants!$V$4:$V$7,0),MATCH(Elements!F1273,Constants!$W$3:$AA$3,0)),0)</f>
        <v>0</v>
      </c>
      <c r="L1273" s="68">
        <f t="shared" si="40"/>
        <v>0</v>
      </c>
    </row>
    <row r="1274" spans="2:12" x14ac:dyDescent="0.85">
      <c r="B1274" s="46">
        <v>1267</v>
      </c>
      <c r="C1274" s="276"/>
      <c r="D1274" s="283"/>
      <c r="E1274" s="10"/>
      <c r="F1274" s="10"/>
      <c r="G1274" s="47">
        <v>1</v>
      </c>
      <c r="H1274" s="72"/>
      <c r="I1274" s="10"/>
      <c r="J1274" s="46">
        <f t="shared" si="39"/>
        <v>1</v>
      </c>
      <c r="K1274" s="46">
        <f>IFERROR(INDEX(TarrifTable,MATCH(Elements!E1274,Constants!$V$4:$V$7,0),MATCH(Elements!F1274,Constants!$W$3:$AA$3,0)),0)</f>
        <v>0</v>
      </c>
      <c r="L1274" s="69">
        <f t="shared" si="40"/>
        <v>0</v>
      </c>
    </row>
    <row r="1275" spans="2:12" x14ac:dyDescent="0.85">
      <c r="B1275" s="48">
        <v>1268</v>
      </c>
      <c r="C1275" s="277"/>
      <c r="D1275" s="284"/>
      <c r="E1275" s="44"/>
      <c r="F1275" s="44"/>
      <c r="G1275" s="49">
        <v>1</v>
      </c>
      <c r="H1275" s="73"/>
      <c r="I1275" s="44"/>
      <c r="J1275" s="48">
        <f t="shared" si="39"/>
        <v>1</v>
      </c>
      <c r="K1275" s="48">
        <f>IFERROR(INDEX(TarrifTable,MATCH(Elements!E1275,Constants!$V$4:$V$7,0),MATCH(Elements!F1275,Constants!$W$3:$AA$3,0)),0)</f>
        <v>0</v>
      </c>
      <c r="L1275" s="68">
        <f t="shared" si="40"/>
        <v>0</v>
      </c>
    </row>
    <row r="1276" spans="2:12" x14ac:dyDescent="0.85">
      <c r="B1276" s="46">
        <v>1269</v>
      </c>
      <c r="C1276" s="276"/>
      <c r="D1276" s="283"/>
      <c r="E1276" s="10"/>
      <c r="F1276" s="10"/>
      <c r="G1276" s="47">
        <v>1</v>
      </c>
      <c r="H1276" s="72"/>
      <c r="I1276" s="10"/>
      <c r="J1276" s="46">
        <f t="shared" si="39"/>
        <v>1</v>
      </c>
      <c r="K1276" s="46">
        <f>IFERROR(INDEX(TarrifTable,MATCH(Elements!E1276,Constants!$V$4:$V$7,0),MATCH(Elements!F1276,Constants!$W$3:$AA$3,0)),0)</f>
        <v>0</v>
      </c>
      <c r="L1276" s="69">
        <f t="shared" si="40"/>
        <v>0</v>
      </c>
    </row>
    <row r="1277" spans="2:12" x14ac:dyDescent="0.85">
      <c r="B1277" s="48">
        <v>1270</v>
      </c>
      <c r="C1277" s="277"/>
      <c r="D1277" s="284"/>
      <c r="E1277" s="44"/>
      <c r="F1277" s="44"/>
      <c r="G1277" s="49">
        <v>1</v>
      </c>
      <c r="H1277" s="73"/>
      <c r="I1277" s="44"/>
      <c r="J1277" s="48">
        <f t="shared" si="39"/>
        <v>1</v>
      </c>
      <c r="K1277" s="48">
        <f>IFERROR(INDEX(TarrifTable,MATCH(Elements!E1277,Constants!$V$4:$V$7,0),MATCH(Elements!F1277,Constants!$W$3:$AA$3,0)),0)</f>
        <v>0</v>
      </c>
      <c r="L1277" s="68">
        <f t="shared" si="40"/>
        <v>0</v>
      </c>
    </row>
    <row r="1278" spans="2:12" x14ac:dyDescent="0.85">
      <c r="B1278" s="46">
        <v>1271</v>
      </c>
      <c r="C1278" s="276"/>
      <c r="D1278" s="283"/>
      <c r="E1278" s="10"/>
      <c r="F1278" s="10"/>
      <c r="G1278" s="47">
        <v>1</v>
      </c>
      <c r="H1278" s="72"/>
      <c r="I1278" s="10"/>
      <c r="J1278" s="46">
        <f t="shared" si="39"/>
        <v>1</v>
      </c>
      <c r="K1278" s="46">
        <f>IFERROR(INDEX(TarrifTable,MATCH(Elements!E1278,Constants!$V$4:$V$7,0),MATCH(Elements!F1278,Constants!$W$3:$AA$3,0)),0)</f>
        <v>0</v>
      </c>
      <c r="L1278" s="69">
        <f t="shared" si="40"/>
        <v>0</v>
      </c>
    </row>
    <row r="1279" spans="2:12" x14ac:dyDescent="0.85">
      <c r="B1279" s="48">
        <v>1272</v>
      </c>
      <c r="C1279" s="277"/>
      <c r="D1279" s="284"/>
      <c r="E1279" s="44"/>
      <c r="F1279" s="44"/>
      <c r="G1279" s="49">
        <v>1</v>
      </c>
      <c r="H1279" s="73"/>
      <c r="I1279" s="44"/>
      <c r="J1279" s="48">
        <f t="shared" si="39"/>
        <v>1</v>
      </c>
      <c r="K1279" s="48">
        <f>IFERROR(INDEX(TarrifTable,MATCH(Elements!E1279,Constants!$V$4:$V$7,0),MATCH(Elements!F1279,Constants!$W$3:$AA$3,0)),0)</f>
        <v>0</v>
      </c>
      <c r="L1279" s="68">
        <f t="shared" si="40"/>
        <v>0</v>
      </c>
    </row>
    <row r="1280" spans="2:12" x14ac:dyDescent="0.85">
      <c r="B1280" s="46">
        <v>1273</v>
      </c>
      <c r="C1280" s="276"/>
      <c r="D1280" s="283"/>
      <c r="E1280" s="10"/>
      <c r="F1280" s="10"/>
      <c r="G1280" s="47">
        <v>1</v>
      </c>
      <c r="H1280" s="72"/>
      <c r="I1280" s="10"/>
      <c r="J1280" s="46">
        <f t="shared" si="39"/>
        <v>1</v>
      </c>
      <c r="K1280" s="46">
        <f>IFERROR(INDEX(TarrifTable,MATCH(Elements!E1280,Constants!$V$4:$V$7,0),MATCH(Elements!F1280,Constants!$W$3:$AA$3,0)),0)</f>
        <v>0</v>
      </c>
      <c r="L1280" s="69">
        <f t="shared" si="40"/>
        <v>0</v>
      </c>
    </row>
    <row r="1281" spans="2:12" x14ac:dyDescent="0.85">
      <c r="B1281" s="48">
        <v>1274</v>
      </c>
      <c r="C1281" s="277"/>
      <c r="D1281" s="284"/>
      <c r="E1281" s="44"/>
      <c r="F1281" s="44"/>
      <c r="G1281" s="49">
        <v>1</v>
      </c>
      <c r="H1281" s="73"/>
      <c r="I1281" s="44"/>
      <c r="J1281" s="48">
        <f t="shared" si="39"/>
        <v>1</v>
      </c>
      <c r="K1281" s="48">
        <f>IFERROR(INDEX(TarrifTable,MATCH(Elements!E1281,Constants!$V$4:$V$7,0),MATCH(Elements!F1281,Constants!$W$3:$AA$3,0)),0)</f>
        <v>0</v>
      </c>
      <c r="L1281" s="68">
        <f t="shared" si="40"/>
        <v>0</v>
      </c>
    </row>
    <row r="1282" spans="2:12" x14ac:dyDescent="0.85">
      <c r="B1282" s="46">
        <v>1275</v>
      </c>
      <c r="C1282" s="276"/>
      <c r="D1282" s="283"/>
      <c r="E1282" s="10"/>
      <c r="F1282" s="10"/>
      <c r="G1282" s="47">
        <v>1</v>
      </c>
      <c r="H1282" s="72"/>
      <c r="I1282" s="10"/>
      <c r="J1282" s="46">
        <f t="shared" si="39"/>
        <v>1</v>
      </c>
      <c r="K1282" s="46">
        <f>IFERROR(INDEX(TarrifTable,MATCH(Elements!E1282,Constants!$V$4:$V$7,0),MATCH(Elements!F1282,Constants!$W$3:$AA$3,0)),0)</f>
        <v>0</v>
      </c>
      <c r="L1282" s="69">
        <f t="shared" si="40"/>
        <v>0</v>
      </c>
    </row>
    <row r="1283" spans="2:12" x14ac:dyDescent="0.85">
      <c r="B1283" s="48">
        <v>1276</v>
      </c>
      <c r="C1283" s="277"/>
      <c r="D1283" s="284"/>
      <c r="E1283" s="44"/>
      <c r="F1283" s="44"/>
      <c r="G1283" s="49">
        <v>1</v>
      </c>
      <c r="H1283" s="73"/>
      <c r="I1283" s="44"/>
      <c r="J1283" s="48">
        <f t="shared" si="39"/>
        <v>1</v>
      </c>
      <c r="K1283" s="48">
        <f>IFERROR(INDEX(TarrifTable,MATCH(Elements!E1283,Constants!$V$4:$V$7,0),MATCH(Elements!F1283,Constants!$W$3:$AA$3,0)),0)</f>
        <v>0</v>
      </c>
      <c r="L1283" s="68">
        <f t="shared" si="40"/>
        <v>0</v>
      </c>
    </row>
    <row r="1284" spans="2:12" x14ac:dyDescent="0.85">
      <c r="B1284" s="46">
        <v>1277</v>
      </c>
      <c r="C1284" s="276"/>
      <c r="D1284" s="283"/>
      <c r="E1284" s="10"/>
      <c r="F1284" s="10"/>
      <c r="G1284" s="47">
        <v>1</v>
      </c>
      <c r="H1284" s="72"/>
      <c r="I1284" s="10"/>
      <c r="J1284" s="46">
        <f t="shared" si="39"/>
        <v>1</v>
      </c>
      <c r="K1284" s="46">
        <f>IFERROR(INDEX(TarrifTable,MATCH(Elements!E1284,Constants!$V$4:$V$7,0),MATCH(Elements!F1284,Constants!$W$3:$AA$3,0)),0)</f>
        <v>0</v>
      </c>
      <c r="L1284" s="69">
        <f t="shared" si="40"/>
        <v>0</v>
      </c>
    </row>
    <row r="1285" spans="2:12" x14ac:dyDescent="0.85">
      <c r="B1285" s="48">
        <v>1278</v>
      </c>
      <c r="C1285" s="277"/>
      <c r="D1285" s="284"/>
      <c r="E1285" s="44"/>
      <c r="F1285" s="44"/>
      <c r="G1285" s="49">
        <v>1</v>
      </c>
      <c r="H1285" s="73"/>
      <c r="I1285" s="44"/>
      <c r="J1285" s="48">
        <f t="shared" si="39"/>
        <v>1</v>
      </c>
      <c r="K1285" s="48">
        <f>IFERROR(INDEX(TarrifTable,MATCH(Elements!E1285,Constants!$V$4:$V$7,0),MATCH(Elements!F1285,Constants!$W$3:$AA$3,0)),0)</f>
        <v>0</v>
      </c>
      <c r="L1285" s="68">
        <f t="shared" si="40"/>
        <v>0</v>
      </c>
    </row>
    <row r="1286" spans="2:12" x14ac:dyDescent="0.85">
      <c r="B1286" s="46">
        <v>1279</v>
      </c>
      <c r="C1286" s="276"/>
      <c r="D1286" s="283"/>
      <c r="E1286" s="10"/>
      <c r="F1286" s="10"/>
      <c r="G1286" s="47">
        <v>1</v>
      </c>
      <c r="H1286" s="72"/>
      <c r="I1286" s="10"/>
      <c r="J1286" s="46">
        <f t="shared" si="39"/>
        <v>1</v>
      </c>
      <c r="K1286" s="46">
        <f>IFERROR(INDEX(TarrifTable,MATCH(Elements!E1286,Constants!$V$4:$V$7,0),MATCH(Elements!F1286,Constants!$W$3:$AA$3,0)),0)</f>
        <v>0</v>
      </c>
      <c r="L1286" s="69">
        <f t="shared" si="40"/>
        <v>0</v>
      </c>
    </row>
    <row r="1287" spans="2:12" x14ac:dyDescent="0.85">
      <c r="B1287" s="48">
        <v>1280</v>
      </c>
      <c r="C1287" s="277"/>
      <c r="D1287" s="284"/>
      <c r="E1287" s="44"/>
      <c r="F1287" s="44"/>
      <c r="G1287" s="49">
        <v>1</v>
      </c>
      <c r="H1287" s="73"/>
      <c r="I1287" s="44"/>
      <c r="J1287" s="48">
        <f t="shared" si="39"/>
        <v>1</v>
      </c>
      <c r="K1287" s="48">
        <f>IFERROR(INDEX(TarrifTable,MATCH(Elements!E1287,Constants!$V$4:$V$7,0),MATCH(Elements!F1287,Constants!$W$3:$AA$3,0)),0)</f>
        <v>0</v>
      </c>
      <c r="L1287" s="68">
        <f t="shared" si="40"/>
        <v>0</v>
      </c>
    </row>
    <row r="1288" spans="2:12" x14ac:dyDescent="0.85">
      <c r="B1288" s="46">
        <v>1281</v>
      </c>
      <c r="C1288" s="276"/>
      <c r="D1288" s="283"/>
      <c r="E1288" s="10"/>
      <c r="F1288" s="10"/>
      <c r="G1288" s="47">
        <v>1</v>
      </c>
      <c r="H1288" s="72"/>
      <c r="I1288" s="10"/>
      <c r="J1288" s="46">
        <f t="shared" ref="J1288:J1351" si="41">IF(ISBLANK(H1288),1,H1288)</f>
        <v>1</v>
      </c>
      <c r="K1288" s="46">
        <f>IFERROR(INDEX(TarrifTable,MATCH(Elements!E1288,Constants!$V$4:$V$7,0),MATCH(Elements!F1288,Constants!$W$3:$AA$3,0)),0)</f>
        <v>0</v>
      </c>
      <c r="L1288" s="69">
        <f t="shared" ref="L1288:L1351" si="42">J1288*G1288*K1288</f>
        <v>0</v>
      </c>
    </row>
    <row r="1289" spans="2:12" x14ac:dyDescent="0.85">
      <c r="B1289" s="48">
        <v>1282</v>
      </c>
      <c r="C1289" s="277"/>
      <c r="D1289" s="284"/>
      <c r="E1289" s="44"/>
      <c r="F1289" s="44"/>
      <c r="G1289" s="49">
        <v>1</v>
      </c>
      <c r="H1289" s="73"/>
      <c r="I1289" s="44"/>
      <c r="J1289" s="48">
        <f t="shared" si="41"/>
        <v>1</v>
      </c>
      <c r="K1289" s="48">
        <f>IFERROR(INDEX(TarrifTable,MATCH(Elements!E1289,Constants!$V$4:$V$7,0),MATCH(Elements!F1289,Constants!$W$3:$AA$3,0)),0)</f>
        <v>0</v>
      </c>
      <c r="L1289" s="68">
        <f t="shared" si="42"/>
        <v>0</v>
      </c>
    </row>
    <row r="1290" spans="2:12" x14ac:dyDescent="0.85">
      <c r="B1290" s="46">
        <v>1283</v>
      </c>
      <c r="C1290" s="276"/>
      <c r="D1290" s="283"/>
      <c r="E1290" s="10"/>
      <c r="F1290" s="10"/>
      <c r="G1290" s="47">
        <v>1</v>
      </c>
      <c r="H1290" s="72"/>
      <c r="I1290" s="10"/>
      <c r="J1290" s="46">
        <f t="shared" si="41"/>
        <v>1</v>
      </c>
      <c r="K1290" s="46">
        <f>IFERROR(INDEX(TarrifTable,MATCH(Elements!E1290,Constants!$V$4:$V$7,0),MATCH(Elements!F1290,Constants!$W$3:$AA$3,0)),0)</f>
        <v>0</v>
      </c>
      <c r="L1290" s="69">
        <f t="shared" si="42"/>
        <v>0</v>
      </c>
    </row>
    <row r="1291" spans="2:12" x14ac:dyDescent="0.85">
      <c r="B1291" s="48">
        <v>1284</v>
      </c>
      <c r="C1291" s="277"/>
      <c r="D1291" s="284"/>
      <c r="E1291" s="44"/>
      <c r="F1291" s="44"/>
      <c r="G1291" s="49">
        <v>1</v>
      </c>
      <c r="H1291" s="73"/>
      <c r="I1291" s="44"/>
      <c r="J1291" s="48">
        <f t="shared" si="41"/>
        <v>1</v>
      </c>
      <c r="K1291" s="48">
        <f>IFERROR(INDEX(TarrifTable,MATCH(Elements!E1291,Constants!$V$4:$V$7,0),MATCH(Elements!F1291,Constants!$W$3:$AA$3,0)),0)</f>
        <v>0</v>
      </c>
      <c r="L1291" s="68">
        <f t="shared" si="42"/>
        <v>0</v>
      </c>
    </row>
    <row r="1292" spans="2:12" x14ac:dyDescent="0.85">
      <c r="B1292" s="46">
        <v>1285</v>
      </c>
      <c r="C1292" s="276"/>
      <c r="D1292" s="283"/>
      <c r="E1292" s="10"/>
      <c r="F1292" s="10"/>
      <c r="G1292" s="47">
        <v>1</v>
      </c>
      <c r="H1292" s="72"/>
      <c r="I1292" s="10"/>
      <c r="J1292" s="46">
        <f t="shared" si="41"/>
        <v>1</v>
      </c>
      <c r="K1292" s="46">
        <f>IFERROR(INDEX(TarrifTable,MATCH(Elements!E1292,Constants!$V$4:$V$7,0),MATCH(Elements!F1292,Constants!$W$3:$AA$3,0)),0)</f>
        <v>0</v>
      </c>
      <c r="L1292" s="69">
        <f t="shared" si="42"/>
        <v>0</v>
      </c>
    </row>
    <row r="1293" spans="2:12" x14ac:dyDescent="0.85">
      <c r="B1293" s="48">
        <v>1286</v>
      </c>
      <c r="C1293" s="277"/>
      <c r="D1293" s="284"/>
      <c r="E1293" s="44"/>
      <c r="F1293" s="44"/>
      <c r="G1293" s="49">
        <v>1</v>
      </c>
      <c r="H1293" s="73"/>
      <c r="I1293" s="44"/>
      <c r="J1293" s="48">
        <f t="shared" si="41"/>
        <v>1</v>
      </c>
      <c r="K1293" s="48">
        <f>IFERROR(INDEX(TarrifTable,MATCH(Elements!E1293,Constants!$V$4:$V$7,0),MATCH(Elements!F1293,Constants!$W$3:$AA$3,0)),0)</f>
        <v>0</v>
      </c>
      <c r="L1293" s="68">
        <f t="shared" si="42"/>
        <v>0</v>
      </c>
    </row>
    <row r="1294" spans="2:12" x14ac:dyDescent="0.85">
      <c r="B1294" s="46">
        <v>1287</v>
      </c>
      <c r="C1294" s="276"/>
      <c r="D1294" s="283"/>
      <c r="E1294" s="10"/>
      <c r="F1294" s="10"/>
      <c r="G1294" s="47">
        <v>1</v>
      </c>
      <c r="H1294" s="72"/>
      <c r="I1294" s="10"/>
      <c r="J1294" s="46">
        <f t="shared" si="41"/>
        <v>1</v>
      </c>
      <c r="K1294" s="46">
        <f>IFERROR(INDEX(TarrifTable,MATCH(Elements!E1294,Constants!$V$4:$V$7,0),MATCH(Elements!F1294,Constants!$W$3:$AA$3,0)),0)</f>
        <v>0</v>
      </c>
      <c r="L1294" s="69">
        <f t="shared" si="42"/>
        <v>0</v>
      </c>
    </row>
    <row r="1295" spans="2:12" x14ac:dyDescent="0.85">
      <c r="B1295" s="48">
        <v>1288</v>
      </c>
      <c r="C1295" s="277"/>
      <c r="D1295" s="284"/>
      <c r="E1295" s="44"/>
      <c r="F1295" s="44"/>
      <c r="G1295" s="49">
        <v>1</v>
      </c>
      <c r="H1295" s="73"/>
      <c r="I1295" s="44"/>
      <c r="J1295" s="48">
        <f t="shared" si="41"/>
        <v>1</v>
      </c>
      <c r="K1295" s="48">
        <f>IFERROR(INDEX(TarrifTable,MATCH(Elements!E1295,Constants!$V$4:$V$7,0),MATCH(Elements!F1295,Constants!$W$3:$AA$3,0)),0)</f>
        <v>0</v>
      </c>
      <c r="L1295" s="68">
        <f t="shared" si="42"/>
        <v>0</v>
      </c>
    </row>
    <row r="1296" spans="2:12" x14ac:dyDescent="0.85">
      <c r="B1296" s="46">
        <v>1289</v>
      </c>
      <c r="C1296" s="276"/>
      <c r="D1296" s="283"/>
      <c r="E1296" s="10"/>
      <c r="F1296" s="10"/>
      <c r="G1296" s="47">
        <v>1</v>
      </c>
      <c r="H1296" s="72"/>
      <c r="I1296" s="10"/>
      <c r="J1296" s="46">
        <f t="shared" si="41"/>
        <v>1</v>
      </c>
      <c r="K1296" s="46">
        <f>IFERROR(INDEX(TarrifTable,MATCH(Elements!E1296,Constants!$V$4:$V$7,0),MATCH(Elements!F1296,Constants!$W$3:$AA$3,0)),0)</f>
        <v>0</v>
      </c>
      <c r="L1296" s="69">
        <f t="shared" si="42"/>
        <v>0</v>
      </c>
    </row>
    <row r="1297" spans="2:12" x14ac:dyDescent="0.85">
      <c r="B1297" s="48">
        <v>1290</v>
      </c>
      <c r="C1297" s="277"/>
      <c r="D1297" s="284"/>
      <c r="E1297" s="44"/>
      <c r="F1297" s="44"/>
      <c r="G1297" s="49">
        <v>1</v>
      </c>
      <c r="H1297" s="73"/>
      <c r="I1297" s="44"/>
      <c r="J1297" s="48">
        <f t="shared" si="41"/>
        <v>1</v>
      </c>
      <c r="K1297" s="48">
        <f>IFERROR(INDEX(TarrifTable,MATCH(Elements!E1297,Constants!$V$4:$V$7,0),MATCH(Elements!F1297,Constants!$W$3:$AA$3,0)),0)</f>
        <v>0</v>
      </c>
      <c r="L1297" s="68">
        <f t="shared" si="42"/>
        <v>0</v>
      </c>
    </row>
    <row r="1298" spans="2:12" x14ac:dyDescent="0.85">
      <c r="B1298" s="46">
        <v>1291</v>
      </c>
      <c r="C1298" s="276"/>
      <c r="D1298" s="283"/>
      <c r="E1298" s="10"/>
      <c r="F1298" s="10"/>
      <c r="G1298" s="47">
        <v>1</v>
      </c>
      <c r="H1298" s="72"/>
      <c r="I1298" s="10"/>
      <c r="J1298" s="46">
        <f t="shared" si="41"/>
        <v>1</v>
      </c>
      <c r="K1298" s="46">
        <f>IFERROR(INDEX(TarrifTable,MATCH(Elements!E1298,Constants!$V$4:$V$7,0),MATCH(Elements!F1298,Constants!$W$3:$AA$3,0)),0)</f>
        <v>0</v>
      </c>
      <c r="L1298" s="69">
        <f t="shared" si="42"/>
        <v>0</v>
      </c>
    </row>
    <row r="1299" spans="2:12" x14ac:dyDescent="0.85">
      <c r="B1299" s="48">
        <v>1292</v>
      </c>
      <c r="C1299" s="277"/>
      <c r="D1299" s="284"/>
      <c r="E1299" s="44"/>
      <c r="F1299" s="44"/>
      <c r="G1299" s="49">
        <v>1</v>
      </c>
      <c r="H1299" s="73"/>
      <c r="I1299" s="44"/>
      <c r="J1299" s="48">
        <f t="shared" si="41"/>
        <v>1</v>
      </c>
      <c r="K1299" s="48">
        <f>IFERROR(INDEX(TarrifTable,MATCH(Elements!E1299,Constants!$V$4:$V$7,0),MATCH(Elements!F1299,Constants!$W$3:$AA$3,0)),0)</f>
        <v>0</v>
      </c>
      <c r="L1299" s="68">
        <f t="shared" si="42"/>
        <v>0</v>
      </c>
    </row>
    <row r="1300" spans="2:12" x14ac:dyDescent="0.85">
      <c r="B1300" s="46">
        <v>1293</v>
      </c>
      <c r="C1300" s="276"/>
      <c r="D1300" s="283"/>
      <c r="E1300" s="10"/>
      <c r="F1300" s="10"/>
      <c r="G1300" s="47">
        <v>1</v>
      </c>
      <c r="H1300" s="72"/>
      <c r="I1300" s="10"/>
      <c r="J1300" s="46">
        <f t="shared" si="41"/>
        <v>1</v>
      </c>
      <c r="K1300" s="46">
        <f>IFERROR(INDEX(TarrifTable,MATCH(Elements!E1300,Constants!$V$4:$V$7,0),MATCH(Elements!F1300,Constants!$W$3:$AA$3,0)),0)</f>
        <v>0</v>
      </c>
      <c r="L1300" s="69">
        <f t="shared" si="42"/>
        <v>0</v>
      </c>
    </row>
    <row r="1301" spans="2:12" x14ac:dyDescent="0.85">
      <c r="B1301" s="48">
        <v>1294</v>
      </c>
      <c r="C1301" s="277"/>
      <c r="D1301" s="284"/>
      <c r="E1301" s="44"/>
      <c r="F1301" s="44"/>
      <c r="G1301" s="49">
        <v>1</v>
      </c>
      <c r="H1301" s="73"/>
      <c r="I1301" s="44"/>
      <c r="J1301" s="48">
        <f t="shared" si="41"/>
        <v>1</v>
      </c>
      <c r="K1301" s="48">
        <f>IFERROR(INDEX(TarrifTable,MATCH(Elements!E1301,Constants!$V$4:$V$7,0),MATCH(Elements!F1301,Constants!$W$3:$AA$3,0)),0)</f>
        <v>0</v>
      </c>
      <c r="L1301" s="68">
        <f t="shared" si="42"/>
        <v>0</v>
      </c>
    </row>
    <row r="1302" spans="2:12" x14ac:dyDescent="0.85">
      <c r="B1302" s="46">
        <v>1295</v>
      </c>
      <c r="C1302" s="276"/>
      <c r="D1302" s="283"/>
      <c r="E1302" s="10"/>
      <c r="F1302" s="10"/>
      <c r="G1302" s="47">
        <v>1</v>
      </c>
      <c r="H1302" s="72"/>
      <c r="I1302" s="10"/>
      <c r="J1302" s="46">
        <f t="shared" si="41"/>
        <v>1</v>
      </c>
      <c r="K1302" s="46">
        <f>IFERROR(INDEX(TarrifTable,MATCH(Elements!E1302,Constants!$V$4:$V$7,0),MATCH(Elements!F1302,Constants!$W$3:$AA$3,0)),0)</f>
        <v>0</v>
      </c>
      <c r="L1302" s="69">
        <f t="shared" si="42"/>
        <v>0</v>
      </c>
    </row>
    <row r="1303" spans="2:12" x14ac:dyDescent="0.85">
      <c r="B1303" s="48">
        <v>1296</v>
      </c>
      <c r="C1303" s="277"/>
      <c r="D1303" s="284"/>
      <c r="E1303" s="44"/>
      <c r="F1303" s="44"/>
      <c r="G1303" s="49">
        <v>1</v>
      </c>
      <c r="H1303" s="73"/>
      <c r="I1303" s="44"/>
      <c r="J1303" s="48">
        <f t="shared" si="41"/>
        <v>1</v>
      </c>
      <c r="K1303" s="48">
        <f>IFERROR(INDEX(TarrifTable,MATCH(Elements!E1303,Constants!$V$4:$V$7,0),MATCH(Elements!F1303,Constants!$W$3:$AA$3,0)),0)</f>
        <v>0</v>
      </c>
      <c r="L1303" s="68">
        <f t="shared" si="42"/>
        <v>0</v>
      </c>
    </row>
    <row r="1304" spans="2:12" x14ac:dyDescent="0.85">
      <c r="B1304" s="46">
        <v>1297</v>
      </c>
      <c r="C1304" s="276"/>
      <c r="D1304" s="283"/>
      <c r="E1304" s="10"/>
      <c r="F1304" s="10"/>
      <c r="G1304" s="47">
        <v>1</v>
      </c>
      <c r="H1304" s="72"/>
      <c r="I1304" s="10"/>
      <c r="J1304" s="46">
        <f t="shared" si="41"/>
        <v>1</v>
      </c>
      <c r="K1304" s="46">
        <f>IFERROR(INDEX(TarrifTable,MATCH(Elements!E1304,Constants!$V$4:$V$7,0),MATCH(Elements!F1304,Constants!$W$3:$AA$3,0)),0)</f>
        <v>0</v>
      </c>
      <c r="L1304" s="69">
        <f t="shared" si="42"/>
        <v>0</v>
      </c>
    </row>
    <row r="1305" spans="2:12" x14ac:dyDescent="0.85">
      <c r="B1305" s="48">
        <v>1298</v>
      </c>
      <c r="C1305" s="277"/>
      <c r="D1305" s="284"/>
      <c r="E1305" s="44"/>
      <c r="F1305" s="44"/>
      <c r="G1305" s="49">
        <v>1</v>
      </c>
      <c r="H1305" s="73"/>
      <c r="I1305" s="44"/>
      <c r="J1305" s="48">
        <f t="shared" si="41"/>
        <v>1</v>
      </c>
      <c r="K1305" s="48">
        <f>IFERROR(INDEX(TarrifTable,MATCH(Elements!E1305,Constants!$V$4:$V$7,0),MATCH(Elements!F1305,Constants!$W$3:$AA$3,0)),0)</f>
        <v>0</v>
      </c>
      <c r="L1305" s="68">
        <f t="shared" si="42"/>
        <v>0</v>
      </c>
    </row>
    <row r="1306" spans="2:12" x14ac:dyDescent="0.85">
      <c r="B1306" s="46">
        <v>1299</v>
      </c>
      <c r="C1306" s="276"/>
      <c r="D1306" s="283"/>
      <c r="E1306" s="10"/>
      <c r="F1306" s="10"/>
      <c r="G1306" s="47">
        <v>1</v>
      </c>
      <c r="H1306" s="72"/>
      <c r="I1306" s="10"/>
      <c r="J1306" s="46">
        <f t="shared" si="41"/>
        <v>1</v>
      </c>
      <c r="K1306" s="46">
        <f>IFERROR(INDEX(TarrifTable,MATCH(Elements!E1306,Constants!$V$4:$V$7,0),MATCH(Elements!F1306,Constants!$W$3:$AA$3,0)),0)</f>
        <v>0</v>
      </c>
      <c r="L1306" s="69">
        <f t="shared" si="42"/>
        <v>0</v>
      </c>
    </row>
    <row r="1307" spans="2:12" x14ac:dyDescent="0.85">
      <c r="B1307" s="48">
        <v>1300</v>
      </c>
      <c r="C1307" s="277"/>
      <c r="D1307" s="284"/>
      <c r="E1307" s="44"/>
      <c r="F1307" s="44"/>
      <c r="G1307" s="49">
        <v>1</v>
      </c>
      <c r="H1307" s="73"/>
      <c r="I1307" s="44"/>
      <c r="J1307" s="48">
        <f t="shared" si="41"/>
        <v>1</v>
      </c>
      <c r="K1307" s="48">
        <f>IFERROR(INDEX(TarrifTable,MATCH(Elements!E1307,Constants!$V$4:$V$7,0),MATCH(Elements!F1307,Constants!$W$3:$AA$3,0)),0)</f>
        <v>0</v>
      </c>
      <c r="L1307" s="68">
        <f t="shared" si="42"/>
        <v>0</v>
      </c>
    </row>
    <row r="1308" spans="2:12" x14ac:dyDescent="0.85">
      <c r="B1308" s="46">
        <v>1301</v>
      </c>
      <c r="C1308" s="276"/>
      <c r="D1308" s="283"/>
      <c r="E1308" s="10"/>
      <c r="F1308" s="10"/>
      <c r="G1308" s="47">
        <v>1</v>
      </c>
      <c r="H1308" s="72"/>
      <c r="I1308" s="10"/>
      <c r="J1308" s="46">
        <f t="shared" si="41"/>
        <v>1</v>
      </c>
      <c r="K1308" s="46">
        <f>IFERROR(INDEX(TarrifTable,MATCH(Elements!E1308,Constants!$V$4:$V$7,0),MATCH(Elements!F1308,Constants!$W$3:$AA$3,0)),0)</f>
        <v>0</v>
      </c>
      <c r="L1308" s="69">
        <f t="shared" si="42"/>
        <v>0</v>
      </c>
    </row>
    <row r="1309" spans="2:12" x14ac:dyDescent="0.85">
      <c r="B1309" s="48">
        <v>1302</v>
      </c>
      <c r="C1309" s="277"/>
      <c r="D1309" s="284"/>
      <c r="E1309" s="44"/>
      <c r="F1309" s="44"/>
      <c r="G1309" s="49">
        <v>1</v>
      </c>
      <c r="H1309" s="73"/>
      <c r="I1309" s="44"/>
      <c r="J1309" s="48">
        <f t="shared" si="41"/>
        <v>1</v>
      </c>
      <c r="K1309" s="48">
        <f>IFERROR(INDEX(TarrifTable,MATCH(Elements!E1309,Constants!$V$4:$V$7,0),MATCH(Elements!F1309,Constants!$W$3:$AA$3,0)),0)</f>
        <v>0</v>
      </c>
      <c r="L1309" s="68">
        <f t="shared" si="42"/>
        <v>0</v>
      </c>
    </row>
    <row r="1310" spans="2:12" x14ac:dyDescent="0.85">
      <c r="B1310" s="46">
        <v>1303</v>
      </c>
      <c r="C1310" s="276"/>
      <c r="D1310" s="283"/>
      <c r="E1310" s="10"/>
      <c r="F1310" s="10"/>
      <c r="G1310" s="47">
        <v>1</v>
      </c>
      <c r="H1310" s="72"/>
      <c r="I1310" s="10"/>
      <c r="J1310" s="46">
        <f t="shared" si="41"/>
        <v>1</v>
      </c>
      <c r="K1310" s="46">
        <f>IFERROR(INDEX(TarrifTable,MATCH(Elements!E1310,Constants!$V$4:$V$7,0),MATCH(Elements!F1310,Constants!$W$3:$AA$3,0)),0)</f>
        <v>0</v>
      </c>
      <c r="L1310" s="69">
        <f t="shared" si="42"/>
        <v>0</v>
      </c>
    </row>
    <row r="1311" spans="2:12" x14ac:dyDescent="0.85">
      <c r="B1311" s="48">
        <v>1304</v>
      </c>
      <c r="C1311" s="277"/>
      <c r="D1311" s="284"/>
      <c r="E1311" s="44"/>
      <c r="F1311" s="44"/>
      <c r="G1311" s="49">
        <v>1</v>
      </c>
      <c r="H1311" s="73"/>
      <c r="I1311" s="44"/>
      <c r="J1311" s="48">
        <f t="shared" si="41"/>
        <v>1</v>
      </c>
      <c r="K1311" s="48">
        <f>IFERROR(INDEX(TarrifTable,MATCH(Elements!E1311,Constants!$V$4:$V$7,0),MATCH(Elements!F1311,Constants!$W$3:$AA$3,0)),0)</f>
        <v>0</v>
      </c>
      <c r="L1311" s="68">
        <f t="shared" si="42"/>
        <v>0</v>
      </c>
    </row>
    <row r="1312" spans="2:12" x14ac:dyDescent="0.85">
      <c r="B1312" s="46">
        <v>1305</v>
      </c>
      <c r="C1312" s="276"/>
      <c r="D1312" s="283"/>
      <c r="E1312" s="10"/>
      <c r="F1312" s="10"/>
      <c r="G1312" s="47">
        <v>1</v>
      </c>
      <c r="H1312" s="72"/>
      <c r="I1312" s="10"/>
      <c r="J1312" s="46">
        <f t="shared" si="41"/>
        <v>1</v>
      </c>
      <c r="K1312" s="46">
        <f>IFERROR(INDEX(TarrifTable,MATCH(Elements!E1312,Constants!$V$4:$V$7,0),MATCH(Elements!F1312,Constants!$W$3:$AA$3,0)),0)</f>
        <v>0</v>
      </c>
      <c r="L1312" s="69">
        <f t="shared" si="42"/>
        <v>0</v>
      </c>
    </row>
    <row r="1313" spans="2:12" x14ac:dyDescent="0.85">
      <c r="B1313" s="48">
        <v>1306</v>
      </c>
      <c r="C1313" s="277"/>
      <c r="D1313" s="284"/>
      <c r="E1313" s="44"/>
      <c r="F1313" s="44"/>
      <c r="G1313" s="49">
        <v>1</v>
      </c>
      <c r="H1313" s="73"/>
      <c r="I1313" s="44"/>
      <c r="J1313" s="48">
        <f t="shared" si="41"/>
        <v>1</v>
      </c>
      <c r="K1313" s="48">
        <f>IFERROR(INDEX(TarrifTable,MATCH(Elements!E1313,Constants!$V$4:$V$7,0),MATCH(Elements!F1313,Constants!$W$3:$AA$3,0)),0)</f>
        <v>0</v>
      </c>
      <c r="L1313" s="68">
        <f t="shared" si="42"/>
        <v>0</v>
      </c>
    </row>
    <row r="1314" spans="2:12" x14ac:dyDescent="0.85">
      <c r="B1314" s="46">
        <v>1307</v>
      </c>
      <c r="C1314" s="276"/>
      <c r="D1314" s="283"/>
      <c r="E1314" s="10"/>
      <c r="F1314" s="10"/>
      <c r="G1314" s="47">
        <v>1</v>
      </c>
      <c r="H1314" s="72"/>
      <c r="I1314" s="10"/>
      <c r="J1314" s="46">
        <f t="shared" si="41"/>
        <v>1</v>
      </c>
      <c r="K1314" s="46">
        <f>IFERROR(INDEX(TarrifTable,MATCH(Elements!E1314,Constants!$V$4:$V$7,0),MATCH(Elements!F1314,Constants!$W$3:$AA$3,0)),0)</f>
        <v>0</v>
      </c>
      <c r="L1314" s="69">
        <f t="shared" si="42"/>
        <v>0</v>
      </c>
    </row>
    <row r="1315" spans="2:12" x14ac:dyDescent="0.85">
      <c r="B1315" s="48">
        <v>1308</v>
      </c>
      <c r="C1315" s="277"/>
      <c r="D1315" s="284"/>
      <c r="E1315" s="44"/>
      <c r="F1315" s="44"/>
      <c r="G1315" s="49">
        <v>1</v>
      </c>
      <c r="H1315" s="73"/>
      <c r="I1315" s="44"/>
      <c r="J1315" s="48">
        <f t="shared" si="41"/>
        <v>1</v>
      </c>
      <c r="K1315" s="48">
        <f>IFERROR(INDEX(TarrifTable,MATCH(Elements!E1315,Constants!$V$4:$V$7,0),MATCH(Elements!F1315,Constants!$W$3:$AA$3,0)),0)</f>
        <v>0</v>
      </c>
      <c r="L1315" s="68">
        <f t="shared" si="42"/>
        <v>0</v>
      </c>
    </row>
    <row r="1316" spans="2:12" x14ac:dyDescent="0.85">
      <c r="B1316" s="46">
        <v>1309</v>
      </c>
      <c r="C1316" s="276"/>
      <c r="D1316" s="283"/>
      <c r="E1316" s="10"/>
      <c r="F1316" s="10"/>
      <c r="G1316" s="47">
        <v>1</v>
      </c>
      <c r="H1316" s="72"/>
      <c r="I1316" s="10"/>
      <c r="J1316" s="46">
        <f t="shared" si="41"/>
        <v>1</v>
      </c>
      <c r="K1316" s="46">
        <f>IFERROR(INDEX(TarrifTable,MATCH(Elements!E1316,Constants!$V$4:$V$7,0),MATCH(Elements!F1316,Constants!$W$3:$AA$3,0)),0)</f>
        <v>0</v>
      </c>
      <c r="L1316" s="69">
        <f t="shared" si="42"/>
        <v>0</v>
      </c>
    </row>
    <row r="1317" spans="2:12" x14ac:dyDescent="0.85">
      <c r="B1317" s="48">
        <v>1310</v>
      </c>
      <c r="C1317" s="277"/>
      <c r="D1317" s="284"/>
      <c r="E1317" s="44"/>
      <c r="F1317" s="44"/>
      <c r="G1317" s="49">
        <v>1</v>
      </c>
      <c r="H1317" s="73"/>
      <c r="I1317" s="44"/>
      <c r="J1317" s="48">
        <f t="shared" si="41"/>
        <v>1</v>
      </c>
      <c r="K1317" s="48">
        <f>IFERROR(INDEX(TarrifTable,MATCH(Elements!E1317,Constants!$V$4:$V$7,0),MATCH(Elements!F1317,Constants!$W$3:$AA$3,0)),0)</f>
        <v>0</v>
      </c>
      <c r="L1317" s="68">
        <f t="shared" si="42"/>
        <v>0</v>
      </c>
    </row>
    <row r="1318" spans="2:12" x14ac:dyDescent="0.85">
      <c r="B1318" s="46">
        <v>1311</v>
      </c>
      <c r="C1318" s="276"/>
      <c r="D1318" s="283"/>
      <c r="E1318" s="10"/>
      <c r="F1318" s="10"/>
      <c r="G1318" s="47">
        <v>1</v>
      </c>
      <c r="H1318" s="72"/>
      <c r="I1318" s="10"/>
      <c r="J1318" s="46">
        <f t="shared" si="41"/>
        <v>1</v>
      </c>
      <c r="K1318" s="46">
        <f>IFERROR(INDEX(TarrifTable,MATCH(Elements!E1318,Constants!$V$4:$V$7,0),MATCH(Elements!F1318,Constants!$W$3:$AA$3,0)),0)</f>
        <v>0</v>
      </c>
      <c r="L1318" s="69">
        <f t="shared" si="42"/>
        <v>0</v>
      </c>
    </row>
    <row r="1319" spans="2:12" x14ac:dyDescent="0.85">
      <c r="B1319" s="48">
        <v>1312</v>
      </c>
      <c r="C1319" s="277"/>
      <c r="D1319" s="284"/>
      <c r="E1319" s="44"/>
      <c r="F1319" s="44"/>
      <c r="G1319" s="49">
        <v>1</v>
      </c>
      <c r="H1319" s="73"/>
      <c r="I1319" s="44"/>
      <c r="J1319" s="48">
        <f t="shared" si="41"/>
        <v>1</v>
      </c>
      <c r="K1319" s="48">
        <f>IFERROR(INDEX(TarrifTable,MATCH(Elements!E1319,Constants!$V$4:$V$7,0),MATCH(Elements!F1319,Constants!$W$3:$AA$3,0)),0)</f>
        <v>0</v>
      </c>
      <c r="L1319" s="68">
        <f t="shared" si="42"/>
        <v>0</v>
      </c>
    </row>
    <row r="1320" spans="2:12" x14ac:dyDescent="0.85">
      <c r="B1320" s="46">
        <v>1313</v>
      </c>
      <c r="C1320" s="276"/>
      <c r="D1320" s="283"/>
      <c r="E1320" s="10"/>
      <c r="F1320" s="10"/>
      <c r="G1320" s="47">
        <v>1</v>
      </c>
      <c r="H1320" s="72"/>
      <c r="I1320" s="10"/>
      <c r="J1320" s="46">
        <f t="shared" si="41"/>
        <v>1</v>
      </c>
      <c r="K1320" s="46">
        <f>IFERROR(INDEX(TarrifTable,MATCH(Elements!E1320,Constants!$V$4:$V$7,0),MATCH(Elements!F1320,Constants!$W$3:$AA$3,0)),0)</f>
        <v>0</v>
      </c>
      <c r="L1320" s="69">
        <f t="shared" si="42"/>
        <v>0</v>
      </c>
    </row>
    <row r="1321" spans="2:12" x14ac:dyDescent="0.85">
      <c r="B1321" s="48">
        <v>1314</v>
      </c>
      <c r="C1321" s="277"/>
      <c r="D1321" s="284"/>
      <c r="E1321" s="44"/>
      <c r="F1321" s="44"/>
      <c r="G1321" s="49">
        <v>1</v>
      </c>
      <c r="H1321" s="73"/>
      <c r="I1321" s="44"/>
      <c r="J1321" s="48">
        <f t="shared" si="41"/>
        <v>1</v>
      </c>
      <c r="K1321" s="48">
        <f>IFERROR(INDEX(TarrifTable,MATCH(Elements!E1321,Constants!$V$4:$V$7,0),MATCH(Elements!F1321,Constants!$W$3:$AA$3,0)),0)</f>
        <v>0</v>
      </c>
      <c r="L1321" s="68">
        <f t="shared" si="42"/>
        <v>0</v>
      </c>
    </row>
    <row r="1322" spans="2:12" x14ac:dyDescent="0.85">
      <c r="B1322" s="46">
        <v>1315</v>
      </c>
      <c r="C1322" s="276"/>
      <c r="D1322" s="283"/>
      <c r="E1322" s="10"/>
      <c r="F1322" s="10"/>
      <c r="G1322" s="47">
        <v>1</v>
      </c>
      <c r="H1322" s="72"/>
      <c r="I1322" s="10"/>
      <c r="J1322" s="46">
        <f t="shared" si="41"/>
        <v>1</v>
      </c>
      <c r="K1322" s="46">
        <f>IFERROR(INDEX(TarrifTable,MATCH(Elements!E1322,Constants!$V$4:$V$7,0),MATCH(Elements!F1322,Constants!$W$3:$AA$3,0)),0)</f>
        <v>0</v>
      </c>
      <c r="L1322" s="69">
        <f t="shared" si="42"/>
        <v>0</v>
      </c>
    </row>
    <row r="1323" spans="2:12" x14ac:dyDescent="0.85">
      <c r="B1323" s="48">
        <v>1316</v>
      </c>
      <c r="C1323" s="277"/>
      <c r="D1323" s="284"/>
      <c r="E1323" s="44"/>
      <c r="F1323" s="44"/>
      <c r="G1323" s="49">
        <v>1</v>
      </c>
      <c r="H1323" s="73"/>
      <c r="I1323" s="44"/>
      <c r="J1323" s="48">
        <f t="shared" si="41"/>
        <v>1</v>
      </c>
      <c r="K1323" s="48">
        <f>IFERROR(INDEX(TarrifTable,MATCH(Elements!E1323,Constants!$V$4:$V$7,0),MATCH(Elements!F1323,Constants!$W$3:$AA$3,0)),0)</f>
        <v>0</v>
      </c>
      <c r="L1323" s="68">
        <f t="shared" si="42"/>
        <v>0</v>
      </c>
    </row>
    <row r="1324" spans="2:12" x14ac:dyDescent="0.85">
      <c r="B1324" s="46">
        <v>1317</v>
      </c>
      <c r="C1324" s="276"/>
      <c r="D1324" s="283"/>
      <c r="E1324" s="10"/>
      <c r="F1324" s="10"/>
      <c r="G1324" s="47">
        <v>1</v>
      </c>
      <c r="H1324" s="72"/>
      <c r="I1324" s="10"/>
      <c r="J1324" s="46">
        <f t="shared" si="41"/>
        <v>1</v>
      </c>
      <c r="K1324" s="46">
        <f>IFERROR(INDEX(TarrifTable,MATCH(Elements!E1324,Constants!$V$4:$V$7,0),MATCH(Elements!F1324,Constants!$W$3:$AA$3,0)),0)</f>
        <v>0</v>
      </c>
      <c r="L1324" s="69">
        <f t="shared" si="42"/>
        <v>0</v>
      </c>
    </row>
    <row r="1325" spans="2:12" x14ac:dyDescent="0.85">
      <c r="B1325" s="48">
        <v>1318</v>
      </c>
      <c r="C1325" s="277"/>
      <c r="D1325" s="284"/>
      <c r="E1325" s="44"/>
      <c r="F1325" s="44"/>
      <c r="G1325" s="49">
        <v>1</v>
      </c>
      <c r="H1325" s="73"/>
      <c r="I1325" s="44"/>
      <c r="J1325" s="48">
        <f t="shared" si="41"/>
        <v>1</v>
      </c>
      <c r="K1325" s="48">
        <f>IFERROR(INDEX(TarrifTable,MATCH(Elements!E1325,Constants!$V$4:$V$7,0),MATCH(Elements!F1325,Constants!$W$3:$AA$3,0)),0)</f>
        <v>0</v>
      </c>
      <c r="L1325" s="68">
        <f t="shared" si="42"/>
        <v>0</v>
      </c>
    </row>
    <row r="1326" spans="2:12" x14ac:dyDescent="0.85">
      <c r="B1326" s="46">
        <v>1319</v>
      </c>
      <c r="C1326" s="276"/>
      <c r="D1326" s="283"/>
      <c r="E1326" s="10"/>
      <c r="F1326" s="10"/>
      <c r="G1326" s="47">
        <v>1</v>
      </c>
      <c r="H1326" s="72"/>
      <c r="I1326" s="10"/>
      <c r="J1326" s="46">
        <f t="shared" si="41"/>
        <v>1</v>
      </c>
      <c r="K1326" s="46">
        <f>IFERROR(INDEX(TarrifTable,MATCH(Elements!E1326,Constants!$V$4:$V$7,0),MATCH(Elements!F1326,Constants!$W$3:$AA$3,0)),0)</f>
        <v>0</v>
      </c>
      <c r="L1326" s="69">
        <f t="shared" si="42"/>
        <v>0</v>
      </c>
    </row>
    <row r="1327" spans="2:12" x14ac:dyDescent="0.85">
      <c r="B1327" s="48">
        <v>1320</v>
      </c>
      <c r="C1327" s="277"/>
      <c r="D1327" s="284"/>
      <c r="E1327" s="44"/>
      <c r="F1327" s="44"/>
      <c r="G1327" s="49">
        <v>1</v>
      </c>
      <c r="H1327" s="73"/>
      <c r="I1327" s="44"/>
      <c r="J1327" s="48">
        <f t="shared" si="41"/>
        <v>1</v>
      </c>
      <c r="K1327" s="48">
        <f>IFERROR(INDEX(TarrifTable,MATCH(Elements!E1327,Constants!$V$4:$V$7,0),MATCH(Elements!F1327,Constants!$W$3:$AA$3,0)),0)</f>
        <v>0</v>
      </c>
      <c r="L1327" s="68">
        <f t="shared" si="42"/>
        <v>0</v>
      </c>
    </row>
    <row r="1328" spans="2:12" x14ac:dyDescent="0.85">
      <c r="B1328" s="46">
        <v>1321</v>
      </c>
      <c r="C1328" s="276"/>
      <c r="D1328" s="283"/>
      <c r="E1328" s="10"/>
      <c r="F1328" s="10"/>
      <c r="G1328" s="47">
        <v>1</v>
      </c>
      <c r="H1328" s="72"/>
      <c r="I1328" s="10"/>
      <c r="J1328" s="46">
        <f t="shared" si="41"/>
        <v>1</v>
      </c>
      <c r="K1328" s="46">
        <f>IFERROR(INDEX(TarrifTable,MATCH(Elements!E1328,Constants!$V$4:$V$7,0),MATCH(Elements!F1328,Constants!$W$3:$AA$3,0)),0)</f>
        <v>0</v>
      </c>
      <c r="L1328" s="69">
        <f t="shared" si="42"/>
        <v>0</v>
      </c>
    </row>
    <row r="1329" spans="2:12" x14ac:dyDescent="0.85">
      <c r="B1329" s="48">
        <v>1322</v>
      </c>
      <c r="C1329" s="277"/>
      <c r="D1329" s="284"/>
      <c r="E1329" s="44"/>
      <c r="F1329" s="44"/>
      <c r="G1329" s="49">
        <v>1</v>
      </c>
      <c r="H1329" s="73"/>
      <c r="I1329" s="44"/>
      <c r="J1329" s="48">
        <f t="shared" si="41"/>
        <v>1</v>
      </c>
      <c r="K1329" s="48">
        <f>IFERROR(INDEX(TarrifTable,MATCH(Elements!E1329,Constants!$V$4:$V$7,0),MATCH(Elements!F1329,Constants!$W$3:$AA$3,0)),0)</f>
        <v>0</v>
      </c>
      <c r="L1329" s="68">
        <f t="shared" si="42"/>
        <v>0</v>
      </c>
    </row>
    <row r="1330" spans="2:12" x14ac:dyDescent="0.85">
      <c r="B1330" s="46">
        <v>1323</v>
      </c>
      <c r="C1330" s="276"/>
      <c r="D1330" s="283"/>
      <c r="E1330" s="10"/>
      <c r="F1330" s="10"/>
      <c r="G1330" s="47">
        <v>1</v>
      </c>
      <c r="H1330" s="72"/>
      <c r="I1330" s="10"/>
      <c r="J1330" s="46">
        <f t="shared" si="41"/>
        <v>1</v>
      </c>
      <c r="K1330" s="46">
        <f>IFERROR(INDEX(TarrifTable,MATCH(Elements!E1330,Constants!$V$4:$V$7,0),MATCH(Elements!F1330,Constants!$W$3:$AA$3,0)),0)</f>
        <v>0</v>
      </c>
      <c r="L1330" s="69">
        <f t="shared" si="42"/>
        <v>0</v>
      </c>
    </row>
    <row r="1331" spans="2:12" x14ac:dyDescent="0.85">
      <c r="B1331" s="48">
        <v>1324</v>
      </c>
      <c r="C1331" s="277"/>
      <c r="D1331" s="284"/>
      <c r="E1331" s="44"/>
      <c r="F1331" s="44"/>
      <c r="G1331" s="49">
        <v>1</v>
      </c>
      <c r="H1331" s="73"/>
      <c r="I1331" s="44"/>
      <c r="J1331" s="48">
        <f t="shared" si="41"/>
        <v>1</v>
      </c>
      <c r="K1331" s="48">
        <f>IFERROR(INDEX(TarrifTable,MATCH(Elements!E1331,Constants!$V$4:$V$7,0),MATCH(Elements!F1331,Constants!$W$3:$AA$3,0)),0)</f>
        <v>0</v>
      </c>
      <c r="L1331" s="68">
        <f t="shared" si="42"/>
        <v>0</v>
      </c>
    </row>
    <row r="1332" spans="2:12" x14ac:dyDescent="0.85">
      <c r="B1332" s="46">
        <v>1325</v>
      </c>
      <c r="C1332" s="276"/>
      <c r="D1332" s="283"/>
      <c r="E1332" s="10"/>
      <c r="F1332" s="10"/>
      <c r="G1332" s="47">
        <v>1</v>
      </c>
      <c r="H1332" s="72"/>
      <c r="I1332" s="10"/>
      <c r="J1332" s="46">
        <f t="shared" si="41"/>
        <v>1</v>
      </c>
      <c r="K1332" s="46">
        <f>IFERROR(INDEX(TarrifTable,MATCH(Elements!E1332,Constants!$V$4:$V$7,0),MATCH(Elements!F1332,Constants!$W$3:$AA$3,0)),0)</f>
        <v>0</v>
      </c>
      <c r="L1332" s="69">
        <f t="shared" si="42"/>
        <v>0</v>
      </c>
    </row>
    <row r="1333" spans="2:12" x14ac:dyDescent="0.85">
      <c r="B1333" s="48">
        <v>1326</v>
      </c>
      <c r="C1333" s="277"/>
      <c r="D1333" s="284"/>
      <c r="E1333" s="44"/>
      <c r="F1333" s="44"/>
      <c r="G1333" s="49">
        <v>1</v>
      </c>
      <c r="H1333" s="73"/>
      <c r="I1333" s="44"/>
      <c r="J1333" s="48">
        <f t="shared" si="41"/>
        <v>1</v>
      </c>
      <c r="K1333" s="48">
        <f>IFERROR(INDEX(TarrifTable,MATCH(Elements!E1333,Constants!$V$4:$V$7,0),MATCH(Elements!F1333,Constants!$W$3:$AA$3,0)),0)</f>
        <v>0</v>
      </c>
      <c r="L1333" s="68">
        <f t="shared" si="42"/>
        <v>0</v>
      </c>
    </row>
    <row r="1334" spans="2:12" x14ac:dyDescent="0.85">
      <c r="B1334" s="46">
        <v>1327</v>
      </c>
      <c r="C1334" s="276"/>
      <c r="D1334" s="283"/>
      <c r="E1334" s="10"/>
      <c r="F1334" s="10"/>
      <c r="G1334" s="47">
        <v>1</v>
      </c>
      <c r="H1334" s="72"/>
      <c r="I1334" s="10"/>
      <c r="J1334" s="46">
        <f t="shared" si="41"/>
        <v>1</v>
      </c>
      <c r="K1334" s="46">
        <f>IFERROR(INDEX(TarrifTable,MATCH(Elements!E1334,Constants!$V$4:$V$7,0),MATCH(Elements!F1334,Constants!$W$3:$AA$3,0)),0)</f>
        <v>0</v>
      </c>
      <c r="L1334" s="69">
        <f t="shared" si="42"/>
        <v>0</v>
      </c>
    </row>
    <row r="1335" spans="2:12" x14ac:dyDescent="0.85">
      <c r="B1335" s="48">
        <v>1328</v>
      </c>
      <c r="C1335" s="277"/>
      <c r="D1335" s="284"/>
      <c r="E1335" s="44"/>
      <c r="F1335" s="44"/>
      <c r="G1335" s="49">
        <v>1</v>
      </c>
      <c r="H1335" s="73"/>
      <c r="I1335" s="44"/>
      <c r="J1335" s="48">
        <f t="shared" si="41"/>
        <v>1</v>
      </c>
      <c r="K1335" s="48">
        <f>IFERROR(INDEX(TarrifTable,MATCH(Elements!E1335,Constants!$V$4:$V$7,0),MATCH(Elements!F1335,Constants!$W$3:$AA$3,0)),0)</f>
        <v>0</v>
      </c>
      <c r="L1335" s="68">
        <f t="shared" si="42"/>
        <v>0</v>
      </c>
    </row>
    <row r="1336" spans="2:12" x14ac:dyDescent="0.85">
      <c r="B1336" s="46">
        <v>1329</v>
      </c>
      <c r="C1336" s="276"/>
      <c r="D1336" s="283"/>
      <c r="E1336" s="10"/>
      <c r="F1336" s="10"/>
      <c r="G1336" s="47">
        <v>1</v>
      </c>
      <c r="H1336" s="72"/>
      <c r="I1336" s="10"/>
      <c r="J1336" s="46">
        <f t="shared" si="41"/>
        <v>1</v>
      </c>
      <c r="K1336" s="46">
        <f>IFERROR(INDEX(TarrifTable,MATCH(Elements!E1336,Constants!$V$4:$V$7,0),MATCH(Elements!F1336,Constants!$W$3:$AA$3,0)),0)</f>
        <v>0</v>
      </c>
      <c r="L1336" s="69">
        <f t="shared" si="42"/>
        <v>0</v>
      </c>
    </row>
    <row r="1337" spans="2:12" x14ac:dyDescent="0.85">
      <c r="B1337" s="48">
        <v>1330</v>
      </c>
      <c r="C1337" s="277"/>
      <c r="D1337" s="284"/>
      <c r="E1337" s="44"/>
      <c r="F1337" s="44"/>
      <c r="G1337" s="49">
        <v>1</v>
      </c>
      <c r="H1337" s="73"/>
      <c r="I1337" s="44"/>
      <c r="J1337" s="48">
        <f t="shared" si="41"/>
        <v>1</v>
      </c>
      <c r="K1337" s="48">
        <f>IFERROR(INDEX(TarrifTable,MATCH(Elements!E1337,Constants!$V$4:$V$7,0),MATCH(Elements!F1337,Constants!$W$3:$AA$3,0)),0)</f>
        <v>0</v>
      </c>
      <c r="L1337" s="68">
        <f t="shared" si="42"/>
        <v>0</v>
      </c>
    </row>
    <row r="1338" spans="2:12" x14ac:dyDescent="0.85">
      <c r="B1338" s="46">
        <v>1331</v>
      </c>
      <c r="C1338" s="276"/>
      <c r="D1338" s="283"/>
      <c r="E1338" s="10"/>
      <c r="F1338" s="10"/>
      <c r="G1338" s="47">
        <v>1</v>
      </c>
      <c r="H1338" s="72"/>
      <c r="I1338" s="10"/>
      <c r="J1338" s="46">
        <f t="shared" si="41"/>
        <v>1</v>
      </c>
      <c r="K1338" s="46">
        <f>IFERROR(INDEX(TarrifTable,MATCH(Elements!E1338,Constants!$V$4:$V$7,0),MATCH(Elements!F1338,Constants!$W$3:$AA$3,0)),0)</f>
        <v>0</v>
      </c>
      <c r="L1338" s="69">
        <f t="shared" si="42"/>
        <v>0</v>
      </c>
    </row>
    <row r="1339" spans="2:12" x14ac:dyDescent="0.85">
      <c r="B1339" s="48">
        <v>1332</v>
      </c>
      <c r="C1339" s="277"/>
      <c r="D1339" s="284"/>
      <c r="E1339" s="44"/>
      <c r="F1339" s="44"/>
      <c r="G1339" s="49">
        <v>1</v>
      </c>
      <c r="H1339" s="73"/>
      <c r="I1339" s="44"/>
      <c r="J1339" s="48">
        <f t="shared" si="41"/>
        <v>1</v>
      </c>
      <c r="K1339" s="48">
        <f>IFERROR(INDEX(TarrifTable,MATCH(Elements!E1339,Constants!$V$4:$V$7,0),MATCH(Elements!F1339,Constants!$W$3:$AA$3,0)),0)</f>
        <v>0</v>
      </c>
      <c r="L1339" s="68">
        <f t="shared" si="42"/>
        <v>0</v>
      </c>
    </row>
    <row r="1340" spans="2:12" x14ac:dyDescent="0.85">
      <c r="B1340" s="46">
        <v>1333</v>
      </c>
      <c r="C1340" s="276"/>
      <c r="D1340" s="283"/>
      <c r="E1340" s="10"/>
      <c r="F1340" s="10"/>
      <c r="G1340" s="47">
        <v>1</v>
      </c>
      <c r="H1340" s="72"/>
      <c r="I1340" s="10"/>
      <c r="J1340" s="46">
        <f t="shared" si="41"/>
        <v>1</v>
      </c>
      <c r="K1340" s="46">
        <f>IFERROR(INDEX(TarrifTable,MATCH(Elements!E1340,Constants!$V$4:$V$7,0),MATCH(Elements!F1340,Constants!$W$3:$AA$3,0)),0)</f>
        <v>0</v>
      </c>
      <c r="L1340" s="69">
        <f t="shared" si="42"/>
        <v>0</v>
      </c>
    </row>
    <row r="1341" spans="2:12" x14ac:dyDescent="0.85">
      <c r="B1341" s="48">
        <v>1334</v>
      </c>
      <c r="C1341" s="277"/>
      <c r="D1341" s="284"/>
      <c r="E1341" s="44"/>
      <c r="F1341" s="44"/>
      <c r="G1341" s="49">
        <v>1</v>
      </c>
      <c r="H1341" s="73"/>
      <c r="I1341" s="44"/>
      <c r="J1341" s="48">
        <f t="shared" si="41"/>
        <v>1</v>
      </c>
      <c r="K1341" s="48">
        <f>IFERROR(INDEX(TarrifTable,MATCH(Elements!E1341,Constants!$V$4:$V$7,0),MATCH(Elements!F1341,Constants!$W$3:$AA$3,0)),0)</f>
        <v>0</v>
      </c>
      <c r="L1341" s="68">
        <f t="shared" si="42"/>
        <v>0</v>
      </c>
    </row>
    <row r="1342" spans="2:12" x14ac:dyDescent="0.85">
      <c r="B1342" s="46">
        <v>1335</v>
      </c>
      <c r="C1342" s="276"/>
      <c r="D1342" s="283"/>
      <c r="E1342" s="10"/>
      <c r="F1342" s="10"/>
      <c r="G1342" s="47">
        <v>1</v>
      </c>
      <c r="H1342" s="72"/>
      <c r="I1342" s="10"/>
      <c r="J1342" s="46">
        <f t="shared" si="41"/>
        <v>1</v>
      </c>
      <c r="K1342" s="46">
        <f>IFERROR(INDEX(TarrifTable,MATCH(Elements!E1342,Constants!$V$4:$V$7,0),MATCH(Elements!F1342,Constants!$W$3:$AA$3,0)),0)</f>
        <v>0</v>
      </c>
      <c r="L1342" s="69">
        <f t="shared" si="42"/>
        <v>0</v>
      </c>
    </row>
    <row r="1343" spans="2:12" x14ac:dyDescent="0.85">
      <c r="B1343" s="48">
        <v>1336</v>
      </c>
      <c r="C1343" s="277"/>
      <c r="D1343" s="284"/>
      <c r="E1343" s="44"/>
      <c r="F1343" s="44"/>
      <c r="G1343" s="49">
        <v>1</v>
      </c>
      <c r="H1343" s="73"/>
      <c r="I1343" s="44"/>
      <c r="J1343" s="48">
        <f t="shared" si="41"/>
        <v>1</v>
      </c>
      <c r="K1343" s="48">
        <f>IFERROR(INDEX(TarrifTable,MATCH(Elements!E1343,Constants!$V$4:$V$7,0),MATCH(Elements!F1343,Constants!$W$3:$AA$3,0)),0)</f>
        <v>0</v>
      </c>
      <c r="L1343" s="68">
        <f t="shared" si="42"/>
        <v>0</v>
      </c>
    </row>
    <row r="1344" spans="2:12" x14ac:dyDescent="0.85">
      <c r="B1344" s="46">
        <v>1337</v>
      </c>
      <c r="C1344" s="276"/>
      <c r="D1344" s="283"/>
      <c r="E1344" s="10"/>
      <c r="F1344" s="10"/>
      <c r="G1344" s="47">
        <v>1</v>
      </c>
      <c r="H1344" s="72"/>
      <c r="I1344" s="10"/>
      <c r="J1344" s="46">
        <f t="shared" si="41"/>
        <v>1</v>
      </c>
      <c r="K1344" s="46">
        <f>IFERROR(INDEX(TarrifTable,MATCH(Elements!E1344,Constants!$V$4:$V$7,0),MATCH(Elements!F1344,Constants!$W$3:$AA$3,0)),0)</f>
        <v>0</v>
      </c>
      <c r="L1344" s="69">
        <f t="shared" si="42"/>
        <v>0</v>
      </c>
    </row>
    <row r="1345" spans="2:12" x14ac:dyDescent="0.85">
      <c r="B1345" s="48">
        <v>1338</v>
      </c>
      <c r="C1345" s="277"/>
      <c r="D1345" s="284"/>
      <c r="E1345" s="44"/>
      <c r="F1345" s="44"/>
      <c r="G1345" s="49">
        <v>1</v>
      </c>
      <c r="H1345" s="73"/>
      <c r="I1345" s="44"/>
      <c r="J1345" s="48">
        <f t="shared" si="41"/>
        <v>1</v>
      </c>
      <c r="K1345" s="48">
        <f>IFERROR(INDEX(TarrifTable,MATCH(Elements!E1345,Constants!$V$4:$V$7,0),MATCH(Elements!F1345,Constants!$W$3:$AA$3,0)),0)</f>
        <v>0</v>
      </c>
      <c r="L1345" s="68">
        <f t="shared" si="42"/>
        <v>0</v>
      </c>
    </row>
    <row r="1346" spans="2:12" x14ac:dyDescent="0.85">
      <c r="B1346" s="46">
        <v>1339</v>
      </c>
      <c r="C1346" s="276"/>
      <c r="D1346" s="283"/>
      <c r="E1346" s="10"/>
      <c r="F1346" s="10"/>
      <c r="G1346" s="47">
        <v>1</v>
      </c>
      <c r="H1346" s="72"/>
      <c r="I1346" s="10"/>
      <c r="J1346" s="46">
        <f t="shared" si="41"/>
        <v>1</v>
      </c>
      <c r="K1346" s="46">
        <f>IFERROR(INDEX(TarrifTable,MATCH(Elements!E1346,Constants!$V$4:$V$7,0),MATCH(Elements!F1346,Constants!$W$3:$AA$3,0)),0)</f>
        <v>0</v>
      </c>
      <c r="L1346" s="69">
        <f t="shared" si="42"/>
        <v>0</v>
      </c>
    </row>
    <row r="1347" spans="2:12" x14ac:dyDescent="0.85">
      <c r="B1347" s="48">
        <v>1340</v>
      </c>
      <c r="C1347" s="277"/>
      <c r="D1347" s="284"/>
      <c r="E1347" s="44"/>
      <c r="F1347" s="44"/>
      <c r="G1347" s="49">
        <v>1</v>
      </c>
      <c r="H1347" s="73"/>
      <c r="I1347" s="44"/>
      <c r="J1347" s="48">
        <f t="shared" si="41"/>
        <v>1</v>
      </c>
      <c r="K1347" s="48">
        <f>IFERROR(INDEX(TarrifTable,MATCH(Elements!E1347,Constants!$V$4:$V$7,0),MATCH(Elements!F1347,Constants!$W$3:$AA$3,0)),0)</f>
        <v>0</v>
      </c>
      <c r="L1347" s="68">
        <f t="shared" si="42"/>
        <v>0</v>
      </c>
    </row>
    <row r="1348" spans="2:12" x14ac:dyDescent="0.85">
      <c r="B1348" s="46">
        <v>1341</v>
      </c>
      <c r="C1348" s="276"/>
      <c r="D1348" s="283"/>
      <c r="E1348" s="10"/>
      <c r="F1348" s="10"/>
      <c r="G1348" s="47">
        <v>1</v>
      </c>
      <c r="H1348" s="72"/>
      <c r="I1348" s="10"/>
      <c r="J1348" s="46">
        <f t="shared" si="41"/>
        <v>1</v>
      </c>
      <c r="K1348" s="46">
        <f>IFERROR(INDEX(TarrifTable,MATCH(Elements!E1348,Constants!$V$4:$V$7,0),MATCH(Elements!F1348,Constants!$W$3:$AA$3,0)),0)</f>
        <v>0</v>
      </c>
      <c r="L1348" s="69">
        <f t="shared" si="42"/>
        <v>0</v>
      </c>
    </row>
    <row r="1349" spans="2:12" x14ac:dyDescent="0.85">
      <c r="B1349" s="48">
        <v>1342</v>
      </c>
      <c r="C1349" s="277"/>
      <c r="D1349" s="284"/>
      <c r="E1349" s="44"/>
      <c r="F1349" s="44"/>
      <c r="G1349" s="49">
        <v>1</v>
      </c>
      <c r="H1349" s="73"/>
      <c r="I1349" s="44"/>
      <c r="J1349" s="48">
        <f t="shared" si="41"/>
        <v>1</v>
      </c>
      <c r="K1349" s="48">
        <f>IFERROR(INDEX(TarrifTable,MATCH(Elements!E1349,Constants!$V$4:$V$7,0),MATCH(Elements!F1349,Constants!$W$3:$AA$3,0)),0)</f>
        <v>0</v>
      </c>
      <c r="L1349" s="68">
        <f t="shared" si="42"/>
        <v>0</v>
      </c>
    </row>
    <row r="1350" spans="2:12" x14ac:dyDescent="0.85">
      <c r="B1350" s="46">
        <v>1343</v>
      </c>
      <c r="C1350" s="276"/>
      <c r="D1350" s="283"/>
      <c r="E1350" s="10"/>
      <c r="F1350" s="10"/>
      <c r="G1350" s="47">
        <v>1</v>
      </c>
      <c r="H1350" s="72"/>
      <c r="I1350" s="10"/>
      <c r="J1350" s="46">
        <f t="shared" si="41"/>
        <v>1</v>
      </c>
      <c r="K1350" s="46">
        <f>IFERROR(INDEX(TarrifTable,MATCH(Elements!E1350,Constants!$V$4:$V$7,0),MATCH(Elements!F1350,Constants!$W$3:$AA$3,0)),0)</f>
        <v>0</v>
      </c>
      <c r="L1350" s="69">
        <f t="shared" si="42"/>
        <v>0</v>
      </c>
    </row>
    <row r="1351" spans="2:12" x14ac:dyDescent="0.85">
      <c r="B1351" s="48">
        <v>1344</v>
      </c>
      <c r="C1351" s="277"/>
      <c r="D1351" s="284"/>
      <c r="E1351" s="44"/>
      <c r="F1351" s="44"/>
      <c r="G1351" s="49">
        <v>1</v>
      </c>
      <c r="H1351" s="73"/>
      <c r="I1351" s="44"/>
      <c r="J1351" s="48">
        <f t="shared" si="41"/>
        <v>1</v>
      </c>
      <c r="K1351" s="48">
        <f>IFERROR(INDEX(TarrifTable,MATCH(Elements!E1351,Constants!$V$4:$V$7,0),MATCH(Elements!F1351,Constants!$W$3:$AA$3,0)),0)</f>
        <v>0</v>
      </c>
      <c r="L1351" s="68">
        <f t="shared" si="42"/>
        <v>0</v>
      </c>
    </row>
    <row r="1352" spans="2:12" x14ac:dyDescent="0.85">
      <c r="B1352" s="46">
        <v>1345</v>
      </c>
      <c r="C1352" s="276"/>
      <c r="D1352" s="283"/>
      <c r="E1352" s="10"/>
      <c r="F1352" s="10"/>
      <c r="G1352" s="47">
        <v>1</v>
      </c>
      <c r="H1352" s="72"/>
      <c r="I1352" s="10"/>
      <c r="J1352" s="46">
        <f t="shared" ref="J1352:J1415" si="43">IF(ISBLANK(H1352),1,H1352)</f>
        <v>1</v>
      </c>
      <c r="K1352" s="46">
        <f>IFERROR(INDEX(TarrifTable,MATCH(Elements!E1352,Constants!$V$4:$V$7,0),MATCH(Elements!F1352,Constants!$W$3:$AA$3,0)),0)</f>
        <v>0</v>
      </c>
      <c r="L1352" s="69">
        <f t="shared" ref="L1352:L1415" si="44">J1352*G1352*K1352</f>
        <v>0</v>
      </c>
    </row>
    <row r="1353" spans="2:12" x14ac:dyDescent="0.85">
      <c r="B1353" s="48">
        <v>1346</v>
      </c>
      <c r="C1353" s="277"/>
      <c r="D1353" s="284"/>
      <c r="E1353" s="44"/>
      <c r="F1353" s="44"/>
      <c r="G1353" s="49">
        <v>1</v>
      </c>
      <c r="H1353" s="73"/>
      <c r="I1353" s="44"/>
      <c r="J1353" s="48">
        <f t="shared" si="43"/>
        <v>1</v>
      </c>
      <c r="K1353" s="48">
        <f>IFERROR(INDEX(TarrifTable,MATCH(Elements!E1353,Constants!$V$4:$V$7,0),MATCH(Elements!F1353,Constants!$W$3:$AA$3,0)),0)</f>
        <v>0</v>
      </c>
      <c r="L1353" s="68">
        <f t="shared" si="44"/>
        <v>0</v>
      </c>
    </row>
    <row r="1354" spans="2:12" x14ac:dyDescent="0.85">
      <c r="B1354" s="46">
        <v>1347</v>
      </c>
      <c r="C1354" s="276"/>
      <c r="D1354" s="283"/>
      <c r="E1354" s="10"/>
      <c r="F1354" s="10"/>
      <c r="G1354" s="47">
        <v>1</v>
      </c>
      <c r="H1354" s="72"/>
      <c r="I1354" s="10"/>
      <c r="J1354" s="46">
        <f t="shared" si="43"/>
        <v>1</v>
      </c>
      <c r="K1354" s="46">
        <f>IFERROR(INDEX(TarrifTable,MATCH(Elements!E1354,Constants!$V$4:$V$7,0),MATCH(Elements!F1354,Constants!$W$3:$AA$3,0)),0)</f>
        <v>0</v>
      </c>
      <c r="L1354" s="69">
        <f t="shared" si="44"/>
        <v>0</v>
      </c>
    </row>
    <row r="1355" spans="2:12" x14ac:dyDescent="0.85">
      <c r="B1355" s="48">
        <v>1348</v>
      </c>
      <c r="C1355" s="277"/>
      <c r="D1355" s="284"/>
      <c r="E1355" s="44"/>
      <c r="F1355" s="44"/>
      <c r="G1355" s="49">
        <v>1</v>
      </c>
      <c r="H1355" s="73"/>
      <c r="I1355" s="44"/>
      <c r="J1355" s="48">
        <f t="shared" si="43"/>
        <v>1</v>
      </c>
      <c r="K1355" s="48">
        <f>IFERROR(INDEX(TarrifTable,MATCH(Elements!E1355,Constants!$V$4:$V$7,0),MATCH(Elements!F1355,Constants!$W$3:$AA$3,0)),0)</f>
        <v>0</v>
      </c>
      <c r="L1355" s="68">
        <f t="shared" si="44"/>
        <v>0</v>
      </c>
    </row>
    <row r="1356" spans="2:12" x14ac:dyDescent="0.85">
      <c r="B1356" s="46">
        <v>1349</v>
      </c>
      <c r="C1356" s="276"/>
      <c r="D1356" s="283"/>
      <c r="E1356" s="10"/>
      <c r="F1356" s="10"/>
      <c r="G1356" s="47">
        <v>1</v>
      </c>
      <c r="H1356" s="72"/>
      <c r="I1356" s="10"/>
      <c r="J1356" s="46">
        <f t="shared" si="43"/>
        <v>1</v>
      </c>
      <c r="K1356" s="46">
        <f>IFERROR(INDEX(TarrifTable,MATCH(Elements!E1356,Constants!$V$4:$V$7,0),MATCH(Elements!F1356,Constants!$W$3:$AA$3,0)),0)</f>
        <v>0</v>
      </c>
      <c r="L1356" s="69">
        <f t="shared" si="44"/>
        <v>0</v>
      </c>
    </row>
    <row r="1357" spans="2:12" x14ac:dyDescent="0.85">
      <c r="B1357" s="48">
        <v>1350</v>
      </c>
      <c r="C1357" s="277"/>
      <c r="D1357" s="284"/>
      <c r="E1357" s="44"/>
      <c r="F1357" s="44"/>
      <c r="G1357" s="49">
        <v>1</v>
      </c>
      <c r="H1357" s="73"/>
      <c r="I1357" s="44"/>
      <c r="J1357" s="48">
        <f t="shared" si="43"/>
        <v>1</v>
      </c>
      <c r="K1357" s="48">
        <f>IFERROR(INDEX(TarrifTable,MATCH(Elements!E1357,Constants!$V$4:$V$7,0),MATCH(Elements!F1357,Constants!$W$3:$AA$3,0)),0)</f>
        <v>0</v>
      </c>
      <c r="L1357" s="68">
        <f t="shared" si="44"/>
        <v>0</v>
      </c>
    </row>
    <row r="1358" spans="2:12" x14ac:dyDescent="0.85">
      <c r="B1358" s="46">
        <v>1351</v>
      </c>
      <c r="C1358" s="276"/>
      <c r="D1358" s="283"/>
      <c r="E1358" s="10"/>
      <c r="F1358" s="10"/>
      <c r="G1358" s="47">
        <v>1</v>
      </c>
      <c r="H1358" s="72"/>
      <c r="I1358" s="10"/>
      <c r="J1358" s="46">
        <f t="shared" si="43"/>
        <v>1</v>
      </c>
      <c r="K1358" s="46">
        <f>IFERROR(INDEX(TarrifTable,MATCH(Elements!E1358,Constants!$V$4:$V$7,0),MATCH(Elements!F1358,Constants!$W$3:$AA$3,0)),0)</f>
        <v>0</v>
      </c>
      <c r="L1358" s="69">
        <f t="shared" si="44"/>
        <v>0</v>
      </c>
    </row>
    <row r="1359" spans="2:12" x14ac:dyDescent="0.85">
      <c r="B1359" s="48">
        <v>1352</v>
      </c>
      <c r="C1359" s="277"/>
      <c r="D1359" s="284"/>
      <c r="E1359" s="44"/>
      <c r="F1359" s="44"/>
      <c r="G1359" s="49">
        <v>1</v>
      </c>
      <c r="H1359" s="73"/>
      <c r="I1359" s="44"/>
      <c r="J1359" s="48">
        <f t="shared" si="43"/>
        <v>1</v>
      </c>
      <c r="K1359" s="48">
        <f>IFERROR(INDEX(TarrifTable,MATCH(Elements!E1359,Constants!$V$4:$V$7,0),MATCH(Elements!F1359,Constants!$W$3:$AA$3,0)),0)</f>
        <v>0</v>
      </c>
      <c r="L1359" s="68">
        <f t="shared" si="44"/>
        <v>0</v>
      </c>
    </row>
    <row r="1360" spans="2:12" x14ac:dyDescent="0.85">
      <c r="B1360" s="46">
        <v>1353</v>
      </c>
      <c r="C1360" s="276"/>
      <c r="D1360" s="283"/>
      <c r="E1360" s="10"/>
      <c r="F1360" s="10"/>
      <c r="G1360" s="47">
        <v>1</v>
      </c>
      <c r="H1360" s="72"/>
      <c r="I1360" s="10"/>
      <c r="J1360" s="46">
        <f t="shared" si="43"/>
        <v>1</v>
      </c>
      <c r="K1360" s="46">
        <f>IFERROR(INDEX(TarrifTable,MATCH(Elements!E1360,Constants!$V$4:$V$7,0),MATCH(Elements!F1360,Constants!$W$3:$AA$3,0)),0)</f>
        <v>0</v>
      </c>
      <c r="L1360" s="69">
        <f t="shared" si="44"/>
        <v>0</v>
      </c>
    </row>
    <row r="1361" spans="2:12" x14ac:dyDescent="0.85">
      <c r="B1361" s="48">
        <v>1354</v>
      </c>
      <c r="C1361" s="277"/>
      <c r="D1361" s="284"/>
      <c r="E1361" s="44"/>
      <c r="F1361" s="44"/>
      <c r="G1361" s="49">
        <v>1</v>
      </c>
      <c r="H1361" s="73"/>
      <c r="I1361" s="44"/>
      <c r="J1361" s="48">
        <f t="shared" si="43"/>
        <v>1</v>
      </c>
      <c r="K1361" s="48">
        <f>IFERROR(INDEX(TarrifTable,MATCH(Elements!E1361,Constants!$V$4:$V$7,0),MATCH(Elements!F1361,Constants!$W$3:$AA$3,0)),0)</f>
        <v>0</v>
      </c>
      <c r="L1361" s="68">
        <f t="shared" si="44"/>
        <v>0</v>
      </c>
    </row>
    <row r="1362" spans="2:12" x14ac:dyDescent="0.85">
      <c r="B1362" s="46">
        <v>1355</v>
      </c>
      <c r="C1362" s="276"/>
      <c r="D1362" s="283"/>
      <c r="E1362" s="10"/>
      <c r="F1362" s="10"/>
      <c r="G1362" s="47">
        <v>1</v>
      </c>
      <c r="H1362" s="72"/>
      <c r="I1362" s="10"/>
      <c r="J1362" s="46">
        <f t="shared" si="43"/>
        <v>1</v>
      </c>
      <c r="K1362" s="46">
        <f>IFERROR(INDEX(TarrifTable,MATCH(Elements!E1362,Constants!$V$4:$V$7,0),MATCH(Elements!F1362,Constants!$W$3:$AA$3,0)),0)</f>
        <v>0</v>
      </c>
      <c r="L1362" s="69">
        <f t="shared" si="44"/>
        <v>0</v>
      </c>
    </row>
    <row r="1363" spans="2:12" x14ac:dyDescent="0.85">
      <c r="B1363" s="48">
        <v>1356</v>
      </c>
      <c r="C1363" s="277"/>
      <c r="D1363" s="284"/>
      <c r="E1363" s="44"/>
      <c r="F1363" s="44"/>
      <c r="G1363" s="49">
        <v>1</v>
      </c>
      <c r="H1363" s="73"/>
      <c r="I1363" s="44"/>
      <c r="J1363" s="48">
        <f t="shared" si="43"/>
        <v>1</v>
      </c>
      <c r="K1363" s="48">
        <f>IFERROR(INDEX(TarrifTable,MATCH(Elements!E1363,Constants!$V$4:$V$7,0),MATCH(Elements!F1363,Constants!$W$3:$AA$3,0)),0)</f>
        <v>0</v>
      </c>
      <c r="L1363" s="68">
        <f t="shared" si="44"/>
        <v>0</v>
      </c>
    </row>
    <row r="1364" spans="2:12" x14ac:dyDescent="0.85">
      <c r="B1364" s="46">
        <v>1357</v>
      </c>
      <c r="C1364" s="276"/>
      <c r="D1364" s="283"/>
      <c r="E1364" s="10"/>
      <c r="F1364" s="10"/>
      <c r="G1364" s="47">
        <v>1</v>
      </c>
      <c r="H1364" s="72"/>
      <c r="I1364" s="10"/>
      <c r="J1364" s="46">
        <f t="shared" si="43"/>
        <v>1</v>
      </c>
      <c r="K1364" s="46">
        <f>IFERROR(INDEX(TarrifTable,MATCH(Elements!E1364,Constants!$V$4:$V$7,0),MATCH(Elements!F1364,Constants!$W$3:$AA$3,0)),0)</f>
        <v>0</v>
      </c>
      <c r="L1364" s="69">
        <f t="shared" si="44"/>
        <v>0</v>
      </c>
    </row>
    <row r="1365" spans="2:12" x14ac:dyDescent="0.85">
      <c r="B1365" s="48">
        <v>1358</v>
      </c>
      <c r="C1365" s="277"/>
      <c r="D1365" s="284"/>
      <c r="E1365" s="44"/>
      <c r="F1365" s="44"/>
      <c r="G1365" s="49">
        <v>1</v>
      </c>
      <c r="H1365" s="73"/>
      <c r="I1365" s="44"/>
      <c r="J1365" s="48">
        <f t="shared" si="43"/>
        <v>1</v>
      </c>
      <c r="K1365" s="48">
        <f>IFERROR(INDEX(TarrifTable,MATCH(Elements!E1365,Constants!$V$4:$V$7,0),MATCH(Elements!F1365,Constants!$W$3:$AA$3,0)),0)</f>
        <v>0</v>
      </c>
      <c r="L1365" s="68">
        <f t="shared" si="44"/>
        <v>0</v>
      </c>
    </row>
    <row r="1366" spans="2:12" x14ac:dyDescent="0.85">
      <c r="B1366" s="46">
        <v>1359</v>
      </c>
      <c r="C1366" s="276"/>
      <c r="D1366" s="283"/>
      <c r="E1366" s="10"/>
      <c r="F1366" s="10"/>
      <c r="G1366" s="47">
        <v>1</v>
      </c>
      <c r="H1366" s="72"/>
      <c r="I1366" s="10"/>
      <c r="J1366" s="46">
        <f t="shared" si="43"/>
        <v>1</v>
      </c>
      <c r="K1366" s="46">
        <f>IFERROR(INDEX(TarrifTable,MATCH(Elements!E1366,Constants!$V$4:$V$7,0),MATCH(Elements!F1366,Constants!$W$3:$AA$3,0)),0)</f>
        <v>0</v>
      </c>
      <c r="L1366" s="69">
        <f t="shared" si="44"/>
        <v>0</v>
      </c>
    </row>
    <row r="1367" spans="2:12" x14ac:dyDescent="0.85">
      <c r="B1367" s="48">
        <v>1360</v>
      </c>
      <c r="C1367" s="277"/>
      <c r="D1367" s="284"/>
      <c r="E1367" s="44"/>
      <c r="F1367" s="44"/>
      <c r="G1367" s="49">
        <v>1</v>
      </c>
      <c r="H1367" s="73"/>
      <c r="I1367" s="44"/>
      <c r="J1367" s="48">
        <f t="shared" si="43"/>
        <v>1</v>
      </c>
      <c r="K1367" s="48">
        <f>IFERROR(INDEX(TarrifTable,MATCH(Elements!E1367,Constants!$V$4:$V$7,0),MATCH(Elements!F1367,Constants!$W$3:$AA$3,0)),0)</f>
        <v>0</v>
      </c>
      <c r="L1367" s="68">
        <f t="shared" si="44"/>
        <v>0</v>
      </c>
    </row>
    <row r="1368" spans="2:12" x14ac:dyDescent="0.85">
      <c r="B1368" s="46">
        <v>1361</v>
      </c>
      <c r="C1368" s="276"/>
      <c r="D1368" s="283"/>
      <c r="E1368" s="10"/>
      <c r="F1368" s="10"/>
      <c r="G1368" s="47">
        <v>1</v>
      </c>
      <c r="H1368" s="72"/>
      <c r="I1368" s="10"/>
      <c r="J1368" s="46">
        <f t="shared" si="43"/>
        <v>1</v>
      </c>
      <c r="K1368" s="46">
        <f>IFERROR(INDEX(TarrifTable,MATCH(Elements!E1368,Constants!$V$4:$V$7,0),MATCH(Elements!F1368,Constants!$W$3:$AA$3,0)),0)</f>
        <v>0</v>
      </c>
      <c r="L1368" s="69">
        <f t="shared" si="44"/>
        <v>0</v>
      </c>
    </row>
    <row r="1369" spans="2:12" x14ac:dyDescent="0.85">
      <c r="B1369" s="48">
        <v>1362</v>
      </c>
      <c r="C1369" s="277"/>
      <c r="D1369" s="284"/>
      <c r="E1369" s="44"/>
      <c r="F1369" s="44"/>
      <c r="G1369" s="49">
        <v>1</v>
      </c>
      <c r="H1369" s="73"/>
      <c r="I1369" s="44"/>
      <c r="J1369" s="48">
        <f t="shared" si="43"/>
        <v>1</v>
      </c>
      <c r="K1369" s="48">
        <f>IFERROR(INDEX(TarrifTable,MATCH(Elements!E1369,Constants!$V$4:$V$7,0),MATCH(Elements!F1369,Constants!$W$3:$AA$3,0)),0)</f>
        <v>0</v>
      </c>
      <c r="L1369" s="68">
        <f t="shared" si="44"/>
        <v>0</v>
      </c>
    </row>
    <row r="1370" spans="2:12" x14ac:dyDescent="0.85">
      <c r="B1370" s="46">
        <v>1363</v>
      </c>
      <c r="C1370" s="276"/>
      <c r="D1370" s="283"/>
      <c r="E1370" s="10"/>
      <c r="F1370" s="10"/>
      <c r="G1370" s="47">
        <v>1</v>
      </c>
      <c r="H1370" s="72"/>
      <c r="I1370" s="10"/>
      <c r="J1370" s="46">
        <f t="shared" si="43"/>
        <v>1</v>
      </c>
      <c r="K1370" s="46">
        <f>IFERROR(INDEX(TarrifTable,MATCH(Elements!E1370,Constants!$V$4:$V$7,0),MATCH(Elements!F1370,Constants!$W$3:$AA$3,0)),0)</f>
        <v>0</v>
      </c>
      <c r="L1370" s="69">
        <f t="shared" si="44"/>
        <v>0</v>
      </c>
    </row>
    <row r="1371" spans="2:12" x14ac:dyDescent="0.85">
      <c r="B1371" s="48">
        <v>1364</v>
      </c>
      <c r="C1371" s="277"/>
      <c r="D1371" s="284"/>
      <c r="E1371" s="44"/>
      <c r="F1371" s="44"/>
      <c r="G1371" s="49">
        <v>1</v>
      </c>
      <c r="H1371" s="73"/>
      <c r="I1371" s="44"/>
      <c r="J1371" s="48">
        <f t="shared" si="43"/>
        <v>1</v>
      </c>
      <c r="K1371" s="48">
        <f>IFERROR(INDEX(TarrifTable,MATCH(Elements!E1371,Constants!$V$4:$V$7,0),MATCH(Elements!F1371,Constants!$W$3:$AA$3,0)),0)</f>
        <v>0</v>
      </c>
      <c r="L1371" s="68">
        <f t="shared" si="44"/>
        <v>0</v>
      </c>
    </row>
    <row r="1372" spans="2:12" x14ac:dyDescent="0.85">
      <c r="B1372" s="46">
        <v>1365</v>
      </c>
      <c r="C1372" s="276"/>
      <c r="D1372" s="283"/>
      <c r="E1372" s="10"/>
      <c r="F1372" s="10"/>
      <c r="G1372" s="47">
        <v>1</v>
      </c>
      <c r="H1372" s="72"/>
      <c r="I1372" s="10"/>
      <c r="J1372" s="46">
        <f t="shared" si="43"/>
        <v>1</v>
      </c>
      <c r="K1372" s="46">
        <f>IFERROR(INDEX(TarrifTable,MATCH(Elements!E1372,Constants!$V$4:$V$7,0),MATCH(Elements!F1372,Constants!$W$3:$AA$3,0)),0)</f>
        <v>0</v>
      </c>
      <c r="L1372" s="69">
        <f t="shared" si="44"/>
        <v>0</v>
      </c>
    </row>
    <row r="1373" spans="2:12" x14ac:dyDescent="0.85">
      <c r="B1373" s="48">
        <v>1366</v>
      </c>
      <c r="C1373" s="277"/>
      <c r="D1373" s="284"/>
      <c r="E1373" s="44"/>
      <c r="F1373" s="44"/>
      <c r="G1373" s="49">
        <v>1</v>
      </c>
      <c r="H1373" s="73"/>
      <c r="I1373" s="44"/>
      <c r="J1373" s="48">
        <f t="shared" si="43"/>
        <v>1</v>
      </c>
      <c r="K1373" s="48">
        <f>IFERROR(INDEX(TarrifTable,MATCH(Elements!E1373,Constants!$V$4:$V$7,0),MATCH(Elements!F1373,Constants!$W$3:$AA$3,0)),0)</f>
        <v>0</v>
      </c>
      <c r="L1373" s="68">
        <f t="shared" si="44"/>
        <v>0</v>
      </c>
    </row>
    <row r="1374" spans="2:12" x14ac:dyDescent="0.85">
      <c r="B1374" s="46">
        <v>1367</v>
      </c>
      <c r="C1374" s="276"/>
      <c r="D1374" s="283"/>
      <c r="E1374" s="10"/>
      <c r="F1374" s="10"/>
      <c r="G1374" s="47">
        <v>1</v>
      </c>
      <c r="H1374" s="72"/>
      <c r="I1374" s="10"/>
      <c r="J1374" s="46">
        <f t="shared" si="43"/>
        <v>1</v>
      </c>
      <c r="K1374" s="46">
        <f>IFERROR(INDEX(TarrifTable,MATCH(Elements!E1374,Constants!$V$4:$V$7,0),MATCH(Elements!F1374,Constants!$W$3:$AA$3,0)),0)</f>
        <v>0</v>
      </c>
      <c r="L1374" s="69">
        <f t="shared" si="44"/>
        <v>0</v>
      </c>
    </row>
    <row r="1375" spans="2:12" x14ac:dyDescent="0.85">
      <c r="B1375" s="48">
        <v>1368</v>
      </c>
      <c r="C1375" s="277"/>
      <c r="D1375" s="284"/>
      <c r="E1375" s="44"/>
      <c r="F1375" s="44"/>
      <c r="G1375" s="49">
        <v>1</v>
      </c>
      <c r="H1375" s="73"/>
      <c r="I1375" s="44"/>
      <c r="J1375" s="48">
        <f t="shared" si="43"/>
        <v>1</v>
      </c>
      <c r="K1375" s="48">
        <f>IFERROR(INDEX(TarrifTable,MATCH(Elements!E1375,Constants!$V$4:$V$7,0),MATCH(Elements!F1375,Constants!$W$3:$AA$3,0)),0)</f>
        <v>0</v>
      </c>
      <c r="L1375" s="68">
        <f t="shared" si="44"/>
        <v>0</v>
      </c>
    </row>
    <row r="1376" spans="2:12" x14ac:dyDescent="0.85">
      <c r="B1376" s="46">
        <v>1369</v>
      </c>
      <c r="C1376" s="276"/>
      <c r="D1376" s="283"/>
      <c r="E1376" s="10"/>
      <c r="F1376" s="10"/>
      <c r="G1376" s="47">
        <v>1</v>
      </c>
      <c r="H1376" s="72"/>
      <c r="I1376" s="10"/>
      <c r="J1376" s="46">
        <f t="shared" si="43"/>
        <v>1</v>
      </c>
      <c r="K1376" s="46">
        <f>IFERROR(INDEX(TarrifTable,MATCH(Elements!E1376,Constants!$V$4:$V$7,0),MATCH(Elements!F1376,Constants!$W$3:$AA$3,0)),0)</f>
        <v>0</v>
      </c>
      <c r="L1376" s="69">
        <f t="shared" si="44"/>
        <v>0</v>
      </c>
    </row>
    <row r="1377" spans="2:12" x14ac:dyDescent="0.85">
      <c r="B1377" s="48">
        <v>1370</v>
      </c>
      <c r="C1377" s="277"/>
      <c r="D1377" s="284"/>
      <c r="E1377" s="44"/>
      <c r="F1377" s="44"/>
      <c r="G1377" s="49">
        <v>1</v>
      </c>
      <c r="H1377" s="73"/>
      <c r="I1377" s="44"/>
      <c r="J1377" s="48">
        <f t="shared" si="43"/>
        <v>1</v>
      </c>
      <c r="K1377" s="48">
        <f>IFERROR(INDEX(TarrifTable,MATCH(Elements!E1377,Constants!$V$4:$V$7,0),MATCH(Elements!F1377,Constants!$W$3:$AA$3,0)),0)</f>
        <v>0</v>
      </c>
      <c r="L1377" s="68">
        <f t="shared" si="44"/>
        <v>0</v>
      </c>
    </row>
    <row r="1378" spans="2:12" x14ac:dyDescent="0.85">
      <c r="B1378" s="46">
        <v>1371</v>
      </c>
      <c r="C1378" s="276"/>
      <c r="D1378" s="283"/>
      <c r="E1378" s="10"/>
      <c r="F1378" s="10"/>
      <c r="G1378" s="47">
        <v>1</v>
      </c>
      <c r="H1378" s="72"/>
      <c r="I1378" s="10"/>
      <c r="J1378" s="46">
        <f t="shared" si="43"/>
        <v>1</v>
      </c>
      <c r="K1378" s="46">
        <f>IFERROR(INDEX(TarrifTable,MATCH(Elements!E1378,Constants!$V$4:$V$7,0),MATCH(Elements!F1378,Constants!$W$3:$AA$3,0)),0)</f>
        <v>0</v>
      </c>
      <c r="L1378" s="69">
        <f t="shared" si="44"/>
        <v>0</v>
      </c>
    </row>
    <row r="1379" spans="2:12" x14ac:dyDescent="0.85">
      <c r="B1379" s="48">
        <v>1372</v>
      </c>
      <c r="C1379" s="277"/>
      <c r="D1379" s="284"/>
      <c r="E1379" s="44"/>
      <c r="F1379" s="44"/>
      <c r="G1379" s="49">
        <v>1</v>
      </c>
      <c r="H1379" s="73"/>
      <c r="I1379" s="44"/>
      <c r="J1379" s="48">
        <f t="shared" si="43"/>
        <v>1</v>
      </c>
      <c r="K1379" s="48">
        <f>IFERROR(INDEX(TarrifTable,MATCH(Elements!E1379,Constants!$V$4:$V$7,0),MATCH(Elements!F1379,Constants!$W$3:$AA$3,0)),0)</f>
        <v>0</v>
      </c>
      <c r="L1379" s="68">
        <f t="shared" si="44"/>
        <v>0</v>
      </c>
    </row>
    <row r="1380" spans="2:12" x14ac:dyDescent="0.85">
      <c r="B1380" s="46">
        <v>1373</v>
      </c>
      <c r="C1380" s="276"/>
      <c r="D1380" s="283"/>
      <c r="E1380" s="10"/>
      <c r="F1380" s="10"/>
      <c r="G1380" s="47">
        <v>1</v>
      </c>
      <c r="H1380" s="72"/>
      <c r="I1380" s="10"/>
      <c r="J1380" s="46">
        <f t="shared" si="43"/>
        <v>1</v>
      </c>
      <c r="K1380" s="46">
        <f>IFERROR(INDEX(TarrifTable,MATCH(Elements!E1380,Constants!$V$4:$V$7,0),MATCH(Elements!F1380,Constants!$W$3:$AA$3,0)),0)</f>
        <v>0</v>
      </c>
      <c r="L1380" s="69">
        <f t="shared" si="44"/>
        <v>0</v>
      </c>
    </row>
    <row r="1381" spans="2:12" x14ac:dyDescent="0.85">
      <c r="B1381" s="48">
        <v>1374</v>
      </c>
      <c r="C1381" s="277"/>
      <c r="D1381" s="284"/>
      <c r="E1381" s="44"/>
      <c r="F1381" s="44"/>
      <c r="G1381" s="49">
        <v>1</v>
      </c>
      <c r="H1381" s="73"/>
      <c r="I1381" s="44"/>
      <c r="J1381" s="48">
        <f t="shared" si="43"/>
        <v>1</v>
      </c>
      <c r="K1381" s="48">
        <f>IFERROR(INDEX(TarrifTable,MATCH(Elements!E1381,Constants!$V$4:$V$7,0),MATCH(Elements!F1381,Constants!$W$3:$AA$3,0)),0)</f>
        <v>0</v>
      </c>
      <c r="L1381" s="68">
        <f t="shared" si="44"/>
        <v>0</v>
      </c>
    </row>
    <row r="1382" spans="2:12" x14ac:dyDescent="0.85">
      <c r="B1382" s="46">
        <v>1375</v>
      </c>
      <c r="C1382" s="276"/>
      <c r="D1382" s="283"/>
      <c r="E1382" s="10"/>
      <c r="F1382" s="10"/>
      <c r="G1382" s="47">
        <v>1</v>
      </c>
      <c r="H1382" s="72"/>
      <c r="I1382" s="10"/>
      <c r="J1382" s="46">
        <f t="shared" si="43"/>
        <v>1</v>
      </c>
      <c r="K1382" s="46">
        <f>IFERROR(INDEX(TarrifTable,MATCH(Elements!E1382,Constants!$V$4:$V$7,0),MATCH(Elements!F1382,Constants!$W$3:$AA$3,0)),0)</f>
        <v>0</v>
      </c>
      <c r="L1382" s="69">
        <f t="shared" si="44"/>
        <v>0</v>
      </c>
    </row>
    <row r="1383" spans="2:12" x14ac:dyDescent="0.85">
      <c r="B1383" s="48">
        <v>1376</v>
      </c>
      <c r="C1383" s="277"/>
      <c r="D1383" s="284"/>
      <c r="E1383" s="44"/>
      <c r="F1383" s="44"/>
      <c r="G1383" s="49">
        <v>1</v>
      </c>
      <c r="H1383" s="73"/>
      <c r="I1383" s="44"/>
      <c r="J1383" s="48">
        <f t="shared" si="43"/>
        <v>1</v>
      </c>
      <c r="K1383" s="48">
        <f>IFERROR(INDEX(TarrifTable,MATCH(Elements!E1383,Constants!$V$4:$V$7,0),MATCH(Elements!F1383,Constants!$W$3:$AA$3,0)),0)</f>
        <v>0</v>
      </c>
      <c r="L1383" s="68">
        <f t="shared" si="44"/>
        <v>0</v>
      </c>
    </row>
    <row r="1384" spans="2:12" x14ac:dyDescent="0.85">
      <c r="B1384" s="46">
        <v>1377</v>
      </c>
      <c r="C1384" s="276"/>
      <c r="D1384" s="283"/>
      <c r="E1384" s="10"/>
      <c r="F1384" s="10"/>
      <c r="G1384" s="47">
        <v>1</v>
      </c>
      <c r="H1384" s="72"/>
      <c r="I1384" s="10"/>
      <c r="J1384" s="46">
        <f t="shared" si="43"/>
        <v>1</v>
      </c>
      <c r="K1384" s="46">
        <f>IFERROR(INDEX(TarrifTable,MATCH(Elements!E1384,Constants!$V$4:$V$7,0),MATCH(Elements!F1384,Constants!$W$3:$AA$3,0)),0)</f>
        <v>0</v>
      </c>
      <c r="L1384" s="69">
        <f t="shared" si="44"/>
        <v>0</v>
      </c>
    </row>
    <row r="1385" spans="2:12" x14ac:dyDescent="0.85">
      <c r="B1385" s="48">
        <v>1378</v>
      </c>
      <c r="C1385" s="277"/>
      <c r="D1385" s="284"/>
      <c r="E1385" s="44"/>
      <c r="F1385" s="44"/>
      <c r="G1385" s="49">
        <v>1</v>
      </c>
      <c r="H1385" s="73"/>
      <c r="I1385" s="44"/>
      <c r="J1385" s="48">
        <f t="shared" si="43"/>
        <v>1</v>
      </c>
      <c r="K1385" s="48">
        <f>IFERROR(INDEX(TarrifTable,MATCH(Elements!E1385,Constants!$V$4:$V$7,0),MATCH(Elements!F1385,Constants!$W$3:$AA$3,0)),0)</f>
        <v>0</v>
      </c>
      <c r="L1385" s="68">
        <f t="shared" si="44"/>
        <v>0</v>
      </c>
    </row>
    <row r="1386" spans="2:12" x14ac:dyDescent="0.85">
      <c r="B1386" s="46">
        <v>1379</v>
      </c>
      <c r="C1386" s="276"/>
      <c r="D1386" s="283"/>
      <c r="E1386" s="10"/>
      <c r="F1386" s="10"/>
      <c r="G1386" s="47">
        <v>1</v>
      </c>
      <c r="H1386" s="72"/>
      <c r="I1386" s="10"/>
      <c r="J1386" s="46">
        <f t="shared" si="43"/>
        <v>1</v>
      </c>
      <c r="K1386" s="46">
        <f>IFERROR(INDEX(TarrifTable,MATCH(Elements!E1386,Constants!$V$4:$V$7,0),MATCH(Elements!F1386,Constants!$W$3:$AA$3,0)),0)</f>
        <v>0</v>
      </c>
      <c r="L1386" s="69">
        <f t="shared" si="44"/>
        <v>0</v>
      </c>
    </row>
    <row r="1387" spans="2:12" x14ac:dyDescent="0.85">
      <c r="B1387" s="48">
        <v>1380</v>
      </c>
      <c r="C1387" s="277"/>
      <c r="D1387" s="284"/>
      <c r="E1387" s="44"/>
      <c r="F1387" s="44"/>
      <c r="G1387" s="49">
        <v>1</v>
      </c>
      <c r="H1387" s="73"/>
      <c r="I1387" s="44"/>
      <c r="J1387" s="48">
        <f t="shared" si="43"/>
        <v>1</v>
      </c>
      <c r="K1387" s="48">
        <f>IFERROR(INDEX(TarrifTable,MATCH(Elements!E1387,Constants!$V$4:$V$7,0),MATCH(Elements!F1387,Constants!$W$3:$AA$3,0)),0)</f>
        <v>0</v>
      </c>
      <c r="L1387" s="68">
        <f t="shared" si="44"/>
        <v>0</v>
      </c>
    </row>
    <row r="1388" spans="2:12" x14ac:dyDescent="0.85">
      <c r="B1388" s="46">
        <v>1381</v>
      </c>
      <c r="C1388" s="276"/>
      <c r="D1388" s="283"/>
      <c r="E1388" s="10"/>
      <c r="F1388" s="10"/>
      <c r="G1388" s="47">
        <v>1</v>
      </c>
      <c r="H1388" s="72"/>
      <c r="I1388" s="10"/>
      <c r="J1388" s="46">
        <f t="shared" si="43"/>
        <v>1</v>
      </c>
      <c r="K1388" s="46">
        <f>IFERROR(INDEX(TarrifTable,MATCH(Elements!E1388,Constants!$V$4:$V$7,0),MATCH(Elements!F1388,Constants!$W$3:$AA$3,0)),0)</f>
        <v>0</v>
      </c>
      <c r="L1388" s="69">
        <f t="shared" si="44"/>
        <v>0</v>
      </c>
    </row>
    <row r="1389" spans="2:12" x14ac:dyDescent="0.85">
      <c r="B1389" s="48">
        <v>1382</v>
      </c>
      <c r="C1389" s="277"/>
      <c r="D1389" s="284"/>
      <c r="E1389" s="44"/>
      <c r="F1389" s="44"/>
      <c r="G1389" s="49">
        <v>1</v>
      </c>
      <c r="H1389" s="73"/>
      <c r="I1389" s="44"/>
      <c r="J1389" s="48">
        <f t="shared" si="43"/>
        <v>1</v>
      </c>
      <c r="K1389" s="48">
        <f>IFERROR(INDEX(TarrifTable,MATCH(Elements!E1389,Constants!$V$4:$V$7,0),MATCH(Elements!F1389,Constants!$W$3:$AA$3,0)),0)</f>
        <v>0</v>
      </c>
      <c r="L1389" s="68">
        <f t="shared" si="44"/>
        <v>0</v>
      </c>
    </row>
    <row r="1390" spans="2:12" x14ac:dyDescent="0.85">
      <c r="B1390" s="46">
        <v>1383</v>
      </c>
      <c r="C1390" s="276"/>
      <c r="D1390" s="283"/>
      <c r="E1390" s="10"/>
      <c r="F1390" s="10"/>
      <c r="G1390" s="47">
        <v>1</v>
      </c>
      <c r="H1390" s="72"/>
      <c r="I1390" s="10"/>
      <c r="J1390" s="46">
        <f t="shared" si="43"/>
        <v>1</v>
      </c>
      <c r="K1390" s="46">
        <f>IFERROR(INDEX(TarrifTable,MATCH(Elements!E1390,Constants!$V$4:$V$7,0),MATCH(Elements!F1390,Constants!$W$3:$AA$3,0)),0)</f>
        <v>0</v>
      </c>
      <c r="L1390" s="69">
        <f t="shared" si="44"/>
        <v>0</v>
      </c>
    </row>
    <row r="1391" spans="2:12" x14ac:dyDescent="0.85">
      <c r="B1391" s="48">
        <v>1384</v>
      </c>
      <c r="C1391" s="277"/>
      <c r="D1391" s="284"/>
      <c r="E1391" s="44"/>
      <c r="F1391" s="44"/>
      <c r="G1391" s="49">
        <v>1</v>
      </c>
      <c r="H1391" s="73"/>
      <c r="I1391" s="44"/>
      <c r="J1391" s="48">
        <f t="shared" si="43"/>
        <v>1</v>
      </c>
      <c r="K1391" s="48">
        <f>IFERROR(INDEX(TarrifTable,MATCH(Elements!E1391,Constants!$V$4:$V$7,0),MATCH(Elements!F1391,Constants!$W$3:$AA$3,0)),0)</f>
        <v>0</v>
      </c>
      <c r="L1391" s="68">
        <f t="shared" si="44"/>
        <v>0</v>
      </c>
    </row>
    <row r="1392" spans="2:12" x14ac:dyDescent="0.85">
      <c r="B1392" s="46">
        <v>1385</v>
      </c>
      <c r="C1392" s="276"/>
      <c r="D1392" s="283"/>
      <c r="E1392" s="10"/>
      <c r="F1392" s="10"/>
      <c r="G1392" s="47">
        <v>1</v>
      </c>
      <c r="H1392" s="72"/>
      <c r="I1392" s="10"/>
      <c r="J1392" s="46">
        <f t="shared" si="43"/>
        <v>1</v>
      </c>
      <c r="K1392" s="46">
        <f>IFERROR(INDEX(TarrifTable,MATCH(Elements!E1392,Constants!$V$4:$V$7,0),MATCH(Elements!F1392,Constants!$W$3:$AA$3,0)),0)</f>
        <v>0</v>
      </c>
      <c r="L1392" s="69">
        <f t="shared" si="44"/>
        <v>0</v>
      </c>
    </row>
    <row r="1393" spans="2:12" x14ac:dyDescent="0.85">
      <c r="B1393" s="48">
        <v>1386</v>
      </c>
      <c r="C1393" s="277"/>
      <c r="D1393" s="284"/>
      <c r="E1393" s="44"/>
      <c r="F1393" s="44"/>
      <c r="G1393" s="49">
        <v>1</v>
      </c>
      <c r="H1393" s="73"/>
      <c r="I1393" s="44"/>
      <c r="J1393" s="48">
        <f t="shared" si="43"/>
        <v>1</v>
      </c>
      <c r="K1393" s="48">
        <f>IFERROR(INDEX(TarrifTable,MATCH(Elements!E1393,Constants!$V$4:$V$7,0),MATCH(Elements!F1393,Constants!$W$3:$AA$3,0)),0)</f>
        <v>0</v>
      </c>
      <c r="L1393" s="68">
        <f t="shared" si="44"/>
        <v>0</v>
      </c>
    </row>
    <row r="1394" spans="2:12" x14ac:dyDescent="0.85">
      <c r="B1394" s="46">
        <v>1387</v>
      </c>
      <c r="C1394" s="276"/>
      <c r="D1394" s="283"/>
      <c r="E1394" s="10"/>
      <c r="F1394" s="10"/>
      <c r="G1394" s="47">
        <v>1</v>
      </c>
      <c r="H1394" s="72"/>
      <c r="I1394" s="10"/>
      <c r="J1394" s="46">
        <f t="shared" si="43"/>
        <v>1</v>
      </c>
      <c r="K1394" s="46">
        <f>IFERROR(INDEX(TarrifTable,MATCH(Elements!E1394,Constants!$V$4:$V$7,0),MATCH(Elements!F1394,Constants!$W$3:$AA$3,0)),0)</f>
        <v>0</v>
      </c>
      <c r="L1394" s="69">
        <f t="shared" si="44"/>
        <v>0</v>
      </c>
    </row>
    <row r="1395" spans="2:12" x14ac:dyDescent="0.85">
      <c r="B1395" s="48">
        <v>1388</v>
      </c>
      <c r="C1395" s="277"/>
      <c r="D1395" s="284"/>
      <c r="E1395" s="44"/>
      <c r="F1395" s="44"/>
      <c r="G1395" s="49">
        <v>1</v>
      </c>
      <c r="H1395" s="73"/>
      <c r="I1395" s="44"/>
      <c r="J1395" s="48">
        <f t="shared" si="43"/>
        <v>1</v>
      </c>
      <c r="K1395" s="48">
        <f>IFERROR(INDEX(TarrifTable,MATCH(Elements!E1395,Constants!$V$4:$V$7,0),MATCH(Elements!F1395,Constants!$W$3:$AA$3,0)),0)</f>
        <v>0</v>
      </c>
      <c r="L1395" s="68">
        <f t="shared" si="44"/>
        <v>0</v>
      </c>
    </row>
    <row r="1396" spans="2:12" x14ac:dyDescent="0.85">
      <c r="B1396" s="46">
        <v>1389</v>
      </c>
      <c r="C1396" s="276"/>
      <c r="D1396" s="283"/>
      <c r="E1396" s="10"/>
      <c r="F1396" s="10"/>
      <c r="G1396" s="47">
        <v>1</v>
      </c>
      <c r="H1396" s="72"/>
      <c r="I1396" s="10"/>
      <c r="J1396" s="46">
        <f t="shared" si="43"/>
        <v>1</v>
      </c>
      <c r="K1396" s="46">
        <f>IFERROR(INDEX(TarrifTable,MATCH(Elements!E1396,Constants!$V$4:$V$7,0),MATCH(Elements!F1396,Constants!$W$3:$AA$3,0)),0)</f>
        <v>0</v>
      </c>
      <c r="L1396" s="69">
        <f t="shared" si="44"/>
        <v>0</v>
      </c>
    </row>
    <row r="1397" spans="2:12" x14ac:dyDescent="0.85">
      <c r="B1397" s="48">
        <v>1390</v>
      </c>
      <c r="C1397" s="277"/>
      <c r="D1397" s="284"/>
      <c r="E1397" s="44"/>
      <c r="F1397" s="44"/>
      <c r="G1397" s="49">
        <v>1</v>
      </c>
      <c r="H1397" s="73"/>
      <c r="I1397" s="44"/>
      <c r="J1397" s="48">
        <f t="shared" si="43"/>
        <v>1</v>
      </c>
      <c r="K1397" s="48">
        <f>IFERROR(INDEX(TarrifTable,MATCH(Elements!E1397,Constants!$V$4:$V$7,0),MATCH(Elements!F1397,Constants!$W$3:$AA$3,0)),0)</f>
        <v>0</v>
      </c>
      <c r="L1397" s="68">
        <f t="shared" si="44"/>
        <v>0</v>
      </c>
    </row>
    <row r="1398" spans="2:12" x14ac:dyDescent="0.85">
      <c r="B1398" s="46">
        <v>1391</v>
      </c>
      <c r="C1398" s="276"/>
      <c r="D1398" s="283"/>
      <c r="E1398" s="10"/>
      <c r="F1398" s="10"/>
      <c r="G1398" s="47">
        <v>1</v>
      </c>
      <c r="H1398" s="72"/>
      <c r="I1398" s="10"/>
      <c r="J1398" s="46">
        <f t="shared" si="43"/>
        <v>1</v>
      </c>
      <c r="K1398" s="46">
        <f>IFERROR(INDEX(TarrifTable,MATCH(Elements!E1398,Constants!$V$4:$V$7,0),MATCH(Elements!F1398,Constants!$W$3:$AA$3,0)),0)</f>
        <v>0</v>
      </c>
      <c r="L1398" s="69">
        <f t="shared" si="44"/>
        <v>0</v>
      </c>
    </row>
    <row r="1399" spans="2:12" x14ac:dyDescent="0.85">
      <c r="B1399" s="48">
        <v>1392</v>
      </c>
      <c r="C1399" s="277"/>
      <c r="D1399" s="284"/>
      <c r="E1399" s="44"/>
      <c r="F1399" s="44"/>
      <c r="G1399" s="49">
        <v>1</v>
      </c>
      <c r="H1399" s="73"/>
      <c r="I1399" s="44"/>
      <c r="J1399" s="48">
        <f t="shared" si="43"/>
        <v>1</v>
      </c>
      <c r="K1399" s="48">
        <f>IFERROR(INDEX(TarrifTable,MATCH(Elements!E1399,Constants!$V$4:$V$7,0),MATCH(Elements!F1399,Constants!$W$3:$AA$3,0)),0)</f>
        <v>0</v>
      </c>
      <c r="L1399" s="68">
        <f t="shared" si="44"/>
        <v>0</v>
      </c>
    </row>
    <row r="1400" spans="2:12" x14ac:dyDescent="0.85">
      <c r="B1400" s="46">
        <v>1393</v>
      </c>
      <c r="C1400" s="276"/>
      <c r="D1400" s="283"/>
      <c r="E1400" s="10"/>
      <c r="F1400" s="10"/>
      <c r="G1400" s="47">
        <v>1</v>
      </c>
      <c r="H1400" s="72"/>
      <c r="I1400" s="10"/>
      <c r="J1400" s="46">
        <f t="shared" si="43"/>
        <v>1</v>
      </c>
      <c r="K1400" s="46">
        <f>IFERROR(INDEX(TarrifTable,MATCH(Elements!E1400,Constants!$V$4:$V$7,0),MATCH(Elements!F1400,Constants!$W$3:$AA$3,0)),0)</f>
        <v>0</v>
      </c>
      <c r="L1400" s="69">
        <f t="shared" si="44"/>
        <v>0</v>
      </c>
    </row>
    <row r="1401" spans="2:12" x14ac:dyDescent="0.85">
      <c r="B1401" s="48">
        <v>1394</v>
      </c>
      <c r="C1401" s="277"/>
      <c r="D1401" s="284"/>
      <c r="E1401" s="44"/>
      <c r="F1401" s="44"/>
      <c r="G1401" s="49">
        <v>1</v>
      </c>
      <c r="H1401" s="73"/>
      <c r="I1401" s="44"/>
      <c r="J1401" s="48">
        <f t="shared" si="43"/>
        <v>1</v>
      </c>
      <c r="K1401" s="48">
        <f>IFERROR(INDEX(TarrifTable,MATCH(Elements!E1401,Constants!$V$4:$V$7,0),MATCH(Elements!F1401,Constants!$W$3:$AA$3,0)),0)</f>
        <v>0</v>
      </c>
      <c r="L1401" s="68">
        <f t="shared" si="44"/>
        <v>0</v>
      </c>
    </row>
    <row r="1402" spans="2:12" x14ac:dyDescent="0.85">
      <c r="B1402" s="46">
        <v>1395</v>
      </c>
      <c r="C1402" s="276"/>
      <c r="D1402" s="283"/>
      <c r="E1402" s="10"/>
      <c r="F1402" s="10"/>
      <c r="G1402" s="47">
        <v>1</v>
      </c>
      <c r="H1402" s="72"/>
      <c r="I1402" s="10"/>
      <c r="J1402" s="46">
        <f t="shared" si="43"/>
        <v>1</v>
      </c>
      <c r="K1402" s="46">
        <f>IFERROR(INDEX(TarrifTable,MATCH(Elements!E1402,Constants!$V$4:$V$7,0),MATCH(Elements!F1402,Constants!$W$3:$AA$3,0)),0)</f>
        <v>0</v>
      </c>
      <c r="L1402" s="69">
        <f t="shared" si="44"/>
        <v>0</v>
      </c>
    </row>
    <row r="1403" spans="2:12" x14ac:dyDescent="0.85">
      <c r="B1403" s="48">
        <v>1396</v>
      </c>
      <c r="C1403" s="277"/>
      <c r="D1403" s="284"/>
      <c r="E1403" s="44"/>
      <c r="F1403" s="44"/>
      <c r="G1403" s="49">
        <v>1</v>
      </c>
      <c r="H1403" s="73"/>
      <c r="I1403" s="44"/>
      <c r="J1403" s="48">
        <f t="shared" si="43"/>
        <v>1</v>
      </c>
      <c r="K1403" s="48">
        <f>IFERROR(INDEX(TarrifTable,MATCH(Elements!E1403,Constants!$V$4:$V$7,0),MATCH(Elements!F1403,Constants!$W$3:$AA$3,0)),0)</f>
        <v>0</v>
      </c>
      <c r="L1403" s="68">
        <f t="shared" si="44"/>
        <v>0</v>
      </c>
    </row>
    <row r="1404" spans="2:12" x14ac:dyDescent="0.85">
      <c r="B1404" s="46">
        <v>1397</v>
      </c>
      <c r="C1404" s="276"/>
      <c r="D1404" s="283"/>
      <c r="E1404" s="10"/>
      <c r="F1404" s="10"/>
      <c r="G1404" s="47">
        <v>1</v>
      </c>
      <c r="H1404" s="72"/>
      <c r="I1404" s="10"/>
      <c r="J1404" s="46">
        <f t="shared" si="43"/>
        <v>1</v>
      </c>
      <c r="K1404" s="46">
        <f>IFERROR(INDEX(TarrifTable,MATCH(Elements!E1404,Constants!$V$4:$V$7,0),MATCH(Elements!F1404,Constants!$W$3:$AA$3,0)),0)</f>
        <v>0</v>
      </c>
      <c r="L1404" s="69">
        <f t="shared" si="44"/>
        <v>0</v>
      </c>
    </row>
    <row r="1405" spans="2:12" x14ac:dyDescent="0.85">
      <c r="B1405" s="48">
        <v>1398</v>
      </c>
      <c r="C1405" s="277"/>
      <c r="D1405" s="284"/>
      <c r="E1405" s="44"/>
      <c r="F1405" s="44"/>
      <c r="G1405" s="49">
        <v>1</v>
      </c>
      <c r="H1405" s="73"/>
      <c r="I1405" s="44"/>
      <c r="J1405" s="48">
        <f t="shared" si="43"/>
        <v>1</v>
      </c>
      <c r="K1405" s="48">
        <f>IFERROR(INDEX(TarrifTable,MATCH(Elements!E1405,Constants!$V$4:$V$7,0),MATCH(Elements!F1405,Constants!$W$3:$AA$3,0)),0)</f>
        <v>0</v>
      </c>
      <c r="L1405" s="68">
        <f t="shared" si="44"/>
        <v>0</v>
      </c>
    </row>
    <row r="1406" spans="2:12" x14ac:dyDescent="0.85">
      <c r="B1406" s="46">
        <v>1399</v>
      </c>
      <c r="C1406" s="276"/>
      <c r="D1406" s="283"/>
      <c r="E1406" s="10"/>
      <c r="F1406" s="10"/>
      <c r="G1406" s="47">
        <v>1</v>
      </c>
      <c r="H1406" s="72"/>
      <c r="I1406" s="10"/>
      <c r="J1406" s="46">
        <f t="shared" si="43"/>
        <v>1</v>
      </c>
      <c r="K1406" s="46">
        <f>IFERROR(INDEX(TarrifTable,MATCH(Elements!E1406,Constants!$V$4:$V$7,0),MATCH(Elements!F1406,Constants!$W$3:$AA$3,0)),0)</f>
        <v>0</v>
      </c>
      <c r="L1406" s="69">
        <f t="shared" si="44"/>
        <v>0</v>
      </c>
    </row>
    <row r="1407" spans="2:12" x14ac:dyDescent="0.85">
      <c r="B1407" s="48">
        <v>1400</v>
      </c>
      <c r="C1407" s="277"/>
      <c r="D1407" s="284"/>
      <c r="E1407" s="44"/>
      <c r="F1407" s="44"/>
      <c r="G1407" s="49">
        <v>1</v>
      </c>
      <c r="H1407" s="73"/>
      <c r="I1407" s="44"/>
      <c r="J1407" s="48">
        <f t="shared" si="43"/>
        <v>1</v>
      </c>
      <c r="K1407" s="48">
        <f>IFERROR(INDEX(TarrifTable,MATCH(Elements!E1407,Constants!$V$4:$V$7,0),MATCH(Elements!F1407,Constants!$W$3:$AA$3,0)),0)</f>
        <v>0</v>
      </c>
      <c r="L1407" s="68">
        <f t="shared" si="44"/>
        <v>0</v>
      </c>
    </row>
    <row r="1408" spans="2:12" x14ac:dyDescent="0.85">
      <c r="B1408" s="46">
        <v>1401</v>
      </c>
      <c r="C1408" s="276"/>
      <c r="D1408" s="283"/>
      <c r="E1408" s="10"/>
      <c r="F1408" s="10"/>
      <c r="G1408" s="47">
        <v>1</v>
      </c>
      <c r="H1408" s="72"/>
      <c r="I1408" s="10"/>
      <c r="J1408" s="46">
        <f t="shared" si="43"/>
        <v>1</v>
      </c>
      <c r="K1408" s="46">
        <f>IFERROR(INDEX(TarrifTable,MATCH(Elements!E1408,Constants!$V$4:$V$7,0),MATCH(Elements!F1408,Constants!$W$3:$AA$3,0)),0)</f>
        <v>0</v>
      </c>
      <c r="L1408" s="69">
        <f t="shared" si="44"/>
        <v>0</v>
      </c>
    </row>
    <row r="1409" spans="2:12" x14ac:dyDescent="0.85">
      <c r="B1409" s="48">
        <v>1402</v>
      </c>
      <c r="C1409" s="277"/>
      <c r="D1409" s="284"/>
      <c r="E1409" s="44"/>
      <c r="F1409" s="44"/>
      <c r="G1409" s="49">
        <v>1</v>
      </c>
      <c r="H1409" s="73"/>
      <c r="I1409" s="44"/>
      <c r="J1409" s="48">
        <f t="shared" si="43"/>
        <v>1</v>
      </c>
      <c r="K1409" s="48">
        <f>IFERROR(INDEX(TarrifTable,MATCH(Elements!E1409,Constants!$V$4:$V$7,0),MATCH(Elements!F1409,Constants!$W$3:$AA$3,0)),0)</f>
        <v>0</v>
      </c>
      <c r="L1409" s="68">
        <f t="shared" si="44"/>
        <v>0</v>
      </c>
    </row>
    <row r="1410" spans="2:12" x14ac:dyDescent="0.85">
      <c r="B1410" s="46">
        <v>1403</v>
      </c>
      <c r="C1410" s="276"/>
      <c r="D1410" s="283"/>
      <c r="E1410" s="10"/>
      <c r="F1410" s="10"/>
      <c r="G1410" s="47">
        <v>1</v>
      </c>
      <c r="H1410" s="72"/>
      <c r="I1410" s="10"/>
      <c r="J1410" s="46">
        <f t="shared" si="43"/>
        <v>1</v>
      </c>
      <c r="K1410" s="46">
        <f>IFERROR(INDEX(TarrifTable,MATCH(Elements!E1410,Constants!$V$4:$V$7,0),MATCH(Elements!F1410,Constants!$W$3:$AA$3,0)),0)</f>
        <v>0</v>
      </c>
      <c r="L1410" s="69">
        <f t="shared" si="44"/>
        <v>0</v>
      </c>
    </row>
    <row r="1411" spans="2:12" x14ac:dyDescent="0.85">
      <c r="B1411" s="48">
        <v>1404</v>
      </c>
      <c r="C1411" s="277"/>
      <c r="D1411" s="284"/>
      <c r="E1411" s="44"/>
      <c r="F1411" s="44"/>
      <c r="G1411" s="49">
        <v>1</v>
      </c>
      <c r="H1411" s="73"/>
      <c r="I1411" s="44"/>
      <c r="J1411" s="48">
        <f t="shared" si="43"/>
        <v>1</v>
      </c>
      <c r="K1411" s="48">
        <f>IFERROR(INDEX(TarrifTable,MATCH(Elements!E1411,Constants!$V$4:$V$7,0),MATCH(Elements!F1411,Constants!$W$3:$AA$3,0)),0)</f>
        <v>0</v>
      </c>
      <c r="L1411" s="68">
        <f t="shared" si="44"/>
        <v>0</v>
      </c>
    </row>
    <row r="1412" spans="2:12" x14ac:dyDescent="0.85">
      <c r="B1412" s="46">
        <v>1405</v>
      </c>
      <c r="C1412" s="276"/>
      <c r="D1412" s="283"/>
      <c r="E1412" s="10"/>
      <c r="F1412" s="10"/>
      <c r="G1412" s="47">
        <v>1</v>
      </c>
      <c r="H1412" s="72"/>
      <c r="I1412" s="10"/>
      <c r="J1412" s="46">
        <f t="shared" si="43"/>
        <v>1</v>
      </c>
      <c r="K1412" s="46">
        <f>IFERROR(INDEX(TarrifTable,MATCH(Elements!E1412,Constants!$V$4:$V$7,0),MATCH(Elements!F1412,Constants!$W$3:$AA$3,0)),0)</f>
        <v>0</v>
      </c>
      <c r="L1412" s="69">
        <f t="shared" si="44"/>
        <v>0</v>
      </c>
    </row>
    <row r="1413" spans="2:12" x14ac:dyDescent="0.85">
      <c r="B1413" s="48">
        <v>1406</v>
      </c>
      <c r="C1413" s="277"/>
      <c r="D1413" s="284"/>
      <c r="E1413" s="44"/>
      <c r="F1413" s="44"/>
      <c r="G1413" s="49">
        <v>1</v>
      </c>
      <c r="H1413" s="73"/>
      <c r="I1413" s="44"/>
      <c r="J1413" s="48">
        <f t="shared" si="43"/>
        <v>1</v>
      </c>
      <c r="K1413" s="48">
        <f>IFERROR(INDEX(TarrifTable,MATCH(Elements!E1413,Constants!$V$4:$V$7,0),MATCH(Elements!F1413,Constants!$W$3:$AA$3,0)),0)</f>
        <v>0</v>
      </c>
      <c r="L1413" s="68">
        <f t="shared" si="44"/>
        <v>0</v>
      </c>
    </row>
    <row r="1414" spans="2:12" x14ac:dyDescent="0.85">
      <c r="B1414" s="46">
        <v>1407</v>
      </c>
      <c r="C1414" s="276"/>
      <c r="D1414" s="283"/>
      <c r="E1414" s="10"/>
      <c r="F1414" s="10"/>
      <c r="G1414" s="47">
        <v>1</v>
      </c>
      <c r="H1414" s="72"/>
      <c r="I1414" s="10"/>
      <c r="J1414" s="46">
        <f t="shared" si="43"/>
        <v>1</v>
      </c>
      <c r="K1414" s="46">
        <f>IFERROR(INDEX(TarrifTable,MATCH(Elements!E1414,Constants!$V$4:$V$7,0),MATCH(Elements!F1414,Constants!$W$3:$AA$3,0)),0)</f>
        <v>0</v>
      </c>
      <c r="L1414" s="69">
        <f t="shared" si="44"/>
        <v>0</v>
      </c>
    </row>
    <row r="1415" spans="2:12" x14ac:dyDescent="0.85">
      <c r="B1415" s="48">
        <v>1408</v>
      </c>
      <c r="C1415" s="277"/>
      <c r="D1415" s="284"/>
      <c r="E1415" s="44"/>
      <c r="F1415" s="44"/>
      <c r="G1415" s="49">
        <v>1</v>
      </c>
      <c r="H1415" s="73"/>
      <c r="I1415" s="44"/>
      <c r="J1415" s="48">
        <f t="shared" si="43"/>
        <v>1</v>
      </c>
      <c r="K1415" s="48">
        <f>IFERROR(INDEX(TarrifTable,MATCH(Elements!E1415,Constants!$V$4:$V$7,0),MATCH(Elements!F1415,Constants!$W$3:$AA$3,0)),0)</f>
        <v>0</v>
      </c>
      <c r="L1415" s="68">
        <f t="shared" si="44"/>
        <v>0</v>
      </c>
    </row>
    <row r="1416" spans="2:12" x14ac:dyDescent="0.85">
      <c r="B1416" s="46">
        <v>1409</v>
      </c>
      <c r="C1416" s="276"/>
      <c r="D1416" s="283"/>
      <c r="E1416" s="10"/>
      <c r="F1416" s="10"/>
      <c r="G1416" s="47">
        <v>1</v>
      </c>
      <c r="H1416" s="72"/>
      <c r="I1416" s="10"/>
      <c r="J1416" s="46">
        <f t="shared" ref="J1416:J1479" si="45">IF(ISBLANK(H1416),1,H1416)</f>
        <v>1</v>
      </c>
      <c r="K1416" s="46">
        <f>IFERROR(INDEX(TarrifTable,MATCH(Elements!E1416,Constants!$V$4:$V$7,0),MATCH(Elements!F1416,Constants!$W$3:$AA$3,0)),0)</f>
        <v>0</v>
      </c>
      <c r="L1416" s="69">
        <f t="shared" ref="L1416:L1479" si="46">J1416*G1416*K1416</f>
        <v>0</v>
      </c>
    </row>
    <row r="1417" spans="2:12" x14ac:dyDescent="0.85">
      <c r="B1417" s="48">
        <v>1410</v>
      </c>
      <c r="C1417" s="277"/>
      <c r="D1417" s="284"/>
      <c r="E1417" s="44"/>
      <c r="F1417" s="44"/>
      <c r="G1417" s="49">
        <v>1</v>
      </c>
      <c r="H1417" s="73"/>
      <c r="I1417" s="44"/>
      <c r="J1417" s="48">
        <f t="shared" si="45"/>
        <v>1</v>
      </c>
      <c r="K1417" s="48">
        <f>IFERROR(INDEX(TarrifTable,MATCH(Elements!E1417,Constants!$V$4:$V$7,0),MATCH(Elements!F1417,Constants!$W$3:$AA$3,0)),0)</f>
        <v>0</v>
      </c>
      <c r="L1417" s="68">
        <f t="shared" si="46"/>
        <v>0</v>
      </c>
    </row>
    <row r="1418" spans="2:12" x14ac:dyDescent="0.85">
      <c r="B1418" s="46">
        <v>1411</v>
      </c>
      <c r="C1418" s="276"/>
      <c r="D1418" s="283"/>
      <c r="E1418" s="10"/>
      <c r="F1418" s="10"/>
      <c r="G1418" s="47">
        <v>1</v>
      </c>
      <c r="H1418" s="72"/>
      <c r="I1418" s="10"/>
      <c r="J1418" s="46">
        <f t="shared" si="45"/>
        <v>1</v>
      </c>
      <c r="K1418" s="46">
        <f>IFERROR(INDEX(TarrifTable,MATCH(Elements!E1418,Constants!$V$4:$V$7,0),MATCH(Elements!F1418,Constants!$W$3:$AA$3,0)),0)</f>
        <v>0</v>
      </c>
      <c r="L1418" s="69">
        <f t="shared" si="46"/>
        <v>0</v>
      </c>
    </row>
    <row r="1419" spans="2:12" x14ac:dyDescent="0.85">
      <c r="B1419" s="48">
        <v>1412</v>
      </c>
      <c r="C1419" s="277"/>
      <c r="D1419" s="284"/>
      <c r="E1419" s="44"/>
      <c r="F1419" s="44"/>
      <c r="G1419" s="49">
        <v>1</v>
      </c>
      <c r="H1419" s="73"/>
      <c r="I1419" s="44"/>
      <c r="J1419" s="48">
        <f t="shared" si="45"/>
        <v>1</v>
      </c>
      <c r="K1419" s="48">
        <f>IFERROR(INDEX(TarrifTable,MATCH(Elements!E1419,Constants!$V$4:$V$7,0),MATCH(Elements!F1419,Constants!$W$3:$AA$3,0)),0)</f>
        <v>0</v>
      </c>
      <c r="L1419" s="68">
        <f t="shared" si="46"/>
        <v>0</v>
      </c>
    </row>
    <row r="1420" spans="2:12" x14ac:dyDescent="0.85">
      <c r="B1420" s="46">
        <v>1413</v>
      </c>
      <c r="C1420" s="276"/>
      <c r="D1420" s="283"/>
      <c r="E1420" s="10"/>
      <c r="F1420" s="10"/>
      <c r="G1420" s="47">
        <v>1</v>
      </c>
      <c r="H1420" s="72"/>
      <c r="I1420" s="10"/>
      <c r="J1420" s="46">
        <f t="shared" si="45"/>
        <v>1</v>
      </c>
      <c r="K1420" s="46">
        <f>IFERROR(INDEX(TarrifTable,MATCH(Elements!E1420,Constants!$V$4:$V$7,0),MATCH(Elements!F1420,Constants!$W$3:$AA$3,0)),0)</f>
        <v>0</v>
      </c>
      <c r="L1420" s="69">
        <f t="shared" si="46"/>
        <v>0</v>
      </c>
    </row>
    <row r="1421" spans="2:12" x14ac:dyDescent="0.85">
      <c r="B1421" s="48">
        <v>1414</v>
      </c>
      <c r="C1421" s="277"/>
      <c r="D1421" s="284"/>
      <c r="E1421" s="44"/>
      <c r="F1421" s="44"/>
      <c r="G1421" s="49">
        <v>1</v>
      </c>
      <c r="H1421" s="73"/>
      <c r="I1421" s="44"/>
      <c r="J1421" s="48">
        <f t="shared" si="45"/>
        <v>1</v>
      </c>
      <c r="K1421" s="48">
        <f>IFERROR(INDEX(TarrifTable,MATCH(Elements!E1421,Constants!$V$4:$V$7,0),MATCH(Elements!F1421,Constants!$W$3:$AA$3,0)),0)</f>
        <v>0</v>
      </c>
      <c r="L1421" s="68">
        <f t="shared" si="46"/>
        <v>0</v>
      </c>
    </row>
    <row r="1422" spans="2:12" x14ac:dyDescent="0.85">
      <c r="B1422" s="46">
        <v>1415</v>
      </c>
      <c r="C1422" s="276"/>
      <c r="D1422" s="283"/>
      <c r="E1422" s="10"/>
      <c r="F1422" s="10"/>
      <c r="G1422" s="47">
        <v>1</v>
      </c>
      <c r="H1422" s="72"/>
      <c r="I1422" s="10"/>
      <c r="J1422" s="46">
        <f t="shared" si="45"/>
        <v>1</v>
      </c>
      <c r="K1422" s="46">
        <f>IFERROR(INDEX(TarrifTable,MATCH(Elements!E1422,Constants!$V$4:$V$7,0),MATCH(Elements!F1422,Constants!$W$3:$AA$3,0)),0)</f>
        <v>0</v>
      </c>
      <c r="L1422" s="69">
        <f t="shared" si="46"/>
        <v>0</v>
      </c>
    </row>
    <row r="1423" spans="2:12" x14ac:dyDescent="0.85">
      <c r="B1423" s="48">
        <v>1416</v>
      </c>
      <c r="C1423" s="277"/>
      <c r="D1423" s="284"/>
      <c r="E1423" s="44"/>
      <c r="F1423" s="44"/>
      <c r="G1423" s="49">
        <v>1</v>
      </c>
      <c r="H1423" s="73"/>
      <c r="I1423" s="44"/>
      <c r="J1423" s="48">
        <f t="shared" si="45"/>
        <v>1</v>
      </c>
      <c r="K1423" s="48">
        <f>IFERROR(INDEX(TarrifTable,MATCH(Elements!E1423,Constants!$V$4:$V$7,0),MATCH(Elements!F1423,Constants!$W$3:$AA$3,0)),0)</f>
        <v>0</v>
      </c>
      <c r="L1423" s="68">
        <f t="shared" si="46"/>
        <v>0</v>
      </c>
    </row>
    <row r="1424" spans="2:12" x14ac:dyDescent="0.85">
      <c r="B1424" s="46">
        <v>1417</v>
      </c>
      <c r="C1424" s="276"/>
      <c r="D1424" s="283"/>
      <c r="E1424" s="10"/>
      <c r="F1424" s="10"/>
      <c r="G1424" s="47">
        <v>1</v>
      </c>
      <c r="H1424" s="72"/>
      <c r="I1424" s="10"/>
      <c r="J1424" s="46">
        <f t="shared" si="45"/>
        <v>1</v>
      </c>
      <c r="K1424" s="46">
        <f>IFERROR(INDEX(TarrifTable,MATCH(Elements!E1424,Constants!$V$4:$V$7,0),MATCH(Elements!F1424,Constants!$W$3:$AA$3,0)),0)</f>
        <v>0</v>
      </c>
      <c r="L1424" s="69">
        <f t="shared" si="46"/>
        <v>0</v>
      </c>
    </row>
    <row r="1425" spans="2:12" x14ac:dyDescent="0.85">
      <c r="B1425" s="48">
        <v>1418</v>
      </c>
      <c r="C1425" s="277"/>
      <c r="D1425" s="284"/>
      <c r="E1425" s="44"/>
      <c r="F1425" s="44"/>
      <c r="G1425" s="49">
        <v>1</v>
      </c>
      <c r="H1425" s="73"/>
      <c r="I1425" s="44"/>
      <c r="J1425" s="48">
        <f t="shared" si="45"/>
        <v>1</v>
      </c>
      <c r="K1425" s="48">
        <f>IFERROR(INDEX(TarrifTable,MATCH(Elements!E1425,Constants!$V$4:$V$7,0),MATCH(Elements!F1425,Constants!$W$3:$AA$3,0)),0)</f>
        <v>0</v>
      </c>
      <c r="L1425" s="68">
        <f t="shared" si="46"/>
        <v>0</v>
      </c>
    </row>
    <row r="1426" spans="2:12" x14ac:dyDescent="0.85">
      <c r="B1426" s="46">
        <v>1419</v>
      </c>
      <c r="C1426" s="276"/>
      <c r="D1426" s="283"/>
      <c r="E1426" s="10"/>
      <c r="F1426" s="10"/>
      <c r="G1426" s="47">
        <v>1</v>
      </c>
      <c r="H1426" s="72"/>
      <c r="I1426" s="10"/>
      <c r="J1426" s="46">
        <f t="shared" si="45"/>
        <v>1</v>
      </c>
      <c r="K1426" s="46">
        <f>IFERROR(INDEX(TarrifTable,MATCH(Elements!E1426,Constants!$V$4:$V$7,0),MATCH(Elements!F1426,Constants!$W$3:$AA$3,0)),0)</f>
        <v>0</v>
      </c>
      <c r="L1426" s="69">
        <f t="shared" si="46"/>
        <v>0</v>
      </c>
    </row>
    <row r="1427" spans="2:12" x14ac:dyDescent="0.85">
      <c r="B1427" s="48">
        <v>1420</v>
      </c>
      <c r="C1427" s="277"/>
      <c r="D1427" s="284"/>
      <c r="E1427" s="44"/>
      <c r="F1427" s="44"/>
      <c r="G1427" s="49">
        <v>1</v>
      </c>
      <c r="H1427" s="73"/>
      <c r="I1427" s="44"/>
      <c r="J1427" s="48">
        <f t="shared" si="45"/>
        <v>1</v>
      </c>
      <c r="K1427" s="48">
        <f>IFERROR(INDEX(TarrifTable,MATCH(Elements!E1427,Constants!$V$4:$V$7,0),MATCH(Elements!F1427,Constants!$W$3:$AA$3,0)),0)</f>
        <v>0</v>
      </c>
      <c r="L1427" s="68">
        <f t="shared" si="46"/>
        <v>0</v>
      </c>
    </row>
    <row r="1428" spans="2:12" x14ac:dyDescent="0.85">
      <c r="B1428" s="46">
        <v>1421</v>
      </c>
      <c r="C1428" s="276"/>
      <c r="D1428" s="283"/>
      <c r="E1428" s="10"/>
      <c r="F1428" s="10"/>
      <c r="G1428" s="47">
        <v>1</v>
      </c>
      <c r="H1428" s="72"/>
      <c r="I1428" s="10"/>
      <c r="J1428" s="46">
        <f t="shared" si="45"/>
        <v>1</v>
      </c>
      <c r="K1428" s="46">
        <f>IFERROR(INDEX(TarrifTable,MATCH(Elements!E1428,Constants!$V$4:$V$7,0),MATCH(Elements!F1428,Constants!$W$3:$AA$3,0)),0)</f>
        <v>0</v>
      </c>
      <c r="L1428" s="69">
        <f t="shared" si="46"/>
        <v>0</v>
      </c>
    </row>
    <row r="1429" spans="2:12" x14ac:dyDescent="0.85">
      <c r="B1429" s="48">
        <v>1422</v>
      </c>
      <c r="C1429" s="277"/>
      <c r="D1429" s="284"/>
      <c r="E1429" s="44"/>
      <c r="F1429" s="44"/>
      <c r="G1429" s="49">
        <v>1</v>
      </c>
      <c r="H1429" s="73"/>
      <c r="I1429" s="44"/>
      <c r="J1429" s="48">
        <f t="shared" si="45"/>
        <v>1</v>
      </c>
      <c r="K1429" s="48">
        <f>IFERROR(INDEX(TarrifTable,MATCH(Elements!E1429,Constants!$V$4:$V$7,0),MATCH(Elements!F1429,Constants!$W$3:$AA$3,0)),0)</f>
        <v>0</v>
      </c>
      <c r="L1429" s="68">
        <f t="shared" si="46"/>
        <v>0</v>
      </c>
    </row>
    <row r="1430" spans="2:12" x14ac:dyDescent="0.85">
      <c r="B1430" s="46">
        <v>1423</v>
      </c>
      <c r="C1430" s="276"/>
      <c r="D1430" s="283"/>
      <c r="E1430" s="10"/>
      <c r="F1430" s="10"/>
      <c r="G1430" s="47">
        <v>1</v>
      </c>
      <c r="H1430" s="72"/>
      <c r="I1430" s="10"/>
      <c r="J1430" s="46">
        <f t="shared" si="45"/>
        <v>1</v>
      </c>
      <c r="K1430" s="46">
        <f>IFERROR(INDEX(TarrifTable,MATCH(Elements!E1430,Constants!$V$4:$V$7,0),MATCH(Elements!F1430,Constants!$W$3:$AA$3,0)),0)</f>
        <v>0</v>
      </c>
      <c r="L1430" s="69">
        <f t="shared" si="46"/>
        <v>0</v>
      </c>
    </row>
    <row r="1431" spans="2:12" x14ac:dyDescent="0.85">
      <c r="B1431" s="48">
        <v>1424</v>
      </c>
      <c r="C1431" s="277"/>
      <c r="D1431" s="284"/>
      <c r="E1431" s="44"/>
      <c r="F1431" s="44"/>
      <c r="G1431" s="49">
        <v>1</v>
      </c>
      <c r="H1431" s="73"/>
      <c r="I1431" s="44"/>
      <c r="J1431" s="48">
        <f t="shared" si="45"/>
        <v>1</v>
      </c>
      <c r="K1431" s="48">
        <f>IFERROR(INDEX(TarrifTable,MATCH(Elements!E1431,Constants!$V$4:$V$7,0),MATCH(Elements!F1431,Constants!$W$3:$AA$3,0)),0)</f>
        <v>0</v>
      </c>
      <c r="L1431" s="68">
        <f t="shared" si="46"/>
        <v>0</v>
      </c>
    </row>
    <row r="1432" spans="2:12" x14ac:dyDescent="0.85">
      <c r="B1432" s="46">
        <v>1425</v>
      </c>
      <c r="C1432" s="276"/>
      <c r="D1432" s="283"/>
      <c r="E1432" s="10"/>
      <c r="F1432" s="10"/>
      <c r="G1432" s="47">
        <v>1</v>
      </c>
      <c r="H1432" s="72"/>
      <c r="I1432" s="10"/>
      <c r="J1432" s="46">
        <f t="shared" si="45"/>
        <v>1</v>
      </c>
      <c r="K1432" s="46">
        <f>IFERROR(INDEX(TarrifTable,MATCH(Elements!E1432,Constants!$V$4:$V$7,0),MATCH(Elements!F1432,Constants!$W$3:$AA$3,0)),0)</f>
        <v>0</v>
      </c>
      <c r="L1432" s="69">
        <f t="shared" si="46"/>
        <v>0</v>
      </c>
    </row>
    <row r="1433" spans="2:12" x14ac:dyDescent="0.85">
      <c r="B1433" s="48">
        <v>1426</v>
      </c>
      <c r="C1433" s="277"/>
      <c r="D1433" s="284"/>
      <c r="E1433" s="44"/>
      <c r="F1433" s="44"/>
      <c r="G1433" s="49">
        <v>1</v>
      </c>
      <c r="H1433" s="73"/>
      <c r="I1433" s="44"/>
      <c r="J1433" s="48">
        <f t="shared" si="45"/>
        <v>1</v>
      </c>
      <c r="K1433" s="48">
        <f>IFERROR(INDEX(TarrifTable,MATCH(Elements!E1433,Constants!$V$4:$V$7,0),MATCH(Elements!F1433,Constants!$W$3:$AA$3,0)),0)</f>
        <v>0</v>
      </c>
      <c r="L1433" s="68">
        <f t="shared" si="46"/>
        <v>0</v>
      </c>
    </row>
    <row r="1434" spans="2:12" x14ac:dyDescent="0.85">
      <c r="B1434" s="46">
        <v>1427</v>
      </c>
      <c r="C1434" s="276"/>
      <c r="D1434" s="283"/>
      <c r="E1434" s="10"/>
      <c r="F1434" s="10"/>
      <c r="G1434" s="47">
        <v>1</v>
      </c>
      <c r="H1434" s="72"/>
      <c r="I1434" s="10"/>
      <c r="J1434" s="46">
        <f t="shared" si="45"/>
        <v>1</v>
      </c>
      <c r="K1434" s="46">
        <f>IFERROR(INDEX(TarrifTable,MATCH(Elements!E1434,Constants!$V$4:$V$7,0),MATCH(Elements!F1434,Constants!$W$3:$AA$3,0)),0)</f>
        <v>0</v>
      </c>
      <c r="L1434" s="69">
        <f t="shared" si="46"/>
        <v>0</v>
      </c>
    </row>
    <row r="1435" spans="2:12" x14ac:dyDescent="0.85">
      <c r="B1435" s="48">
        <v>1428</v>
      </c>
      <c r="C1435" s="277"/>
      <c r="D1435" s="284"/>
      <c r="E1435" s="44"/>
      <c r="F1435" s="44"/>
      <c r="G1435" s="49">
        <v>1</v>
      </c>
      <c r="H1435" s="73"/>
      <c r="I1435" s="44"/>
      <c r="J1435" s="48">
        <f t="shared" si="45"/>
        <v>1</v>
      </c>
      <c r="K1435" s="48">
        <f>IFERROR(INDEX(TarrifTable,MATCH(Elements!E1435,Constants!$V$4:$V$7,0),MATCH(Elements!F1435,Constants!$W$3:$AA$3,0)),0)</f>
        <v>0</v>
      </c>
      <c r="L1435" s="68">
        <f t="shared" si="46"/>
        <v>0</v>
      </c>
    </row>
    <row r="1436" spans="2:12" x14ac:dyDescent="0.85">
      <c r="B1436" s="46">
        <v>1429</v>
      </c>
      <c r="C1436" s="276"/>
      <c r="D1436" s="283"/>
      <c r="E1436" s="10"/>
      <c r="F1436" s="10"/>
      <c r="G1436" s="47">
        <v>1</v>
      </c>
      <c r="H1436" s="72"/>
      <c r="I1436" s="10"/>
      <c r="J1436" s="46">
        <f t="shared" si="45"/>
        <v>1</v>
      </c>
      <c r="K1436" s="46">
        <f>IFERROR(INDEX(TarrifTable,MATCH(Elements!E1436,Constants!$V$4:$V$7,0),MATCH(Elements!F1436,Constants!$W$3:$AA$3,0)),0)</f>
        <v>0</v>
      </c>
      <c r="L1436" s="69">
        <f t="shared" si="46"/>
        <v>0</v>
      </c>
    </row>
    <row r="1437" spans="2:12" x14ac:dyDescent="0.85">
      <c r="B1437" s="48">
        <v>1430</v>
      </c>
      <c r="C1437" s="277"/>
      <c r="D1437" s="284"/>
      <c r="E1437" s="44"/>
      <c r="F1437" s="44"/>
      <c r="G1437" s="49">
        <v>1</v>
      </c>
      <c r="H1437" s="73"/>
      <c r="I1437" s="44"/>
      <c r="J1437" s="48">
        <f t="shared" si="45"/>
        <v>1</v>
      </c>
      <c r="K1437" s="48">
        <f>IFERROR(INDEX(TarrifTable,MATCH(Elements!E1437,Constants!$V$4:$V$7,0),MATCH(Elements!F1437,Constants!$W$3:$AA$3,0)),0)</f>
        <v>0</v>
      </c>
      <c r="L1437" s="68">
        <f t="shared" si="46"/>
        <v>0</v>
      </c>
    </row>
    <row r="1438" spans="2:12" x14ac:dyDescent="0.85">
      <c r="B1438" s="46">
        <v>1431</v>
      </c>
      <c r="C1438" s="276"/>
      <c r="D1438" s="283"/>
      <c r="E1438" s="10"/>
      <c r="F1438" s="10"/>
      <c r="G1438" s="47">
        <v>1</v>
      </c>
      <c r="H1438" s="72"/>
      <c r="I1438" s="10"/>
      <c r="J1438" s="46">
        <f t="shared" si="45"/>
        <v>1</v>
      </c>
      <c r="K1438" s="46">
        <f>IFERROR(INDEX(TarrifTable,MATCH(Elements!E1438,Constants!$V$4:$V$7,0),MATCH(Elements!F1438,Constants!$W$3:$AA$3,0)),0)</f>
        <v>0</v>
      </c>
      <c r="L1438" s="69">
        <f t="shared" si="46"/>
        <v>0</v>
      </c>
    </row>
    <row r="1439" spans="2:12" x14ac:dyDescent="0.85">
      <c r="B1439" s="48">
        <v>1432</v>
      </c>
      <c r="C1439" s="277"/>
      <c r="D1439" s="284"/>
      <c r="E1439" s="44"/>
      <c r="F1439" s="44"/>
      <c r="G1439" s="49">
        <v>1</v>
      </c>
      <c r="H1439" s="73"/>
      <c r="I1439" s="44"/>
      <c r="J1439" s="48">
        <f t="shared" si="45"/>
        <v>1</v>
      </c>
      <c r="K1439" s="48">
        <f>IFERROR(INDEX(TarrifTable,MATCH(Elements!E1439,Constants!$V$4:$V$7,0),MATCH(Elements!F1439,Constants!$W$3:$AA$3,0)),0)</f>
        <v>0</v>
      </c>
      <c r="L1439" s="68">
        <f t="shared" si="46"/>
        <v>0</v>
      </c>
    </row>
    <row r="1440" spans="2:12" x14ac:dyDescent="0.85">
      <c r="B1440" s="46">
        <v>1433</v>
      </c>
      <c r="C1440" s="276"/>
      <c r="D1440" s="283"/>
      <c r="E1440" s="10"/>
      <c r="F1440" s="10"/>
      <c r="G1440" s="47">
        <v>1</v>
      </c>
      <c r="H1440" s="72"/>
      <c r="I1440" s="10"/>
      <c r="J1440" s="46">
        <f t="shared" si="45"/>
        <v>1</v>
      </c>
      <c r="K1440" s="46">
        <f>IFERROR(INDEX(TarrifTable,MATCH(Elements!E1440,Constants!$V$4:$V$7,0),MATCH(Elements!F1440,Constants!$W$3:$AA$3,0)),0)</f>
        <v>0</v>
      </c>
      <c r="L1440" s="69">
        <f t="shared" si="46"/>
        <v>0</v>
      </c>
    </row>
    <row r="1441" spans="2:12" x14ac:dyDescent="0.85">
      <c r="B1441" s="48">
        <v>1434</v>
      </c>
      <c r="C1441" s="277"/>
      <c r="D1441" s="284"/>
      <c r="E1441" s="44"/>
      <c r="F1441" s="44"/>
      <c r="G1441" s="49">
        <v>1</v>
      </c>
      <c r="H1441" s="73"/>
      <c r="I1441" s="44"/>
      <c r="J1441" s="48">
        <f t="shared" si="45"/>
        <v>1</v>
      </c>
      <c r="K1441" s="48">
        <f>IFERROR(INDEX(TarrifTable,MATCH(Elements!E1441,Constants!$V$4:$V$7,0),MATCH(Elements!F1441,Constants!$W$3:$AA$3,0)),0)</f>
        <v>0</v>
      </c>
      <c r="L1441" s="68">
        <f t="shared" si="46"/>
        <v>0</v>
      </c>
    </row>
    <row r="1442" spans="2:12" x14ac:dyDescent="0.85">
      <c r="B1442" s="46">
        <v>1435</v>
      </c>
      <c r="C1442" s="276"/>
      <c r="D1442" s="283"/>
      <c r="E1442" s="10"/>
      <c r="F1442" s="10"/>
      <c r="G1442" s="47">
        <v>1</v>
      </c>
      <c r="H1442" s="72"/>
      <c r="I1442" s="10"/>
      <c r="J1442" s="46">
        <f t="shared" si="45"/>
        <v>1</v>
      </c>
      <c r="K1442" s="46">
        <f>IFERROR(INDEX(TarrifTable,MATCH(Elements!E1442,Constants!$V$4:$V$7,0),MATCH(Elements!F1442,Constants!$W$3:$AA$3,0)),0)</f>
        <v>0</v>
      </c>
      <c r="L1442" s="69">
        <f t="shared" si="46"/>
        <v>0</v>
      </c>
    </row>
    <row r="1443" spans="2:12" x14ac:dyDescent="0.85">
      <c r="B1443" s="48">
        <v>1436</v>
      </c>
      <c r="C1443" s="277"/>
      <c r="D1443" s="284"/>
      <c r="E1443" s="44"/>
      <c r="F1443" s="44"/>
      <c r="G1443" s="49">
        <v>1</v>
      </c>
      <c r="H1443" s="73"/>
      <c r="I1443" s="44"/>
      <c r="J1443" s="48">
        <f t="shared" si="45"/>
        <v>1</v>
      </c>
      <c r="K1443" s="48">
        <f>IFERROR(INDEX(TarrifTable,MATCH(Elements!E1443,Constants!$V$4:$V$7,0),MATCH(Elements!F1443,Constants!$W$3:$AA$3,0)),0)</f>
        <v>0</v>
      </c>
      <c r="L1443" s="68">
        <f t="shared" si="46"/>
        <v>0</v>
      </c>
    </row>
    <row r="1444" spans="2:12" x14ac:dyDescent="0.85">
      <c r="B1444" s="46">
        <v>1437</v>
      </c>
      <c r="C1444" s="276"/>
      <c r="D1444" s="283"/>
      <c r="E1444" s="10"/>
      <c r="F1444" s="10"/>
      <c r="G1444" s="47">
        <v>1</v>
      </c>
      <c r="H1444" s="72"/>
      <c r="I1444" s="10"/>
      <c r="J1444" s="46">
        <f t="shared" si="45"/>
        <v>1</v>
      </c>
      <c r="K1444" s="46">
        <f>IFERROR(INDEX(TarrifTable,MATCH(Elements!E1444,Constants!$V$4:$V$7,0),MATCH(Elements!F1444,Constants!$W$3:$AA$3,0)),0)</f>
        <v>0</v>
      </c>
      <c r="L1444" s="69">
        <f t="shared" si="46"/>
        <v>0</v>
      </c>
    </row>
    <row r="1445" spans="2:12" x14ac:dyDescent="0.85">
      <c r="B1445" s="48">
        <v>1438</v>
      </c>
      <c r="C1445" s="277"/>
      <c r="D1445" s="284"/>
      <c r="E1445" s="44"/>
      <c r="F1445" s="44"/>
      <c r="G1445" s="49">
        <v>1</v>
      </c>
      <c r="H1445" s="73"/>
      <c r="I1445" s="44"/>
      <c r="J1445" s="48">
        <f t="shared" si="45"/>
        <v>1</v>
      </c>
      <c r="K1445" s="48">
        <f>IFERROR(INDEX(TarrifTable,MATCH(Elements!E1445,Constants!$V$4:$V$7,0),MATCH(Elements!F1445,Constants!$W$3:$AA$3,0)),0)</f>
        <v>0</v>
      </c>
      <c r="L1445" s="68">
        <f t="shared" si="46"/>
        <v>0</v>
      </c>
    </row>
    <row r="1446" spans="2:12" x14ac:dyDescent="0.85">
      <c r="B1446" s="46">
        <v>1439</v>
      </c>
      <c r="C1446" s="276"/>
      <c r="D1446" s="283"/>
      <c r="E1446" s="10"/>
      <c r="F1446" s="10"/>
      <c r="G1446" s="47">
        <v>1</v>
      </c>
      <c r="H1446" s="72"/>
      <c r="I1446" s="10"/>
      <c r="J1446" s="46">
        <f t="shared" si="45"/>
        <v>1</v>
      </c>
      <c r="K1446" s="46">
        <f>IFERROR(INDEX(TarrifTable,MATCH(Elements!E1446,Constants!$V$4:$V$7,0),MATCH(Elements!F1446,Constants!$W$3:$AA$3,0)),0)</f>
        <v>0</v>
      </c>
      <c r="L1446" s="69">
        <f t="shared" si="46"/>
        <v>0</v>
      </c>
    </row>
    <row r="1447" spans="2:12" x14ac:dyDescent="0.85">
      <c r="B1447" s="48">
        <v>1440</v>
      </c>
      <c r="C1447" s="277"/>
      <c r="D1447" s="284"/>
      <c r="E1447" s="44"/>
      <c r="F1447" s="44"/>
      <c r="G1447" s="49">
        <v>1</v>
      </c>
      <c r="H1447" s="73"/>
      <c r="I1447" s="44"/>
      <c r="J1447" s="48">
        <f t="shared" si="45"/>
        <v>1</v>
      </c>
      <c r="K1447" s="48">
        <f>IFERROR(INDEX(TarrifTable,MATCH(Elements!E1447,Constants!$V$4:$V$7,0),MATCH(Elements!F1447,Constants!$W$3:$AA$3,0)),0)</f>
        <v>0</v>
      </c>
      <c r="L1447" s="68">
        <f t="shared" si="46"/>
        <v>0</v>
      </c>
    </row>
    <row r="1448" spans="2:12" x14ac:dyDescent="0.85">
      <c r="B1448" s="46">
        <v>1441</v>
      </c>
      <c r="C1448" s="276"/>
      <c r="D1448" s="283"/>
      <c r="E1448" s="10"/>
      <c r="F1448" s="10"/>
      <c r="G1448" s="47">
        <v>1</v>
      </c>
      <c r="H1448" s="72"/>
      <c r="I1448" s="10"/>
      <c r="J1448" s="46">
        <f t="shared" si="45"/>
        <v>1</v>
      </c>
      <c r="K1448" s="46">
        <f>IFERROR(INDEX(TarrifTable,MATCH(Elements!E1448,Constants!$V$4:$V$7,0),MATCH(Elements!F1448,Constants!$W$3:$AA$3,0)),0)</f>
        <v>0</v>
      </c>
      <c r="L1448" s="69">
        <f t="shared" si="46"/>
        <v>0</v>
      </c>
    </row>
    <row r="1449" spans="2:12" x14ac:dyDescent="0.85">
      <c r="B1449" s="48">
        <v>1442</v>
      </c>
      <c r="C1449" s="277"/>
      <c r="D1449" s="284"/>
      <c r="E1449" s="44"/>
      <c r="F1449" s="44"/>
      <c r="G1449" s="49">
        <v>1</v>
      </c>
      <c r="H1449" s="73"/>
      <c r="I1449" s="44"/>
      <c r="J1449" s="48">
        <f t="shared" si="45"/>
        <v>1</v>
      </c>
      <c r="K1449" s="48">
        <f>IFERROR(INDEX(TarrifTable,MATCH(Elements!E1449,Constants!$V$4:$V$7,0),MATCH(Elements!F1449,Constants!$W$3:$AA$3,0)),0)</f>
        <v>0</v>
      </c>
      <c r="L1449" s="68">
        <f t="shared" si="46"/>
        <v>0</v>
      </c>
    </row>
    <row r="1450" spans="2:12" x14ac:dyDescent="0.85">
      <c r="B1450" s="46">
        <v>1443</v>
      </c>
      <c r="C1450" s="276"/>
      <c r="D1450" s="283"/>
      <c r="E1450" s="10"/>
      <c r="F1450" s="10"/>
      <c r="G1450" s="47">
        <v>1</v>
      </c>
      <c r="H1450" s="72"/>
      <c r="I1450" s="10"/>
      <c r="J1450" s="46">
        <f t="shared" si="45"/>
        <v>1</v>
      </c>
      <c r="K1450" s="46">
        <f>IFERROR(INDEX(TarrifTable,MATCH(Elements!E1450,Constants!$V$4:$V$7,0),MATCH(Elements!F1450,Constants!$W$3:$AA$3,0)),0)</f>
        <v>0</v>
      </c>
      <c r="L1450" s="69">
        <f t="shared" si="46"/>
        <v>0</v>
      </c>
    </row>
    <row r="1451" spans="2:12" x14ac:dyDescent="0.85">
      <c r="B1451" s="48">
        <v>1444</v>
      </c>
      <c r="C1451" s="277"/>
      <c r="D1451" s="284"/>
      <c r="E1451" s="44"/>
      <c r="F1451" s="44"/>
      <c r="G1451" s="49">
        <v>1</v>
      </c>
      <c r="H1451" s="73"/>
      <c r="I1451" s="44"/>
      <c r="J1451" s="48">
        <f t="shared" si="45"/>
        <v>1</v>
      </c>
      <c r="K1451" s="48">
        <f>IFERROR(INDEX(TarrifTable,MATCH(Elements!E1451,Constants!$V$4:$V$7,0),MATCH(Elements!F1451,Constants!$W$3:$AA$3,0)),0)</f>
        <v>0</v>
      </c>
      <c r="L1451" s="68">
        <f t="shared" si="46"/>
        <v>0</v>
      </c>
    </row>
    <row r="1452" spans="2:12" x14ac:dyDescent="0.85">
      <c r="B1452" s="46">
        <v>1445</v>
      </c>
      <c r="C1452" s="276"/>
      <c r="D1452" s="283"/>
      <c r="E1452" s="10"/>
      <c r="F1452" s="10"/>
      <c r="G1452" s="47">
        <v>1</v>
      </c>
      <c r="H1452" s="72"/>
      <c r="I1452" s="10"/>
      <c r="J1452" s="46">
        <f t="shared" si="45"/>
        <v>1</v>
      </c>
      <c r="K1452" s="46">
        <f>IFERROR(INDEX(TarrifTable,MATCH(Elements!E1452,Constants!$V$4:$V$7,0),MATCH(Elements!F1452,Constants!$W$3:$AA$3,0)),0)</f>
        <v>0</v>
      </c>
      <c r="L1452" s="69">
        <f t="shared" si="46"/>
        <v>0</v>
      </c>
    </row>
    <row r="1453" spans="2:12" x14ac:dyDescent="0.85">
      <c r="B1453" s="48">
        <v>1446</v>
      </c>
      <c r="C1453" s="277"/>
      <c r="D1453" s="284"/>
      <c r="E1453" s="44"/>
      <c r="F1453" s="44"/>
      <c r="G1453" s="49">
        <v>1</v>
      </c>
      <c r="H1453" s="73"/>
      <c r="I1453" s="44"/>
      <c r="J1453" s="48">
        <f t="shared" si="45"/>
        <v>1</v>
      </c>
      <c r="K1453" s="48">
        <f>IFERROR(INDEX(TarrifTable,MATCH(Elements!E1453,Constants!$V$4:$V$7,0),MATCH(Elements!F1453,Constants!$W$3:$AA$3,0)),0)</f>
        <v>0</v>
      </c>
      <c r="L1453" s="68">
        <f t="shared" si="46"/>
        <v>0</v>
      </c>
    </row>
    <row r="1454" spans="2:12" x14ac:dyDescent="0.85">
      <c r="B1454" s="46">
        <v>1447</v>
      </c>
      <c r="C1454" s="276"/>
      <c r="D1454" s="283"/>
      <c r="E1454" s="10"/>
      <c r="F1454" s="10"/>
      <c r="G1454" s="47">
        <v>1</v>
      </c>
      <c r="H1454" s="72"/>
      <c r="I1454" s="10"/>
      <c r="J1454" s="46">
        <f t="shared" si="45"/>
        <v>1</v>
      </c>
      <c r="K1454" s="46">
        <f>IFERROR(INDEX(TarrifTable,MATCH(Elements!E1454,Constants!$V$4:$V$7,0),MATCH(Elements!F1454,Constants!$W$3:$AA$3,0)),0)</f>
        <v>0</v>
      </c>
      <c r="L1454" s="69">
        <f t="shared" si="46"/>
        <v>0</v>
      </c>
    </row>
    <row r="1455" spans="2:12" x14ac:dyDescent="0.85">
      <c r="B1455" s="48">
        <v>1448</v>
      </c>
      <c r="C1455" s="277"/>
      <c r="D1455" s="284"/>
      <c r="E1455" s="44"/>
      <c r="F1455" s="44"/>
      <c r="G1455" s="49">
        <v>1</v>
      </c>
      <c r="H1455" s="73"/>
      <c r="I1455" s="44"/>
      <c r="J1455" s="48">
        <f t="shared" si="45"/>
        <v>1</v>
      </c>
      <c r="K1455" s="48">
        <f>IFERROR(INDEX(TarrifTable,MATCH(Elements!E1455,Constants!$V$4:$V$7,0),MATCH(Elements!F1455,Constants!$W$3:$AA$3,0)),0)</f>
        <v>0</v>
      </c>
      <c r="L1455" s="68">
        <f t="shared" si="46"/>
        <v>0</v>
      </c>
    </row>
    <row r="1456" spans="2:12" x14ac:dyDescent="0.85">
      <c r="B1456" s="46">
        <v>1449</v>
      </c>
      <c r="C1456" s="276"/>
      <c r="D1456" s="283"/>
      <c r="E1456" s="10"/>
      <c r="F1456" s="10"/>
      <c r="G1456" s="47">
        <v>1</v>
      </c>
      <c r="H1456" s="72"/>
      <c r="I1456" s="10"/>
      <c r="J1456" s="46">
        <f t="shared" si="45"/>
        <v>1</v>
      </c>
      <c r="K1456" s="46">
        <f>IFERROR(INDEX(TarrifTable,MATCH(Elements!E1456,Constants!$V$4:$V$7,0),MATCH(Elements!F1456,Constants!$W$3:$AA$3,0)),0)</f>
        <v>0</v>
      </c>
      <c r="L1456" s="69">
        <f t="shared" si="46"/>
        <v>0</v>
      </c>
    </row>
    <row r="1457" spans="2:12" x14ac:dyDescent="0.85">
      <c r="B1457" s="48">
        <v>1450</v>
      </c>
      <c r="C1457" s="277"/>
      <c r="D1457" s="284"/>
      <c r="E1457" s="44"/>
      <c r="F1457" s="44"/>
      <c r="G1457" s="49">
        <v>1</v>
      </c>
      <c r="H1457" s="73"/>
      <c r="I1457" s="44"/>
      <c r="J1457" s="48">
        <f t="shared" si="45"/>
        <v>1</v>
      </c>
      <c r="K1457" s="48">
        <f>IFERROR(INDEX(TarrifTable,MATCH(Elements!E1457,Constants!$V$4:$V$7,0),MATCH(Elements!F1457,Constants!$W$3:$AA$3,0)),0)</f>
        <v>0</v>
      </c>
      <c r="L1457" s="68">
        <f t="shared" si="46"/>
        <v>0</v>
      </c>
    </row>
    <row r="1458" spans="2:12" x14ac:dyDescent="0.85">
      <c r="B1458" s="46">
        <v>1451</v>
      </c>
      <c r="C1458" s="276"/>
      <c r="D1458" s="283"/>
      <c r="E1458" s="10"/>
      <c r="F1458" s="10"/>
      <c r="G1458" s="47">
        <v>1</v>
      </c>
      <c r="H1458" s="72"/>
      <c r="I1458" s="10"/>
      <c r="J1458" s="46">
        <f t="shared" si="45"/>
        <v>1</v>
      </c>
      <c r="K1458" s="46">
        <f>IFERROR(INDEX(TarrifTable,MATCH(Elements!E1458,Constants!$V$4:$V$7,0),MATCH(Elements!F1458,Constants!$W$3:$AA$3,0)),0)</f>
        <v>0</v>
      </c>
      <c r="L1458" s="69">
        <f t="shared" si="46"/>
        <v>0</v>
      </c>
    </row>
    <row r="1459" spans="2:12" x14ac:dyDescent="0.85">
      <c r="B1459" s="48">
        <v>1452</v>
      </c>
      <c r="C1459" s="277"/>
      <c r="D1459" s="284"/>
      <c r="E1459" s="44"/>
      <c r="F1459" s="44"/>
      <c r="G1459" s="49">
        <v>1</v>
      </c>
      <c r="H1459" s="73"/>
      <c r="I1459" s="44"/>
      <c r="J1459" s="48">
        <f t="shared" si="45"/>
        <v>1</v>
      </c>
      <c r="K1459" s="48">
        <f>IFERROR(INDEX(TarrifTable,MATCH(Elements!E1459,Constants!$V$4:$V$7,0),MATCH(Elements!F1459,Constants!$W$3:$AA$3,0)),0)</f>
        <v>0</v>
      </c>
      <c r="L1459" s="68">
        <f t="shared" si="46"/>
        <v>0</v>
      </c>
    </row>
    <row r="1460" spans="2:12" x14ac:dyDescent="0.85">
      <c r="B1460" s="46">
        <v>1453</v>
      </c>
      <c r="C1460" s="276"/>
      <c r="D1460" s="283"/>
      <c r="E1460" s="10"/>
      <c r="F1460" s="10"/>
      <c r="G1460" s="47">
        <v>1</v>
      </c>
      <c r="H1460" s="72"/>
      <c r="I1460" s="10"/>
      <c r="J1460" s="46">
        <f t="shared" si="45"/>
        <v>1</v>
      </c>
      <c r="K1460" s="46">
        <f>IFERROR(INDEX(TarrifTable,MATCH(Elements!E1460,Constants!$V$4:$V$7,0),MATCH(Elements!F1460,Constants!$W$3:$AA$3,0)),0)</f>
        <v>0</v>
      </c>
      <c r="L1460" s="69">
        <f t="shared" si="46"/>
        <v>0</v>
      </c>
    </row>
    <row r="1461" spans="2:12" x14ac:dyDescent="0.85">
      <c r="B1461" s="48">
        <v>1454</v>
      </c>
      <c r="C1461" s="277"/>
      <c r="D1461" s="284"/>
      <c r="E1461" s="44"/>
      <c r="F1461" s="44"/>
      <c r="G1461" s="49">
        <v>1</v>
      </c>
      <c r="H1461" s="73"/>
      <c r="I1461" s="44"/>
      <c r="J1461" s="48">
        <f t="shared" si="45"/>
        <v>1</v>
      </c>
      <c r="K1461" s="48">
        <f>IFERROR(INDEX(TarrifTable,MATCH(Elements!E1461,Constants!$V$4:$V$7,0),MATCH(Elements!F1461,Constants!$W$3:$AA$3,0)),0)</f>
        <v>0</v>
      </c>
      <c r="L1461" s="68">
        <f t="shared" si="46"/>
        <v>0</v>
      </c>
    </row>
    <row r="1462" spans="2:12" x14ac:dyDescent="0.85">
      <c r="B1462" s="46">
        <v>1455</v>
      </c>
      <c r="C1462" s="276"/>
      <c r="D1462" s="283"/>
      <c r="E1462" s="10"/>
      <c r="F1462" s="10"/>
      <c r="G1462" s="47">
        <v>1</v>
      </c>
      <c r="H1462" s="72"/>
      <c r="I1462" s="10"/>
      <c r="J1462" s="46">
        <f t="shared" si="45"/>
        <v>1</v>
      </c>
      <c r="K1462" s="46">
        <f>IFERROR(INDEX(TarrifTable,MATCH(Elements!E1462,Constants!$V$4:$V$7,0),MATCH(Elements!F1462,Constants!$W$3:$AA$3,0)),0)</f>
        <v>0</v>
      </c>
      <c r="L1462" s="69">
        <f t="shared" si="46"/>
        <v>0</v>
      </c>
    </row>
    <row r="1463" spans="2:12" x14ac:dyDescent="0.85">
      <c r="B1463" s="48">
        <v>1456</v>
      </c>
      <c r="C1463" s="277"/>
      <c r="D1463" s="284"/>
      <c r="E1463" s="44"/>
      <c r="F1463" s="44"/>
      <c r="G1463" s="49">
        <v>1</v>
      </c>
      <c r="H1463" s="73"/>
      <c r="I1463" s="44"/>
      <c r="J1463" s="48">
        <f t="shared" si="45"/>
        <v>1</v>
      </c>
      <c r="K1463" s="48">
        <f>IFERROR(INDEX(TarrifTable,MATCH(Elements!E1463,Constants!$V$4:$V$7,0),MATCH(Elements!F1463,Constants!$W$3:$AA$3,0)),0)</f>
        <v>0</v>
      </c>
      <c r="L1463" s="68">
        <f t="shared" si="46"/>
        <v>0</v>
      </c>
    </row>
    <row r="1464" spans="2:12" x14ac:dyDescent="0.85">
      <c r="B1464" s="46">
        <v>1457</v>
      </c>
      <c r="C1464" s="276"/>
      <c r="D1464" s="283"/>
      <c r="E1464" s="10"/>
      <c r="F1464" s="10"/>
      <c r="G1464" s="47">
        <v>1</v>
      </c>
      <c r="H1464" s="72"/>
      <c r="I1464" s="10"/>
      <c r="J1464" s="46">
        <f t="shared" si="45"/>
        <v>1</v>
      </c>
      <c r="K1464" s="46">
        <f>IFERROR(INDEX(TarrifTable,MATCH(Elements!E1464,Constants!$V$4:$V$7,0),MATCH(Elements!F1464,Constants!$W$3:$AA$3,0)),0)</f>
        <v>0</v>
      </c>
      <c r="L1464" s="69">
        <f t="shared" si="46"/>
        <v>0</v>
      </c>
    </row>
    <row r="1465" spans="2:12" x14ac:dyDescent="0.85">
      <c r="B1465" s="48">
        <v>1458</v>
      </c>
      <c r="C1465" s="277"/>
      <c r="D1465" s="284"/>
      <c r="E1465" s="44"/>
      <c r="F1465" s="44"/>
      <c r="G1465" s="49">
        <v>1</v>
      </c>
      <c r="H1465" s="73"/>
      <c r="I1465" s="44"/>
      <c r="J1465" s="48">
        <f t="shared" si="45"/>
        <v>1</v>
      </c>
      <c r="K1465" s="48">
        <f>IFERROR(INDEX(TarrifTable,MATCH(Elements!E1465,Constants!$V$4:$V$7,0),MATCH(Elements!F1465,Constants!$W$3:$AA$3,0)),0)</f>
        <v>0</v>
      </c>
      <c r="L1465" s="68">
        <f t="shared" si="46"/>
        <v>0</v>
      </c>
    </row>
    <row r="1466" spans="2:12" x14ac:dyDescent="0.85">
      <c r="B1466" s="46">
        <v>1459</v>
      </c>
      <c r="C1466" s="276"/>
      <c r="D1466" s="283"/>
      <c r="E1466" s="10"/>
      <c r="F1466" s="10"/>
      <c r="G1466" s="47">
        <v>1</v>
      </c>
      <c r="H1466" s="72"/>
      <c r="I1466" s="10"/>
      <c r="J1466" s="46">
        <f t="shared" si="45"/>
        <v>1</v>
      </c>
      <c r="K1466" s="46">
        <f>IFERROR(INDEX(TarrifTable,MATCH(Elements!E1466,Constants!$V$4:$V$7,0),MATCH(Elements!F1466,Constants!$W$3:$AA$3,0)),0)</f>
        <v>0</v>
      </c>
      <c r="L1466" s="69">
        <f t="shared" si="46"/>
        <v>0</v>
      </c>
    </row>
    <row r="1467" spans="2:12" x14ac:dyDescent="0.85">
      <c r="B1467" s="48">
        <v>1460</v>
      </c>
      <c r="C1467" s="277"/>
      <c r="D1467" s="284"/>
      <c r="E1467" s="44"/>
      <c r="F1467" s="44"/>
      <c r="G1467" s="49">
        <v>1</v>
      </c>
      <c r="H1467" s="73"/>
      <c r="I1467" s="44"/>
      <c r="J1467" s="48">
        <f t="shared" si="45"/>
        <v>1</v>
      </c>
      <c r="K1467" s="48">
        <f>IFERROR(INDEX(TarrifTable,MATCH(Elements!E1467,Constants!$V$4:$V$7,0),MATCH(Elements!F1467,Constants!$W$3:$AA$3,0)),0)</f>
        <v>0</v>
      </c>
      <c r="L1467" s="68">
        <f t="shared" si="46"/>
        <v>0</v>
      </c>
    </row>
    <row r="1468" spans="2:12" x14ac:dyDescent="0.85">
      <c r="B1468" s="46">
        <v>1461</v>
      </c>
      <c r="C1468" s="276"/>
      <c r="D1468" s="283"/>
      <c r="E1468" s="10"/>
      <c r="F1468" s="10"/>
      <c r="G1468" s="47">
        <v>1</v>
      </c>
      <c r="H1468" s="72"/>
      <c r="I1468" s="10"/>
      <c r="J1468" s="46">
        <f t="shared" si="45"/>
        <v>1</v>
      </c>
      <c r="K1468" s="46">
        <f>IFERROR(INDEX(TarrifTable,MATCH(Elements!E1468,Constants!$V$4:$V$7,0),MATCH(Elements!F1468,Constants!$W$3:$AA$3,0)),0)</f>
        <v>0</v>
      </c>
      <c r="L1468" s="69">
        <f t="shared" si="46"/>
        <v>0</v>
      </c>
    </row>
    <row r="1469" spans="2:12" x14ac:dyDescent="0.85">
      <c r="B1469" s="48">
        <v>1462</v>
      </c>
      <c r="C1469" s="277"/>
      <c r="D1469" s="284"/>
      <c r="E1469" s="44"/>
      <c r="F1469" s="44"/>
      <c r="G1469" s="49">
        <v>1</v>
      </c>
      <c r="H1469" s="73"/>
      <c r="I1469" s="44"/>
      <c r="J1469" s="48">
        <f t="shared" si="45"/>
        <v>1</v>
      </c>
      <c r="K1469" s="48">
        <f>IFERROR(INDEX(TarrifTable,MATCH(Elements!E1469,Constants!$V$4:$V$7,0),MATCH(Elements!F1469,Constants!$W$3:$AA$3,0)),0)</f>
        <v>0</v>
      </c>
      <c r="L1469" s="68">
        <f t="shared" si="46"/>
        <v>0</v>
      </c>
    </row>
    <row r="1470" spans="2:12" x14ac:dyDescent="0.85">
      <c r="B1470" s="46">
        <v>1463</v>
      </c>
      <c r="C1470" s="276"/>
      <c r="D1470" s="283"/>
      <c r="E1470" s="10"/>
      <c r="F1470" s="10"/>
      <c r="G1470" s="47">
        <v>1</v>
      </c>
      <c r="H1470" s="72"/>
      <c r="I1470" s="10"/>
      <c r="J1470" s="46">
        <f t="shared" si="45"/>
        <v>1</v>
      </c>
      <c r="K1470" s="46">
        <f>IFERROR(INDEX(TarrifTable,MATCH(Elements!E1470,Constants!$V$4:$V$7,0),MATCH(Elements!F1470,Constants!$W$3:$AA$3,0)),0)</f>
        <v>0</v>
      </c>
      <c r="L1470" s="69">
        <f t="shared" si="46"/>
        <v>0</v>
      </c>
    </row>
    <row r="1471" spans="2:12" x14ac:dyDescent="0.85">
      <c r="B1471" s="48">
        <v>1464</v>
      </c>
      <c r="C1471" s="277"/>
      <c r="D1471" s="284"/>
      <c r="E1471" s="44"/>
      <c r="F1471" s="44"/>
      <c r="G1471" s="49">
        <v>1</v>
      </c>
      <c r="H1471" s="73"/>
      <c r="I1471" s="44"/>
      <c r="J1471" s="48">
        <f t="shared" si="45"/>
        <v>1</v>
      </c>
      <c r="K1471" s="48">
        <f>IFERROR(INDEX(TarrifTable,MATCH(Elements!E1471,Constants!$V$4:$V$7,0),MATCH(Elements!F1471,Constants!$W$3:$AA$3,0)),0)</f>
        <v>0</v>
      </c>
      <c r="L1471" s="68">
        <f t="shared" si="46"/>
        <v>0</v>
      </c>
    </row>
    <row r="1472" spans="2:12" x14ac:dyDescent="0.85">
      <c r="B1472" s="46">
        <v>1465</v>
      </c>
      <c r="C1472" s="276"/>
      <c r="D1472" s="283"/>
      <c r="E1472" s="10"/>
      <c r="F1472" s="10"/>
      <c r="G1472" s="47">
        <v>1</v>
      </c>
      <c r="H1472" s="72"/>
      <c r="I1472" s="10"/>
      <c r="J1472" s="46">
        <f t="shared" si="45"/>
        <v>1</v>
      </c>
      <c r="K1472" s="46">
        <f>IFERROR(INDEX(TarrifTable,MATCH(Elements!E1472,Constants!$V$4:$V$7,0),MATCH(Elements!F1472,Constants!$W$3:$AA$3,0)),0)</f>
        <v>0</v>
      </c>
      <c r="L1472" s="69">
        <f t="shared" si="46"/>
        <v>0</v>
      </c>
    </row>
    <row r="1473" spans="2:12" x14ac:dyDescent="0.85">
      <c r="B1473" s="48">
        <v>1466</v>
      </c>
      <c r="C1473" s="277"/>
      <c r="D1473" s="284"/>
      <c r="E1473" s="44"/>
      <c r="F1473" s="44"/>
      <c r="G1473" s="49">
        <v>1</v>
      </c>
      <c r="H1473" s="73"/>
      <c r="I1473" s="44"/>
      <c r="J1473" s="48">
        <f t="shared" si="45"/>
        <v>1</v>
      </c>
      <c r="K1473" s="48">
        <f>IFERROR(INDEX(TarrifTable,MATCH(Elements!E1473,Constants!$V$4:$V$7,0),MATCH(Elements!F1473,Constants!$W$3:$AA$3,0)),0)</f>
        <v>0</v>
      </c>
      <c r="L1473" s="68">
        <f t="shared" si="46"/>
        <v>0</v>
      </c>
    </row>
    <row r="1474" spans="2:12" x14ac:dyDescent="0.85">
      <c r="B1474" s="46">
        <v>1467</v>
      </c>
      <c r="C1474" s="276"/>
      <c r="D1474" s="283"/>
      <c r="E1474" s="10"/>
      <c r="F1474" s="10"/>
      <c r="G1474" s="47">
        <v>1</v>
      </c>
      <c r="H1474" s="72"/>
      <c r="I1474" s="10"/>
      <c r="J1474" s="46">
        <f t="shared" si="45"/>
        <v>1</v>
      </c>
      <c r="K1474" s="46">
        <f>IFERROR(INDEX(TarrifTable,MATCH(Elements!E1474,Constants!$V$4:$V$7,0),MATCH(Elements!F1474,Constants!$W$3:$AA$3,0)),0)</f>
        <v>0</v>
      </c>
      <c r="L1474" s="69">
        <f t="shared" si="46"/>
        <v>0</v>
      </c>
    </row>
    <row r="1475" spans="2:12" x14ac:dyDescent="0.85">
      <c r="B1475" s="48">
        <v>1468</v>
      </c>
      <c r="C1475" s="277"/>
      <c r="D1475" s="284"/>
      <c r="E1475" s="44"/>
      <c r="F1475" s="44"/>
      <c r="G1475" s="49">
        <v>1</v>
      </c>
      <c r="H1475" s="73"/>
      <c r="I1475" s="44"/>
      <c r="J1475" s="48">
        <f t="shared" si="45"/>
        <v>1</v>
      </c>
      <c r="K1475" s="48">
        <f>IFERROR(INDEX(TarrifTable,MATCH(Elements!E1475,Constants!$V$4:$V$7,0),MATCH(Elements!F1475,Constants!$W$3:$AA$3,0)),0)</f>
        <v>0</v>
      </c>
      <c r="L1475" s="68">
        <f t="shared" si="46"/>
        <v>0</v>
      </c>
    </row>
    <row r="1476" spans="2:12" x14ac:dyDescent="0.85">
      <c r="B1476" s="46">
        <v>1469</v>
      </c>
      <c r="C1476" s="276"/>
      <c r="D1476" s="283"/>
      <c r="E1476" s="10"/>
      <c r="F1476" s="10"/>
      <c r="G1476" s="47">
        <v>1</v>
      </c>
      <c r="H1476" s="72"/>
      <c r="I1476" s="10"/>
      <c r="J1476" s="46">
        <f t="shared" si="45"/>
        <v>1</v>
      </c>
      <c r="K1476" s="46">
        <f>IFERROR(INDEX(TarrifTable,MATCH(Elements!E1476,Constants!$V$4:$V$7,0),MATCH(Elements!F1476,Constants!$W$3:$AA$3,0)),0)</f>
        <v>0</v>
      </c>
      <c r="L1476" s="69">
        <f t="shared" si="46"/>
        <v>0</v>
      </c>
    </row>
    <row r="1477" spans="2:12" x14ac:dyDescent="0.85">
      <c r="B1477" s="48">
        <v>1470</v>
      </c>
      <c r="C1477" s="277"/>
      <c r="D1477" s="284"/>
      <c r="E1477" s="44"/>
      <c r="F1477" s="44"/>
      <c r="G1477" s="49">
        <v>1</v>
      </c>
      <c r="H1477" s="73"/>
      <c r="I1477" s="44"/>
      <c r="J1477" s="48">
        <f t="shared" si="45"/>
        <v>1</v>
      </c>
      <c r="K1477" s="48">
        <f>IFERROR(INDEX(TarrifTable,MATCH(Elements!E1477,Constants!$V$4:$V$7,0),MATCH(Elements!F1477,Constants!$W$3:$AA$3,0)),0)</f>
        <v>0</v>
      </c>
      <c r="L1477" s="68">
        <f t="shared" si="46"/>
        <v>0</v>
      </c>
    </row>
    <row r="1478" spans="2:12" x14ac:dyDescent="0.85">
      <c r="B1478" s="46">
        <v>1471</v>
      </c>
      <c r="C1478" s="276"/>
      <c r="D1478" s="283"/>
      <c r="E1478" s="10"/>
      <c r="F1478" s="10"/>
      <c r="G1478" s="47">
        <v>1</v>
      </c>
      <c r="H1478" s="72"/>
      <c r="I1478" s="10"/>
      <c r="J1478" s="46">
        <f t="shared" si="45"/>
        <v>1</v>
      </c>
      <c r="K1478" s="46">
        <f>IFERROR(INDEX(TarrifTable,MATCH(Elements!E1478,Constants!$V$4:$V$7,0),MATCH(Elements!F1478,Constants!$W$3:$AA$3,0)),0)</f>
        <v>0</v>
      </c>
      <c r="L1478" s="69">
        <f t="shared" si="46"/>
        <v>0</v>
      </c>
    </row>
    <row r="1479" spans="2:12" x14ac:dyDescent="0.85">
      <c r="B1479" s="48">
        <v>1472</v>
      </c>
      <c r="C1479" s="277"/>
      <c r="D1479" s="284"/>
      <c r="E1479" s="44"/>
      <c r="F1479" s="44"/>
      <c r="G1479" s="49">
        <v>1</v>
      </c>
      <c r="H1479" s="73"/>
      <c r="I1479" s="44"/>
      <c r="J1479" s="48">
        <f t="shared" si="45"/>
        <v>1</v>
      </c>
      <c r="K1479" s="48">
        <f>IFERROR(INDEX(TarrifTable,MATCH(Elements!E1479,Constants!$V$4:$V$7,0),MATCH(Elements!F1479,Constants!$W$3:$AA$3,0)),0)</f>
        <v>0</v>
      </c>
      <c r="L1479" s="68">
        <f t="shared" si="46"/>
        <v>0</v>
      </c>
    </row>
    <row r="1480" spans="2:12" x14ac:dyDescent="0.85">
      <c r="B1480" s="46">
        <v>1473</v>
      </c>
      <c r="C1480" s="276"/>
      <c r="D1480" s="283"/>
      <c r="E1480" s="10"/>
      <c r="F1480" s="10"/>
      <c r="G1480" s="47">
        <v>1</v>
      </c>
      <c r="H1480" s="72"/>
      <c r="I1480" s="10"/>
      <c r="J1480" s="46">
        <f t="shared" ref="J1480:J1543" si="47">IF(ISBLANK(H1480),1,H1480)</f>
        <v>1</v>
      </c>
      <c r="K1480" s="46">
        <f>IFERROR(INDEX(TarrifTable,MATCH(Elements!E1480,Constants!$V$4:$V$7,0),MATCH(Elements!F1480,Constants!$W$3:$AA$3,0)),0)</f>
        <v>0</v>
      </c>
      <c r="L1480" s="69">
        <f t="shared" ref="L1480:L1543" si="48">J1480*G1480*K1480</f>
        <v>0</v>
      </c>
    </row>
    <row r="1481" spans="2:12" x14ac:dyDescent="0.85">
      <c r="B1481" s="48">
        <v>1474</v>
      </c>
      <c r="C1481" s="277"/>
      <c r="D1481" s="284"/>
      <c r="E1481" s="44"/>
      <c r="F1481" s="44"/>
      <c r="G1481" s="49">
        <v>1</v>
      </c>
      <c r="H1481" s="73"/>
      <c r="I1481" s="44"/>
      <c r="J1481" s="48">
        <f t="shared" si="47"/>
        <v>1</v>
      </c>
      <c r="K1481" s="48">
        <f>IFERROR(INDEX(TarrifTable,MATCH(Elements!E1481,Constants!$V$4:$V$7,0),MATCH(Elements!F1481,Constants!$W$3:$AA$3,0)),0)</f>
        <v>0</v>
      </c>
      <c r="L1481" s="68">
        <f t="shared" si="48"/>
        <v>0</v>
      </c>
    </row>
    <row r="1482" spans="2:12" x14ac:dyDescent="0.85">
      <c r="B1482" s="46">
        <v>1475</v>
      </c>
      <c r="C1482" s="276"/>
      <c r="D1482" s="283"/>
      <c r="E1482" s="10"/>
      <c r="F1482" s="10"/>
      <c r="G1482" s="47">
        <v>1</v>
      </c>
      <c r="H1482" s="72"/>
      <c r="I1482" s="10"/>
      <c r="J1482" s="46">
        <f t="shared" si="47"/>
        <v>1</v>
      </c>
      <c r="K1482" s="46">
        <f>IFERROR(INDEX(TarrifTable,MATCH(Elements!E1482,Constants!$V$4:$V$7,0),MATCH(Elements!F1482,Constants!$W$3:$AA$3,0)),0)</f>
        <v>0</v>
      </c>
      <c r="L1482" s="69">
        <f t="shared" si="48"/>
        <v>0</v>
      </c>
    </row>
    <row r="1483" spans="2:12" x14ac:dyDescent="0.85">
      <c r="B1483" s="48">
        <v>1476</v>
      </c>
      <c r="C1483" s="277"/>
      <c r="D1483" s="284"/>
      <c r="E1483" s="44"/>
      <c r="F1483" s="44"/>
      <c r="G1483" s="49">
        <v>1</v>
      </c>
      <c r="H1483" s="73"/>
      <c r="I1483" s="44"/>
      <c r="J1483" s="48">
        <f t="shared" si="47"/>
        <v>1</v>
      </c>
      <c r="K1483" s="48">
        <f>IFERROR(INDEX(TarrifTable,MATCH(Elements!E1483,Constants!$V$4:$V$7,0),MATCH(Elements!F1483,Constants!$W$3:$AA$3,0)),0)</f>
        <v>0</v>
      </c>
      <c r="L1483" s="68">
        <f t="shared" si="48"/>
        <v>0</v>
      </c>
    </row>
    <row r="1484" spans="2:12" x14ac:dyDescent="0.85">
      <c r="B1484" s="46">
        <v>1477</v>
      </c>
      <c r="C1484" s="276"/>
      <c r="D1484" s="283"/>
      <c r="E1484" s="10"/>
      <c r="F1484" s="10"/>
      <c r="G1484" s="47">
        <v>1</v>
      </c>
      <c r="H1484" s="72"/>
      <c r="I1484" s="10"/>
      <c r="J1484" s="46">
        <f t="shared" si="47"/>
        <v>1</v>
      </c>
      <c r="K1484" s="46">
        <f>IFERROR(INDEX(TarrifTable,MATCH(Elements!E1484,Constants!$V$4:$V$7,0),MATCH(Elements!F1484,Constants!$W$3:$AA$3,0)),0)</f>
        <v>0</v>
      </c>
      <c r="L1484" s="69">
        <f t="shared" si="48"/>
        <v>0</v>
      </c>
    </row>
    <row r="1485" spans="2:12" x14ac:dyDescent="0.85">
      <c r="B1485" s="48">
        <v>1478</v>
      </c>
      <c r="C1485" s="277"/>
      <c r="D1485" s="284"/>
      <c r="E1485" s="44"/>
      <c r="F1485" s="44"/>
      <c r="G1485" s="49">
        <v>1</v>
      </c>
      <c r="H1485" s="73"/>
      <c r="I1485" s="44"/>
      <c r="J1485" s="48">
        <f t="shared" si="47"/>
        <v>1</v>
      </c>
      <c r="K1485" s="48">
        <f>IFERROR(INDEX(TarrifTable,MATCH(Elements!E1485,Constants!$V$4:$V$7,0),MATCH(Elements!F1485,Constants!$W$3:$AA$3,0)),0)</f>
        <v>0</v>
      </c>
      <c r="L1485" s="68">
        <f t="shared" si="48"/>
        <v>0</v>
      </c>
    </row>
    <row r="1486" spans="2:12" x14ac:dyDescent="0.85">
      <c r="B1486" s="46">
        <v>1479</v>
      </c>
      <c r="C1486" s="276"/>
      <c r="D1486" s="283"/>
      <c r="E1486" s="10"/>
      <c r="F1486" s="10"/>
      <c r="G1486" s="47">
        <v>1</v>
      </c>
      <c r="H1486" s="72"/>
      <c r="I1486" s="10"/>
      <c r="J1486" s="46">
        <f t="shared" si="47"/>
        <v>1</v>
      </c>
      <c r="K1486" s="46">
        <f>IFERROR(INDEX(TarrifTable,MATCH(Elements!E1486,Constants!$V$4:$V$7,0),MATCH(Elements!F1486,Constants!$W$3:$AA$3,0)),0)</f>
        <v>0</v>
      </c>
      <c r="L1486" s="69">
        <f t="shared" si="48"/>
        <v>0</v>
      </c>
    </row>
    <row r="1487" spans="2:12" x14ac:dyDescent="0.85">
      <c r="B1487" s="48">
        <v>1480</v>
      </c>
      <c r="C1487" s="277"/>
      <c r="D1487" s="284"/>
      <c r="E1487" s="44"/>
      <c r="F1487" s="44"/>
      <c r="G1487" s="49">
        <v>1</v>
      </c>
      <c r="H1487" s="73"/>
      <c r="I1487" s="44"/>
      <c r="J1487" s="48">
        <f t="shared" si="47"/>
        <v>1</v>
      </c>
      <c r="K1487" s="48">
        <f>IFERROR(INDEX(TarrifTable,MATCH(Elements!E1487,Constants!$V$4:$V$7,0),MATCH(Elements!F1487,Constants!$W$3:$AA$3,0)),0)</f>
        <v>0</v>
      </c>
      <c r="L1487" s="68">
        <f t="shared" si="48"/>
        <v>0</v>
      </c>
    </row>
    <row r="1488" spans="2:12" x14ac:dyDescent="0.85">
      <c r="B1488" s="46">
        <v>1481</v>
      </c>
      <c r="C1488" s="276"/>
      <c r="D1488" s="283"/>
      <c r="E1488" s="10"/>
      <c r="F1488" s="10"/>
      <c r="G1488" s="47">
        <v>1</v>
      </c>
      <c r="H1488" s="72"/>
      <c r="I1488" s="10"/>
      <c r="J1488" s="46">
        <f t="shared" si="47"/>
        <v>1</v>
      </c>
      <c r="K1488" s="46">
        <f>IFERROR(INDEX(TarrifTable,MATCH(Elements!E1488,Constants!$V$4:$V$7,0),MATCH(Elements!F1488,Constants!$W$3:$AA$3,0)),0)</f>
        <v>0</v>
      </c>
      <c r="L1488" s="69">
        <f t="shared" si="48"/>
        <v>0</v>
      </c>
    </row>
    <row r="1489" spans="2:12" x14ac:dyDescent="0.85">
      <c r="B1489" s="48">
        <v>1482</v>
      </c>
      <c r="C1489" s="277"/>
      <c r="D1489" s="284"/>
      <c r="E1489" s="44"/>
      <c r="F1489" s="44"/>
      <c r="G1489" s="49">
        <v>1</v>
      </c>
      <c r="H1489" s="73"/>
      <c r="I1489" s="44"/>
      <c r="J1489" s="48">
        <f t="shared" si="47"/>
        <v>1</v>
      </c>
      <c r="K1489" s="48">
        <f>IFERROR(INDEX(TarrifTable,MATCH(Elements!E1489,Constants!$V$4:$V$7,0),MATCH(Elements!F1489,Constants!$W$3:$AA$3,0)),0)</f>
        <v>0</v>
      </c>
      <c r="L1489" s="68">
        <f t="shared" si="48"/>
        <v>0</v>
      </c>
    </row>
    <row r="1490" spans="2:12" x14ac:dyDescent="0.85">
      <c r="B1490" s="46">
        <v>1483</v>
      </c>
      <c r="C1490" s="276"/>
      <c r="D1490" s="283"/>
      <c r="E1490" s="10"/>
      <c r="F1490" s="10"/>
      <c r="G1490" s="47">
        <v>1</v>
      </c>
      <c r="H1490" s="72"/>
      <c r="I1490" s="10"/>
      <c r="J1490" s="46">
        <f t="shared" si="47"/>
        <v>1</v>
      </c>
      <c r="K1490" s="46">
        <f>IFERROR(INDEX(TarrifTable,MATCH(Elements!E1490,Constants!$V$4:$V$7,0),MATCH(Elements!F1490,Constants!$W$3:$AA$3,0)),0)</f>
        <v>0</v>
      </c>
      <c r="L1490" s="69">
        <f t="shared" si="48"/>
        <v>0</v>
      </c>
    </row>
    <row r="1491" spans="2:12" x14ac:dyDescent="0.85">
      <c r="B1491" s="48">
        <v>1484</v>
      </c>
      <c r="C1491" s="277"/>
      <c r="D1491" s="284"/>
      <c r="E1491" s="44"/>
      <c r="F1491" s="44"/>
      <c r="G1491" s="49">
        <v>1</v>
      </c>
      <c r="H1491" s="73"/>
      <c r="I1491" s="44"/>
      <c r="J1491" s="48">
        <f t="shared" si="47"/>
        <v>1</v>
      </c>
      <c r="K1491" s="48">
        <f>IFERROR(INDEX(TarrifTable,MATCH(Elements!E1491,Constants!$V$4:$V$7,0),MATCH(Elements!F1491,Constants!$W$3:$AA$3,0)),0)</f>
        <v>0</v>
      </c>
      <c r="L1491" s="68">
        <f t="shared" si="48"/>
        <v>0</v>
      </c>
    </row>
    <row r="1492" spans="2:12" x14ac:dyDescent="0.85">
      <c r="B1492" s="46">
        <v>1485</v>
      </c>
      <c r="C1492" s="276"/>
      <c r="D1492" s="283"/>
      <c r="E1492" s="10"/>
      <c r="F1492" s="10"/>
      <c r="G1492" s="47">
        <v>1</v>
      </c>
      <c r="H1492" s="72"/>
      <c r="I1492" s="10"/>
      <c r="J1492" s="46">
        <f t="shared" si="47"/>
        <v>1</v>
      </c>
      <c r="K1492" s="46">
        <f>IFERROR(INDEX(TarrifTable,MATCH(Elements!E1492,Constants!$V$4:$V$7,0),MATCH(Elements!F1492,Constants!$W$3:$AA$3,0)),0)</f>
        <v>0</v>
      </c>
      <c r="L1492" s="69">
        <f t="shared" si="48"/>
        <v>0</v>
      </c>
    </row>
    <row r="1493" spans="2:12" x14ac:dyDescent="0.85">
      <c r="B1493" s="48">
        <v>1486</v>
      </c>
      <c r="C1493" s="277"/>
      <c r="D1493" s="284"/>
      <c r="E1493" s="44"/>
      <c r="F1493" s="44"/>
      <c r="G1493" s="49">
        <v>1</v>
      </c>
      <c r="H1493" s="73"/>
      <c r="I1493" s="44"/>
      <c r="J1493" s="48">
        <f t="shared" si="47"/>
        <v>1</v>
      </c>
      <c r="K1493" s="48">
        <f>IFERROR(INDEX(TarrifTable,MATCH(Elements!E1493,Constants!$V$4:$V$7,0),MATCH(Elements!F1493,Constants!$W$3:$AA$3,0)),0)</f>
        <v>0</v>
      </c>
      <c r="L1493" s="68">
        <f t="shared" si="48"/>
        <v>0</v>
      </c>
    </row>
    <row r="1494" spans="2:12" x14ac:dyDescent="0.85">
      <c r="B1494" s="46">
        <v>1487</v>
      </c>
      <c r="C1494" s="276"/>
      <c r="D1494" s="283"/>
      <c r="E1494" s="10"/>
      <c r="F1494" s="10"/>
      <c r="G1494" s="47">
        <v>1</v>
      </c>
      <c r="H1494" s="72"/>
      <c r="I1494" s="10"/>
      <c r="J1494" s="46">
        <f t="shared" si="47"/>
        <v>1</v>
      </c>
      <c r="K1494" s="46">
        <f>IFERROR(INDEX(TarrifTable,MATCH(Elements!E1494,Constants!$V$4:$V$7,0),MATCH(Elements!F1494,Constants!$W$3:$AA$3,0)),0)</f>
        <v>0</v>
      </c>
      <c r="L1494" s="69">
        <f t="shared" si="48"/>
        <v>0</v>
      </c>
    </row>
    <row r="1495" spans="2:12" x14ac:dyDescent="0.85">
      <c r="B1495" s="48">
        <v>1488</v>
      </c>
      <c r="C1495" s="277"/>
      <c r="D1495" s="284"/>
      <c r="E1495" s="44"/>
      <c r="F1495" s="44"/>
      <c r="G1495" s="49">
        <v>1</v>
      </c>
      <c r="H1495" s="73"/>
      <c r="I1495" s="44"/>
      <c r="J1495" s="48">
        <f t="shared" si="47"/>
        <v>1</v>
      </c>
      <c r="K1495" s="48">
        <f>IFERROR(INDEX(TarrifTable,MATCH(Elements!E1495,Constants!$V$4:$V$7,0),MATCH(Elements!F1495,Constants!$W$3:$AA$3,0)),0)</f>
        <v>0</v>
      </c>
      <c r="L1495" s="68">
        <f t="shared" si="48"/>
        <v>0</v>
      </c>
    </row>
    <row r="1496" spans="2:12" x14ac:dyDescent="0.85">
      <c r="B1496" s="46">
        <v>1489</v>
      </c>
      <c r="C1496" s="276"/>
      <c r="D1496" s="283"/>
      <c r="E1496" s="10"/>
      <c r="F1496" s="10"/>
      <c r="G1496" s="47">
        <v>1</v>
      </c>
      <c r="H1496" s="72"/>
      <c r="I1496" s="10"/>
      <c r="J1496" s="46">
        <f t="shared" si="47"/>
        <v>1</v>
      </c>
      <c r="K1496" s="46">
        <f>IFERROR(INDEX(TarrifTable,MATCH(Elements!E1496,Constants!$V$4:$V$7,0),MATCH(Elements!F1496,Constants!$W$3:$AA$3,0)),0)</f>
        <v>0</v>
      </c>
      <c r="L1496" s="69">
        <f t="shared" si="48"/>
        <v>0</v>
      </c>
    </row>
    <row r="1497" spans="2:12" x14ac:dyDescent="0.85">
      <c r="B1497" s="48">
        <v>1490</v>
      </c>
      <c r="C1497" s="277"/>
      <c r="D1497" s="284"/>
      <c r="E1497" s="44"/>
      <c r="F1497" s="44"/>
      <c r="G1497" s="49">
        <v>1</v>
      </c>
      <c r="H1497" s="73"/>
      <c r="I1497" s="44"/>
      <c r="J1497" s="48">
        <f t="shared" si="47"/>
        <v>1</v>
      </c>
      <c r="K1497" s="48">
        <f>IFERROR(INDEX(TarrifTable,MATCH(Elements!E1497,Constants!$V$4:$V$7,0),MATCH(Elements!F1497,Constants!$W$3:$AA$3,0)),0)</f>
        <v>0</v>
      </c>
      <c r="L1497" s="68">
        <f t="shared" si="48"/>
        <v>0</v>
      </c>
    </row>
    <row r="1498" spans="2:12" x14ac:dyDescent="0.85">
      <c r="B1498" s="46">
        <v>1491</v>
      </c>
      <c r="C1498" s="276"/>
      <c r="D1498" s="283"/>
      <c r="E1498" s="10"/>
      <c r="F1498" s="10"/>
      <c r="G1498" s="47">
        <v>1</v>
      </c>
      <c r="H1498" s="72"/>
      <c r="I1498" s="10"/>
      <c r="J1498" s="46">
        <f t="shared" si="47"/>
        <v>1</v>
      </c>
      <c r="K1498" s="46">
        <f>IFERROR(INDEX(TarrifTable,MATCH(Elements!E1498,Constants!$V$4:$V$7,0),MATCH(Elements!F1498,Constants!$W$3:$AA$3,0)),0)</f>
        <v>0</v>
      </c>
      <c r="L1498" s="69">
        <f t="shared" si="48"/>
        <v>0</v>
      </c>
    </row>
    <row r="1499" spans="2:12" x14ac:dyDescent="0.85">
      <c r="B1499" s="48">
        <v>1492</v>
      </c>
      <c r="C1499" s="277"/>
      <c r="D1499" s="284"/>
      <c r="E1499" s="44"/>
      <c r="F1499" s="44"/>
      <c r="G1499" s="49">
        <v>1</v>
      </c>
      <c r="H1499" s="73"/>
      <c r="I1499" s="44"/>
      <c r="J1499" s="48">
        <f t="shared" si="47"/>
        <v>1</v>
      </c>
      <c r="K1499" s="48">
        <f>IFERROR(INDEX(TarrifTable,MATCH(Elements!E1499,Constants!$V$4:$V$7,0),MATCH(Elements!F1499,Constants!$W$3:$AA$3,0)),0)</f>
        <v>0</v>
      </c>
      <c r="L1499" s="68">
        <f t="shared" si="48"/>
        <v>0</v>
      </c>
    </row>
    <row r="1500" spans="2:12" x14ac:dyDescent="0.85">
      <c r="B1500" s="46">
        <v>1493</v>
      </c>
      <c r="C1500" s="276"/>
      <c r="D1500" s="283"/>
      <c r="E1500" s="10"/>
      <c r="F1500" s="10"/>
      <c r="G1500" s="47">
        <v>1</v>
      </c>
      <c r="H1500" s="72"/>
      <c r="I1500" s="10"/>
      <c r="J1500" s="46">
        <f t="shared" si="47"/>
        <v>1</v>
      </c>
      <c r="K1500" s="46">
        <f>IFERROR(INDEX(TarrifTable,MATCH(Elements!E1500,Constants!$V$4:$V$7,0),MATCH(Elements!F1500,Constants!$W$3:$AA$3,0)),0)</f>
        <v>0</v>
      </c>
      <c r="L1500" s="69">
        <f t="shared" si="48"/>
        <v>0</v>
      </c>
    </row>
    <row r="1501" spans="2:12" x14ac:dyDescent="0.85">
      <c r="B1501" s="48">
        <v>1494</v>
      </c>
      <c r="C1501" s="277"/>
      <c r="D1501" s="284"/>
      <c r="E1501" s="44"/>
      <c r="F1501" s="44"/>
      <c r="G1501" s="49">
        <v>1</v>
      </c>
      <c r="H1501" s="73"/>
      <c r="I1501" s="44"/>
      <c r="J1501" s="48">
        <f t="shared" si="47"/>
        <v>1</v>
      </c>
      <c r="K1501" s="48">
        <f>IFERROR(INDEX(TarrifTable,MATCH(Elements!E1501,Constants!$V$4:$V$7,0),MATCH(Elements!F1501,Constants!$W$3:$AA$3,0)),0)</f>
        <v>0</v>
      </c>
      <c r="L1501" s="68">
        <f t="shared" si="48"/>
        <v>0</v>
      </c>
    </row>
    <row r="1502" spans="2:12" x14ac:dyDescent="0.85">
      <c r="B1502" s="46">
        <v>1495</v>
      </c>
      <c r="C1502" s="276"/>
      <c r="D1502" s="283"/>
      <c r="E1502" s="10"/>
      <c r="F1502" s="10"/>
      <c r="G1502" s="47">
        <v>1</v>
      </c>
      <c r="H1502" s="72"/>
      <c r="I1502" s="10"/>
      <c r="J1502" s="46">
        <f t="shared" si="47"/>
        <v>1</v>
      </c>
      <c r="K1502" s="46">
        <f>IFERROR(INDEX(TarrifTable,MATCH(Elements!E1502,Constants!$V$4:$V$7,0),MATCH(Elements!F1502,Constants!$W$3:$AA$3,0)),0)</f>
        <v>0</v>
      </c>
      <c r="L1502" s="69">
        <f t="shared" si="48"/>
        <v>0</v>
      </c>
    </row>
    <row r="1503" spans="2:12" x14ac:dyDescent="0.85">
      <c r="B1503" s="48">
        <v>1496</v>
      </c>
      <c r="C1503" s="277"/>
      <c r="D1503" s="284"/>
      <c r="E1503" s="44"/>
      <c r="F1503" s="44"/>
      <c r="G1503" s="49">
        <v>1</v>
      </c>
      <c r="H1503" s="73"/>
      <c r="I1503" s="44"/>
      <c r="J1503" s="48">
        <f t="shared" si="47"/>
        <v>1</v>
      </c>
      <c r="K1503" s="48">
        <f>IFERROR(INDEX(TarrifTable,MATCH(Elements!E1503,Constants!$V$4:$V$7,0),MATCH(Elements!F1503,Constants!$W$3:$AA$3,0)),0)</f>
        <v>0</v>
      </c>
      <c r="L1503" s="68">
        <f t="shared" si="48"/>
        <v>0</v>
      </c>
    </row>
    <row r="1504" spans="2:12" x14ac:dyDescent="0.85">
      <c r="B1504" s="46">
        <v>1497</v>
      </c>
      <c r="C1504" s="276"/>
      <c r="D1504" s="283"/>
      <c r="E1504" s="10"/>
      <c r="F1504" s="10"/>
      <c r="G1504" s="47">
        <v>1</v>
      </c>
      <c r="H1504" s="72"/>
      <c r="I1504" s="10"/>
      <c r="J1504" s="46">
        <f t="shared" si="47"/>
        <v>1</v>
      </c>
      <c r="K1504" s="46">
        <f>IFERROR(INDEX(TarrifTable,MATCH(Elements!E1504,Constants!$V$4:$V$7,0),MATCH(Elements!F1504,Constants!$W$3:$AA$3,0)),0)</f>
        <v>0</v>
      </c>
      <c r="L1504" s="69">
        <f t="shared" si="48"/>
        <v>0</v>
      </c>
    </row>
    <row r="1505" spans="2:12" x14ac:dyDescent="0.85">
      <c r="B1505" s="48">
        <v>1498</v>
      </c>
      <c r="C1505" s="277"/>
      <c r="D1505" s="284"/>
      <c r="E1505" s="44"/>
      <c r="F1505" s="44"/>
      <c r="G1505" s="49">
        <v>1</v>
      </c>
      <c r="H1505" s="73"/>
      <c r="I1505" s="44"/>
      <c r="J1505" s="48">
        <f t="shared" si="47"/>
        <v>1</v>
      </c>
      <c r="K1505" s="48">
        <f>IFERROR(INDEX(TarrifTable,MATCH(Elements!E1505,Constants!$V$4:$V$7,0),MATCH(Elements!F1505,Constants!$W$3:$AA$3,0)),0)</f>
        <v>0</v>
      </c>
      <c r="L1505" s="68">
        <f t="shared" si="48"/>
        <v>0</v>
      </c>
    </row>
    <row r="1506" spans="2:12" x14ac:dyDescent="0.85">
      <c r="B1506" s="46">
        <v>1499</v>
      </c>
      <c r="C1506" s="276"/>
      <c r="D1506" s="283"/>
      <c r="E1506" s="10"/>
      <c r="F1506" s="10"/>
      <c r="G1506" s="47">
        <v>1</v>
      </c>
      <c r="H1506" s="72"/>
      <c r="I1506" s="10"/>
      <c r="J1506" s="46">
        <f t="shared" si="47"/>
        <v>1</v>
      </c>
      <c r="K1506" s="46">
        <f>IFERROR(INDEX(TarrifTable,MATCH(Elements!E1506,Constants!$V$4:$V$7,0),MATCH(Elements!F1506,Constants!$W$3:$AA$3,0)),0)</f>
        <v>0</v>
      </c>
      <c r="L1506" s="69">
        <f t="shared" si="48"/>
        <v>0</v>
      </c>
    </row>
    <row r="1507" spans="2:12" x14ac:dyDescent="0.85">
      <c r="B1507" s="48">
        <v>1500</v>
      </c>
      <c r="C1507" s="277"/>
      <c r="D1507" s="284"/>
      <c r="E1507" s="44"/>
      <c r="F1507" s="44"/>
      <c r="G1507" s="49">
        <v>1</v>
      </c>
      <c r="H1507" s="73"/>
      <c r="I1507" s="44"/>
      <c r="J1507" s="48">
        <f t="shared" si="47"/>
        <v>1</v>
      </c>
      <c r="K1507" s="48">
        <f>IFERROR(INDEX(TarrifTable,MATCH(Elements!E1507,Constants!$V$4:$V$7,0),MATCH(Elements!F1507,Constants!$W$3:$AA$3,0)),0)</f>
        <v>0</v>
      </c>
      <c r="L1507" s="68">
        <f t="shared" si="48"/>
        <v>0</v>
      </c>
    </row>
    <row r="1508" spans="2:12" x14ac:dyDescent="0.85">
      <c r="B1508" s="46">
        <v>1501</v>
      </c>
      <c r="C1508" s="276"/>
      <c r="D1508" s="283"/>
      <c r="E1508" s="10"/>
      <c r="F1508" s="10"/>
      <c r="G1508" s="47">
        <v>1</v>
      </c>
      <c r="H1508" s="72"/>
      <c r="I1508" s="10"/>
      <c r="J1508" s="46">
        <f t="shared" si="47"/>
        <v>1</v>
      </c>
      <c r="K1508" s="46">
        <f>IFERROR(INDEX(TarrifTable,MATCH(Elements!E1508,Constants!$V$4:$V$7,0),MATCH(Elements!F1508,Constants!$W$3:$AA$3,0)),0)</f>
        <v>0</v>
      </c>
      <c r="L1508" s="69">
        <f t="shared" si="48"/>
        <v>0</v>
      </c>
    </row>
    <row r="1509" spans="2:12" x14ac:dyDescent="0.85">
      <c r="B1509" s="48">
        <v>1502</v>
      </c>
      <c r="C1509" s="277"/>
      <c r="D1509" s="284"/>
      <c r="E1509" s="44"/>
      <c r="F1509" s="44"/>
      <c r="G1509" s="49">
        <v>1</v>
      </c>
      <c r="H1509" s="73"/>
      <c r="I1509" s="44"/>
      <c r="J1509" s="48">
        <f t="shared" si="47"/>
        <v>1</v>
      </c>
      <c r="K1509" s="48">
        <f>IFERROR(INDEX(TarrifTable,MATCH(Elements!E1509,Constants!$V$4:$V$7,0),MATCH(Elements!F1509,Constants!$W$3:$AA$3,0)),0)</f>
        <v>0</v>
      </c>
      <c r="L1509" s="68">
        <f t="shared" si="48"/>
        <v>0</v>
      </c>
    </row>
    <row r="1510" spans="2:12" x14ac:dyDescent="0.85">
      <c r="B1510" s="46">
        <v>1503</v>
      </c>
      <c r="C1510" s="276"/>
      <c r="D1510" s="283"/>
      <c r="E1510" s="10"/>
      <c r="F1510" s="10"/>
      <c r="G1510" s="47">
        <v>1</v>
      </c>
      <c r="H1510" s="72"/>
      <c r="I1510" s="10"/>
      <c r="J1510" s="46">
        <f t="shared" si="47"/>
        <v>1</v>
      </c>
      <c r="K1510" s="46">
        <f>IFERROR(INDEX(TarrifTable,MATCH(Elements!E1510,Constants!$V$4:$V$7,0),MATCH(Elements!F1510,Constants!$W$3:$AA$3,0)),0)</f>
        <v>0</v>
      </c>
      <c r="L1510" s="69">
        <f t="shared" si="48"/>
        <v>0</v>
      </c>
    </row>
    <row r="1511" spans="2:12" x14ac:dyDescent="0.85">
      <c r="B1511" s="48">
        <v>1504</v>
      </c>
      <c r="C1511" s="277"/>
      <c r="D1511" s="284"/>
      <c r="E1511" s="44"/>
      <c r="F1511" s="44"/>
      <c r="G1511" s="49">
        <v>1</v>
      </c>
      <c r="H1511" s="73"/>
      <c r="I1511" s="44"/>
      <c r="J1511" s="48">
        <f t="shared" si="47"/>
        <v>1</v>
      </c>
      <c r="K1511" s="48">
        <f>IFERROR(INDEX(TarrifTable,MATCH(Elements!E1511,Constants!$V$4:$V$7,0),MATCH(Elements!F1511,Constants!$W$3:$AA$3,0)),0)</f>
        <v>0</v>
      </c>
      <c r="L1511" s="68">
        <f t="shared" si="48"/>
        <v>0</v>
      </c>
    </row>
    <row r="1512" spans="2:12" x14ac:dyDescent="0.85">
      <c r="B1512" s="46">
        <v>1505</v>
      </c>
      <c r="C1512" s="276"/>
      <c r="D1512" s="283"/>
      <c r="E1512" s="10"/>
      <c r="F1512" s="10"/>
      <c r="G1512" s="47">
        <v>1</v>
      </c>
      <c r="H1512" s="72"/>
      <c r="I1512" s="10"/>
      <c r="J1512" s="46">
        <f t="shared" si="47"/>
        <v>1</v>
      </c>
      <c r="K1512" s="46">
        <f>IFERROR(INDEX(TarrifTable,MATCH(Elements!E1512,Constants!$V$4:$V$7,0),MATCH(Elements!F1512,Constants!$W$3:$AA$3,0)),0)</f>
        <v>0</v>
      </c>
      <c r="L1512" s="69">
        <f t="shared" si="48"/>
        <v>0</v>
      </c>
    </row>
    <row r="1513" spans="2:12" x14ac:dyDescent="0.85">
      <c r="B1513" s="48">
        <v>1506</v>
      </c>
      <c r="C1513" s="277"/>
      <c r="D1513" s="284"/>
      <c r="E1513" s="44"/>
      <c r="F1513" s="44"/>
      <c r="G1513" s="49">
        <v>1</v>
      </c>
      <c r="H1513" s="73"/>
      <c r="I1513" s="44"/>
      <c r="J1513" s="48">
        <f t="shared" si="47"/>
        <v>1</v>
      </c>
      <c r="K1513" s="48">
        <f>IFERROR(INDEX(TarrifTable,MATCH(Elements!E1513,Constants!$V$4:$V$7,0),MATCH(Elements!F1513,Constants!$W$3:$AA$3,0)),0)</f>
        <v>0</v>
      </c>
      <c r="L1513" s="68">
        <f t="shared" si="48"/>
        <v>0</v>
      </c>
    </row>
    <row r="1514" spans="2:12" x14ac:dyDescent="0.85">
      <c r="B1514" s="46">
        <v>1507</v>
      </c>
      <c r="C1514" s="276"/>
      <c r="D1514" s="283"/>
      <c r="E1514" s="10"/>
      <c r="F1514" s="10"/>
      <c r="G1514" s="47">
        <v>1</v>
      </c>
      <c r="H1514" s="72"/>
      <c r="I1514" s="10"/>
      <c r="J1514" s="46">
        <f t="shared" si="47"/>
        <v>1</v>
      </c>
      <c r="K1514" s="46">
        <f>IFERROR(INDEX(TarrifTable,MATCH(Elements!E1514,Constants!$V$4:$V$7,0),MATCH(Elements!F1514,Constants!$W$3:$AA$3,0)),0)</f>
        <v>0</v>
      </c>
      <c r="L1514" s="69">
        <f t="shared" si="48"/>
        <v>0</v>
      </c>
    </row>
    <row r="1515" spans="2:12" x14ac:dyDescent="0.85">
      <c r="B1515" s="48">
        <v>1508</v>
      </c>
      <c r="C1515" s="277"/>
      <c r="D1515" s="284"/>
      <c r="E1515" s="44"/>
      <c r="F1515" s="44"/>
      <c r="G1515" s="49">
        <v>1</v>
      </c>
      <c r="H1515" s="73"/>
      <c r="I1515" s="44"/>
      <c r="J1515" s="48">
        <f t="shared" si="47"/>
        <v>1</v>
      </c>
      <c r="K1515" s="48">
        <f>IFERROR(INDEX(TarrifTable,MATCH(Elements!E1515,Constants!$V$4:$V$7,0),MATCH(Elements!F1515,Constants!$W$3:$AA$3,0)),0)</f>
        <v>0</v>
      </c>
      <c r="L1515" s="68">
        <f t="shared" si="48"/>
        <v>0</v>
      </c>
    </row>
    <row r="1516" spans="2:12" x14ac:dyDescent="0.85">
      <c r="B1516" s="46">
        <v>1509</v>
      </c>
      <c r="C1516" s="276"/>
      <c r="D1516" s="283"/>
      <c r="E1516" s="10"/>
      <c r="F1516" s="10"/>
      <c r="G1516" s="47">
        <v>1</v>
      </c>
      <c r="H1516" s="72"/>
      <c r="I1516" s="10"/>
      <c r="J1516" s="46">
        <f t="shared" si="47"/>
        <v>1</v>
      </c>
      <c r="K1516" s="46">
        <f>IFERROR(INDEX(TarrifTable,MATCH(Elements!E1516,Constants!$V$4:$V$7,0),MATCH(Elements!F1516,Constants!$W$3:$AA$3,0)),0)</f>
        <v>0</v>
      </c>
      <c r="L1516" s="69">
        <f t="shared" si="48"/>
        <v>0</v>
      </c>
    </row>
    <row r="1517" spans="2:12" x14ac:dyDescent="0.85">
      <c r="B1517" s="48">
        <v>1510</v>
      </c>
      <c r="C1517" s="277"/>
      <c r="D1517" s="284"/>
      <c r="E1517" s="44"/>
      <c r="F1517" s="44"/>
      <c r="G1517" s="49">
        <v>1</v>
      </c>
      <c r="H1517" s="73"/>
      <c r="I1517" s="44"/>
      <c r="J1517" s="48">
        <f t="shared" si="47"/>
        <v>1</v>
      </c>
      <c r="K1517" s="48">
        <f>IFERROR(INDEX(TarrifTable,MATCH(Elements!E1517,Constants!$V$4:$V$7,0),MATCH(Elements!F1517,Constants!$W$3:$AA$3,0)),0)</f>
        <v>0</v>
      </c>
      <c r="L1517" s="68">
        <f t="shared" si="48"/>
        <v>0</v>
      </c>
    </row>
    <row r="1518" spans="2:12" x14ac:dyDescent="0.85">
      <c r="B1518" s="46">
        <v>1511</v>
      </c>
      <c r="C1518" s="276"/>
      <c r="D1518" s="283"/>
      <c r="E1518" s="10"/>
      <c r="F1518" s="10"/>
      <c r="G1518" s="47">
        <v>1</v>
      </c>
      <c r="H1518" s="72"/>
      <c r="I1518" s="10"/>
      <c r="J1518" s="46">
        <f t="shared" si="47"/>
        <v>1</v>
      </c>
      <c r="K1518" s="46">
        <f>IFERROR(INDEX(TarrifTable,MATCH(Elements!E1518,Constants!$V$4:$V$7,0),MATCH(Elements!F1518,Constants!$W$3:$AA$3,0)),0)</f>
        <v>0</v>
      </c>
      <c r="L1518" s="69">
        <f t="shared" si="48"/>
        <v>0</v>
      </c>
    </row>
    <row r="1519" spans="2:12" x14ac:dyDescent="0.85">
      <c r="B1519" s="48">
        <v>1512</v>
      </c>
      <c r="C1519" s="277"/>
      <c r="D1519" s="284"/>
      <c r="E1519" s="44"/>
      <c r="F1519" s="44"/>
      <c r="G1519" s="49">
        <v>1</v>
      </c>
      <c r="H1519" s="73"/>
      <c r="I1519" s="44"/>
      <c r="J1519" s="48">
        <f t="shared" si="47"/>
        <v>1</v>
      </c>
      <c r="K1519" s="48">
        <f>IFERROR(INDEX(TarrifTable,MATCH(Elements!E1519,Constants!$V$4:$V$7,0),MATCH(Elements!F1519,Constants!$W$3:$AA$3,0)),0)</f>
        <v>0</v>
      </c>
      <c r="L1519" s="68">
        <f t="shared" si="48"/>
        <v>0</v>
      </c>
    </row>
    <row r="1520" spans="2:12" x14ac:dyDescent="0.85">
      <c r="B1520" s="46">
        <v>1513</v>
      </c>
      <c r="C1520" s="276"/>
      <c r="D1520" s="283"/>
      <c r="E1520" s="10"/>
      <c r="F1520" s="10"/>
      <c r="G1520" s="47">
        <v>1</v>
      </c>
      <c r="H1520" s="72"/>
      <c r="I1520" s="10"/>
      <c r="J1520" s="46">
        <f t="shared" si="47"/>
        <v>1</v>
      </c>
      <c r="K1520" s="46">
        <f>IFERROR(INDEX(TarrifTable,MATCH(Elements!E1520,Constants!$V$4:$V$7,0),MATCH(Elements!F1520,Constants!$W$3:$AA$3,0)),0)</f>
        <v>0</v>
      </c>
      <c r="L1520" s="69">
        <f t="shared" si="48"/>
        <v>0</v>
      </c>
    </row>
    <row r="1521" spans="2:12" x14ac:dyDescent="0.85">
      <c r="B1521" s="48">
        <v>1514</v>
      </c>
      <c r="C1521" s="277"/>
      <c r="D1521" s="284"/>
      <c r="E1521" s="44"/>
      <c r="F1521" s="44"/>
      <c r="G1521" s="49">
        <v>1</v>
      </c>
      <c r="H1521" s="73"/>
      <c r="I1521" s="44"/>
      <c r="J1521" s="48">
        <f t="shared" si="47"/>
        <v>1</v>
      </c>
      <c r="K1521" s="48">
        <f>IFERROR(INDEX(TarrifTable,MATCH(Elements!E1521,Constants!$V$4:$V$7,0),MATCH(Elements!F1521,Constants!$W$3:$AA$3,0)),0)</f>
        <v>0</v>
      </c>
      <c r="L1521" s="68">
        <f t="shared" si="48"/>
        <v>0</v>
      </c>
    </row>
    <row r="1522" spans="2:12" x14ac:dyDescent="0.85">
      <c r="B1522" s="46">
        <v>1515</v>
      </c>
      <c r="C1522" s="276"/>
      <c r="D1522" s="283"/>
      <c r="E1522" s="10"/>
      <c r="F1522" s="10"/>
      <c r="G1522" s="47">
        <v>1</v>
      </c>
      <c r="H1522" s="72"/>
      <c r="I1522" s="10"/>
      <c r="J1522" s="46">
        <f t="shared" si="47"/>
        <v>1</v>
      </c>
      <c r="K1522" s="46">
        <f>IFERROR(INDEX(TarrifTable,MATCH(Elements!E1522,Constants!$V$4:$V$7,0),MATCH(Elements!F1522,Constants!$W$3:$AA$3,0)),0)</f>
        <v>0</v>
      </c>
      <c r="L1522" s="69">
        <f t="shared" si="48"/>
        <v>0</v>
      </c>
    </row>
    <row r="1523" spans="2:12" x14ac:dyDescent="0.85">
      <c r="B1523" s="48">
        <v>1516</v>
      </c>
      <c r="C1523" s="277"/>
      <c r="D1523" s="284"/>
      <c r="E1523" s="44"/>
      <c r="F1523" s="44"/>
      <c r="G1523" s="49">
        <v>1</v>
      </c>
      <c r="H1523" s="73"/>
      <c r="I1523" s="44"/>
      <c r="J1523" s="48">
        <f t="shared" si="47"/>
        <v>1</v>
      </c>
      <c r="K1523" s="48">
        <f>IFERROR(INDEX(TarrifTable,MATCH(Elements!E1523,Constants!$V$4:$V$7,0),MATCH(Elements!F1523,Constants!$W$3:$AA$3,0)),0)</f>
        <v>0</v>
      </c>
      <c r="L1523" s="68">
        <f t="shared" si="48"/>
        <v>0</v>
      </c>
    </row>
    <row r="1524" spans="2:12" x14ac:dyDescent="0.85">
      <c r="B1524" s="46">
        <v>1517</v>
      </c>
      <c r="C1524" s="276"/>
      <c r="D1524" s="283"/>
      <c r="E1524" s="10"/>
      <c r="F1524" s="10"/>
      <c r="G1524" s="47">
        <v>1</v>
      </c>
      <c r="H1524" s="72"/>
      <c r="I1524" s="10"/>
      <c r="J1524" s="46">
        <f t="shared" si="47"/>
        <v>1</v>
      </c>
      <c r="K1524" s="46">
        <f>IFERROR(INDEX(TarrifTable,MATCH(Elements!E1524,Constants!$V$4:$V$7,0),MATCH(Elements!F1524,Constants!$W$3:$AA$3,0)),0)</f>
        <v>0</v>
      </c>
      <c r="L1524" s="69">
        <f t="shared" si="48"/>
        <v>0</v>
      </c>
    </row>
    <row r="1525" spans="2:12" x14ac:dyDescent="0.85">
      <c r="B1525" s="48">
        <v>1518</v>
      </c>
      <c r="C1525" s="277"/>
      <c r="D1525" s="284"/>
      <c r="E1525" s="44"/>
      <c r="F1525" s="44"/>
      <c r="G1525" s="49">
        <v>1</v>
      </c>
      <c r="H1525" s="73"/>
      <c r="I1525" s="44"/>
      <c r="J1525" s="48">
        <f t="shared" si="47"/>
        <v>1</v>
      </c>
      <c r="K1525" s="48">
        <f>IFERROR(INDEX(TarrifTable,MATCH(Elements!E1525,Constants!$V$4:$V$7,0),MATCH(Elements!F1525,Constants!$W$3:$AA$3,0)),0)</f>
        <v>0</v>
      </c>
      <c r="L1525" s="68">
        <f t="shared" si="48"/>
        <v>0</v>
      </c>
    </row>
    <row r="1526" spans="2:12" x14ac:dyDescent="0.85">
      <c r="B1526" s="46">
        <v>1519</v>
      </c>
      <c r="C1526" s="276"/>
      <c r="D1526" s="283"/>
      <c r="E1526" s="10"/>
      <c r="F1526" s="10"/>
      <c r="G1526" s="47">
        <v>1</v>
      </c>
      <c r="H1526" s="72"/>
      <c r="I1526" s="10"/>
      <c r="J1526" s="46">
        <f t="shared" si="47"/>
        <v>1</v>
      </c>
      <c r="K1526" s="46">
        <f>IFERROR(INDEX(TarrifTable,MATCH(Elements!E1526,Constants!$V$4:$V$7,0),MATCH(Elements!F1526,Constants!$W$3:$AA$3,0)),0)</f>
        <v>0</v>
      </c>
      <c r="L1526" s="69">
        <f t="shared" si="48"/>
        <v>0</v>
      </c>
    </row>
    <row r="1527" spans="2:12" x14ac:dyDescent="0.85">
      <c r="B1527" s="48">
        <v>1520</v>
      </c>
      <c r="C1527" s="277"/>
      <c r="D1527" s="284"/>
      <c r="E1527" s="44"/>
      <c r="F1527" s="44"/>
      <c r="G1527" s="49">
        <v>1</v>
      </c>
      <c r="H1527" s="73"/>
      <c r="I1527" s="44"/>
      <c r="J1527" s="48">
        <f t="shared" si="47"/>
        <v>1</v>
      </c>
      <c r="K1527" s="48">
        <f>IFERROR(INDEX(TarrifTable,MATCH(Elements!E1527,Constants!$V$4:$V$7,0),MATCH(Elements!F1527,Constants!$W$3:$AA$3,0)),0)</f>
        <v>0</v>
      </c>
      <c r="L1527" s="68">
        <f t="shared" si="48"/>
        <v>0</v>
      </c>
    </row>
    <row r="1528" spans="2:12" x14ac:dyDescent="0.85">
      <c r="B1528" s="46">
        <v>1521</v>
      </c>
      <c r="C1528" s="276"/>
      <c r="D1528" s="283"/>
      <c r="E1528" s="10"/>
      <c r="F1528" s="10"/>
      <c r="G1528" s="47">
        <v>1</v>
      </c>
      <c r="H1528" s="72"/>
      <c r="I1528" s="10"/>
      <c r="J1528" s="46">
        <f t="shared" si="47"/>
        <v>1</v>
      </c>
      <c r="K1528" s="46">
        <f>IFERROR(INDEX(TarrifTable,MATCH(Elements!E1528,Constants!$V$4:$V$7,0),MATCH(Elements!F1528,Constants!$W$3:$AA$3,0)),0)</f>
        <v>0</v>
      </c>
      <c r="L1528" s="69">
        <f t="shared" si="48"/>
        <v>0</v>
      </c>
    </row>
    <row r="1529" spans="2:12" x14ac:dyDescent="0.85">
      <c r="B1529" s="48">
        <v>1522</v>
      </c>
      <c r="C1529" s="277"/>
      <c r="D1529" s="284"/>
      <c r="E1529" s="44"/>
      <c r="F1529" s="44"/>
      <c r="G1529" s="49">
        <v>1</v>
      </c>
      <c r="H1529" s="73"/>
      <c r="I1529" s="44"/>
      <c r="J1529" s="48">
        <f t="shared" si="47"/>
        <v>1</v>
      </c>
      <c r="K1529" s="48">
        <f>IFERROR(INDEX(TarrifTable,MATCH(Elements!E1529,Constants!$V$4:$V$7,0),MATCH(Elements!F1529,Constants!$W$3:$AA$3,0)),0)</f>
        <v>0</v>
      </c>
      <c r="L1529" s="68">
        <f t="shared" si="48"/>
        <v>0</v>
      </c>
    </row>
    <row r="1530" spans="2:12" x14ac:dyDescent="0.85">
      <c r="B1530" s="46">
        <v>1523</v>
      </c>
      <c r="C1530" s="276"/>
      <c r="D1530" s="283"/>
      <c r="E1530" s="10"/>
      <c r="F1530" s="10"/>
      <c r="G1530" s="47">
        <v>1</v>
      </c>
      <c r="H1530" s="72"/>
      <c r="I1530" s="10"/>
      <c r="J1530" s="46">
        <f t="shared" si="47"/>
        <v>1</v>
      </c>
      <c r="K1530" s="46">
        <f>IFERROR(INDEX(TarrifTable,MATCH(Elements!E1530,Constants!$V$4:$V$7,0),MATCH(Elements!F1530,Constants!$W$3:$AA$3,0)),0)</f>
        <v>0</v>
      </c>
      <c r="L1530" s="69">
        <f t="shared" si="48"/>
        <v>0</v>
      </c>
    </row>
    <row r="1531" spans="2:12" x14ac:dyDescent="0.85">
      <c r="B1531" s="48">
        <v>1524</v>
      </c>
      <c r="C1531" s="277"/>
      <c r="D1531" s="284"/>
      <c r="E1531" s="44"/>
      <c r="F1531" s="44"/>
      <c r="G1531" s="49">
        <v>1</v>
      </c>
      <c r="H1531" s="73"/>
      <c r="I1531" s="44"/>
      <c r="J1531" s="48">
        <f t="shared" si="47"/>
        <v>1</v>
      </c>
      <c r="K1531" s="48">
        <f>IFERROR(INDEX(TarrifTable,MATCH(Elements!E1531,Constants!$V$4:$V$7,0),MATCH(Elements!F1531,Constants!$W$3:$AA$3,0)),0)</f>
        <v>0</v>
      </c>
      <c r="L1531" s="68">
        <f t="shared" si="48"/>
        <v>0</v>
      </c>
    </row>
    <row r="1532" spans="2:12" x14ac:dyDescent="0.85">
      <c r="B1532" s="46">
        <v>1525</v>
      </c>
      <c r="C1532" s="276"/>
      <c r="D1532" s="283"/>
      <c r="E1532" s="10"/>
      <c r="F1532" s="10"/>
      <c r="G1532" s="47">
        <v>1</v>
      </c>
      <c r="H1532" s="72"/>
      <c r="I1532" s="10"/>
      <c r="J1532" s="46">
        <f t="shared" si="47"/>
        <v>1</v>
      </c>
      <c r="K1532" s="46">
        <f>IFERROR(INDEX(TarrifTable,MATCH(Elements!E1532,Constants!$V$4:$V$7,0),MATCH(Elements!F1532,Constants!$W$3:$AA$3,0)),0)</f>
        <v>0</v>
      </c>
      <c r="L1532" s="69">
        <f t="shared" si="48"/>
        <v>0</v>
      </c>
    </row>
    <row r="1533" spans="2:12" x14ac:dyDescent="0.85">
      <c r="B1533" s="48">
        <v>1526</v>
      </c>
      <c r="C1533" s="277"/>
      <c r="D1533" s="284"/>
      <c r="E1533" s="44"/>
      <c r="F1533" s="44"/>
      <c r="G1533" s="49">
        <v>1</v>
      </c>
      <c r="H1533" s="73"/>
      <c r="I1533" s="44"/>
      <c r="J1533" s="48">
        <f t="shared" si="47"/>
        <v>1</v>
      </c>
      <c r="K1533" s="48">
        <f>IFERROR(INDEX(TarrifTable,MATCH(Elements!E1533,Constants!$V$4:$V$7,0),MATCH(Elements!F1533,Constants!$W$3:$AA$3,0)),0)</f>
        <v>0</v>
      </c>
      <c r="L1533" s="68">
        <f t="shared" si="48"/>
        <v>0</v>
      </c>
    </row>
    <row r="1534" spans="2:12" x14ac:dyDescent="0.85">
      <c r="B1534" s="46">
        <v>1527</v>
      </c>
      <c r="C1534" s="276"/>
      <c r="D1534" s="283"/>
      <c r="E1534" s="10"/>
      <c r="F1534" s="10"/>
      <c r="G1534" s="47">
        <v>1</v>
      </c>
      <c r="H1534" s="72"/>
      <c r="I1534" s="10"/>
      <c r="J1534" s="46">
        <f t="shared" si="47"/>
        <v>1</v>
      </c>
      <c r="K1534" s="46">
        <f>IFERROR(INDEX(TarrifTable,MATCH(Elements!E1534,Constants!$V$4:$V$7,0),MATCH(Elements!F1534,Constants!$W$3:$AA$3,0)),0)</f>
        <v>0</v>
      </c>
      <c r="L1534" s="69">
        <f t="shared" si="48"/>
        <v>0</v>
      </c>
    </row>
    <row r="1535" spans="2:12" x14ac:dyDescent="0.85">
      <c r="B1535" s="48">
        <v>1528</v>
      </c>
      <c r="C1535" s="277"/>
      <c r="D1535" s="284"/>
      <c r="E1535" s="44"/>
      <c r="F1535" s="44"/>
      <c r="G1535" s="49">
        <v>1</v>
      </c>
      <c r="H1535" s="73"/>
      <c r="I1535" s="44"/>
      <c r="J1535" s="48">
        <f t="shared" si="47"/>
        <v>1</v>
      </c>
      <c r="K1535" s="48">
        <f>IFERROR(INDEX(TarrifTable,MATCH(Elements!E1535,Constants!$V$4:$V$7,0),MATCH(Elements!F1535,Constants!$W$3:$AA$3,0)),0)</f>
        <v>0</v>
      </c>
      <c r="L1535" s="68">
        <f t="shared" si="48"/>
        <v>0</v>
      </c>
    </row>
    <row r="1536" spans="2:12" x14ac:dyDescent="0.85">
      <c r="B1536" s="46">
        <v>1529</v>
      </c>
      <c r="C1536" s="276"/>
      <c r="D1536" s="283"/>
      <c r="E1536" s="10"/>
      <c r="F1536" s="10"/>
      <c r="G1536" s="47">
        <v>1</v>
      </c>
      <c r="H1536" s="72"/>
      <c r="I1536" s="10"/>
      <c r="J1536" s="46">
        <f t="shared" si="47"/>
        <v>1</v>
      </c>
      <c r="K1536" s="46">
        <f>IFERROR(INDEX(TarrifTable,MATCH(Elements!E1536,Constants!$V$4:$V$7,0),MATCH(Elements!F1536,Constants!$W$3:$AA$3,0)),0)</f>
        <v>0</v>
      </c>
      <c r="L1536" s="69">
        <f t="shared" si="48"/>
        <v>0</v>
      </c>
    </row>
    <row r="1537" spans="2:12" x14ac:dyDescent="0.85">
      <c r="B1537" s="48">
        <v>1530</v>
      </c>
      <c r="C1537" s="277"/>
      <c r="D1537" s="284"/>
      <c r="E1537" s="44"/>
      <c r="F1537" s="44"/>
      <c r="G1537" s="49">
        <v>1</v>
      </c>
      <c r="H1537" s="73"/>
      <c r="I1537" s="44"/>
      <c r="J1537" s="48">
        <f t="shared" si="47"/>
        <v>1</v>
      </c>
      <c r="K1537" s="48">
        <f>IFERROR(INDEX(TarrifTable,MATCH(Elements!E1537,Constants!$V$4:$V$7,0),MATCH(Elements!F1537,Constants!$W$3:$AA$3,0)),0)</f>
        <v>0</v>
      </c>
      <c r="L1537" s="68">
        <f t="shared" si="48"/>
        <v>0</v>
      </c>
    </row>
    <row r="1538" spans="2:12" x14ac:dyDescent="0.85">
      <c r="B1538" s="46">
        <v>1531</v>
      </c>
      <c r="C1538" s="276"/>
      <c r="D1538" s="283"/>
      <c r="E1538" s="10"/>
      <c r="F1538" s="10"/>
      <c r="G1538" s="47">
        <v>1</v>
      </c>
      <c r="H1538" s="72"/>
      <c r="I1538" s="10"/>
      <c r="J1538" s="46">
        <f t="shared" si="47"/>
        <v>1</v>
      </c>
      <c r="K1538" s="46">
        <f>IFERROR(INDEX(TarrifTable,MATCH(Elements!E1538,Constants!$V$4:$V$7,0),MATCH(Elements!F1538,Constants!$W$3:$AA$3,0)),0)</f>
        <v>0</v>
      </c>
      <c r="L1538" s="69">
        <f t="shared" si="48"/>
        <v>0</v>
      </c>
    </row>
    <row r="1539" spans="2:12" x14ac:dyDescent="0.85">
      <c r="B1539" s="48">
        <v>1532</v>
      </c>
      <c r="C1539" s="277"/>
      <c r="D1539" s="284"/>
      <c r="E1539" s="44"/>
      <c r="F1539" s="44"/>
      <c r="G1539" s="49">
        <v>1</v>
      </c>
      <c r="H1539" s="73"/>
      <c r="I1539" s="44"/>
      <c r="J1539" s="48">
        <f t="shared" si="47"/>
        <v>1</v>
      </c>
      <c r="K1539" s="48">
        <f>IFERROR(INDEX(TarrifTable,MATCH(Elements!E1539,Constants!$V$4:$V$7,0),MATCH(Elements!F1539,Constants!$W$3:$AA$3,0)),0)</f>
        <v>0</v>
      </c>
      <c r="L1539" s="68">
        <f t="shared" si="48"/>
        <v>0</v>
      </c>
    </row>
    <row r="1540" spans="2:12" x14ac:dyDescent="0.85">
      <c r="B1540" s="46">
        <v>1533</v>
      </c>
      <c r="C1540" s="276"/>
      <c r="D1540" s="283"/>
      <c r="E1540" s="10"/>
      <c r="F1540" s="10"/>
      <c r="G1540" s="47">
        <v>1</v>
      </c>
      <c r="H1540" s="72"/>
      <c r="I1540" s="10"/>
      <c r="J1540" s="46">
        <f t="shared" si="47"/>
        <v>1</v>
      </c>
      <c r="K1540" s="46">
        <f>IFERROR(INDEX(TarrifTable,MATCH(Elements!E1540,Constants!$V$4:$V$7,0),MATCH(Elements!F1540,Constants!$W$3:$AA$3,0)),0)</f>
        <v>0</v>
      </c>
      <c r="L1540" s="69">
        <f t="shared" si="48"/>
        <v>0</v>
      </c>
    </row>
    <row r="1541" spans="2:12" x14ac:dyDescent="0.85">
      <c r="B1541" s="48">
        <v>1534</v>
      </c>
      <c r="C1541" s="277"/>
      <c r="D1541" s="284"/>
      <c r="E1541" s="44"/>
      <c r="F1541" s="44"/>
      <c r="G1541" s="49">
        <v>1</v>
      </c>
      <c r="H1541" s="73"/>
      <c r="I1541" s="44"/>
      <c r="J1541" s="48">
        <f t="shared" si="47"/>
        <v>1</v>
      </c>
      <c r="K1541" s="48">
        <f>IFERROR(INDEX(TarrifTable,MATCH(Elements!E1541,Constants!$V$4:$V$7,0),MATCH(Elements!F1541,Constants!$W$3:$AA$3,0)),0)</f>
        <v>0</v>
      </c>
      <c r="L1541" s="68">
        <f t="shared" si="48"/>
        <v>0</v>
      </c>
    </row>
    <row r="1542" spans="2:12" x14ac:dyDescent="0.85">
      <c r="B1542" s="46">
        <v>1535</v>
      </c>
      <c r="C1542" s="276"/>
      <c r="D1542" s="283"/>
      <c r="E1542" s="10"/>
      <c r="F1542" s="10"/>
      <c r="G1542" s="47">
        <v>1</v>
      </c>
      <c r="H1542" s="72"/>
      <c r="I1542" s="10"/>
      <c r="J1542" s="46">
        <f t="shared" si="47"/>
        <v>1</v>
      </c>
      <c r="K1542" s="46">
        <f>IFERROR(INDEX(TarrifTable,MATCH(Elements!E1542,Constants!$V$4:$V$7,0),MATCH(Elements!F1542,Constants!$W$3:$AA$3,0)),0)</f>
        <v>0</v>
      </c>
      <c r="L1542" s="69">
        <f t="shared" si="48"/>
        <v>0</v>
      </c>
    </row>
    <row r="1543" spans="2:12" x14ac:dyDescent="0.85">
      <c r="B1543" s="48">
        <v>1536</v>
      </c>
      <c r="C1543" s="277"/>
      <c r="D1543" s="284"/>
      <c r="E1543" s="44"/>
      <c r="F1543" s="44"/>
      <c r="G1543" s="49">
        <v>1</v>
      </c>
      <c r="H1543" s="73"/>
      <c r="I1543" s="44"/>
      <c r="J1543" s="48">
        <f t="shared" si="47"/>
        <v>1</v>
      </c>
      <c r="K1543" s="48">
        <f>IFERROR(INDEX(TarrifTable,MATCH(Elements!E1543,Constants!$V$4:$V$7,0),MATCH(Elements!F1543,Constants!$W$3:$AA$3,0)),0)</f>
        <v>0</v>
      </c>
      <c r="L1543" s="68">
        <f t="shared" si="48"/>
        <v>0</v>
      </c>
    </row>
    <row r="1544" spans="2:12" x14ac:dyDescent="0.85">
      <c r="B1544" s="46">
        <v>1537</v>
      </c>
      <c r="C1544" s="276"/>
      <c r="D1544" s="283"/>
      <c r="E1544" s="10"/>
      <c r="F1544" s="10"/>
      <c r="G1544" s="47">
        <v>1</v>
      </c>
      <c r="H1544" s="72"/>
      <c r="I1544" s="10"/>
      <c r="J1544" s="46">
        <f t="shared" ref="J1544:J1607" si="49">IF(ISBLANK(H1544),1,H1544)</f>
        <v>1</v>
      </c>
      <c r="K1544" s="46">
        <f>IFERROR(INDEX(TarrifTable,MATCH(Elements!E1544,Constants!$V$4:$V$7,0),MATCH(Elements!F1544,Constants!$W$3:$AA$3,0)),0)</f>
        <v>0</v>
      </c>
      <c r="L1544" s="69">
        <f t="shared" ref="L1544:L1607" si="50">J1544*G1544*K1544</f>
        <v>0</v>
      </c>
    </row>
    <row r="1545" spans="2:12" x14ac:dyDescent="0.85">
      <c r="B1545" s="48">
        <v>1538</v>
      </c>
      <c r="C1545" s="277"/>
      <c r="D1545" s="284"/>
      <c r="E1545" s="44"/>
      <c r="F1545" s="44"/>
      <c r="G1545" s="49">
        <v>1</v>
      </c>
      <c r="H1545" s="73"/>
      <c r="I1545" s="44"/>
      <c r="J1545" s="48">
        <f t="shared" si="49"/>
        <v>1</v>
      </c>
      <c r="K1545" s="48">
        <f>IFERROR(INDEX(TarrifTable,MATCH(Elements!E1545,Constants!$V$4:$V$7,0),MATCH(Elements!F1545,Constants!$W$3:$AA$3,0)),0)</f>
        <v>0</v>
      </c>
      <c r="L1545" s="68">
        <f t="shared" si="50"/>
        <v>0</v>
      </c>
    </row>
    <row r="1546" spans="2:12" x14ac:dyDescent="0.85">
      <c r="B1546" s="46">
        <v>1539</v>
      </c>
      <c r="C1546" s="276"/>
      <c r="D1546" s="283"/>
      <c r="E1546" s="10"/>
      <c r="F1546" s="10"/>
      <c r="G1546" s="47">
        <v>1</v>
      </c>
      <c r="H1546" s="72"/>
      <c r="I1546" s="10"/>
      <c r="J1546" s="46">
        <f t="shared" si="49"/>
        <v>1</v>
      </c>
      <c r="K1546" s="46">
        <f>IFERROR(INDEX(TarrifTable,MATCH(Elements!E1546,Constants!$V$4:$V$7,0),MATCH(Elements!F1546,Constants!$W$3:$AA$3,0)),0)</f>
        <v>0</v>
      </c>
      <c r="L1546" s="69">
        <f t="shared" si="50"/>
        <v>0</v>
      </c>
    </row>
    <row r="1547" spans="2:12" x14ac:dyDescent="0.85">
      <c r="B1547" s="48">
        <v>1540</v>
      </c>
      <c r="C1547" s="277"/>
      <c r="D1547" s="284"/>
      <c r="E1547" s="44"/>
      <c r="F1547" s="44"/>
      <c r="G1547" s="49">
        <v>1</v>
      </c>
      <c r="H1547" s="73"/>
      <c r="I1547" s="44"/>
      <c r="J1547" s="48">
        <f t="shared" si="49"/>
        <v>1</v>
      </c>
      <c r="K1547" s="48">
        <f>IFERROR(INDEX(TarrifTable,MATCH(Elements!E1547,Constants!$V$4:$V$7,0),MATCH(Elements!F1547,Constants!$W$3:$AA$3,0)),0)</f>
        <v>0</v>
      </c>
      <c r="L1547" s="68">
        <f t="shared" si="50"/>
        <v>0</v>
      </c>
    </row>
    <row r="1548" spans="2:12" x14ac:dyDescent="0.85">
      <c r="B1548" s="46">
        <v>1541</v>
      </c>
      <c r="C1548" s="276"/>
      <c r="D1548" s="283"/>
      <c r="E1548" s="10"/>
      <c r="F1548" s="10"/>
      <c r="G1548" s="47">
        <v>1</v>
      </c>
      <c r="H1548" s="72"/>
      <c r="I1548" s="10"/>
      <c r="J1548" s="46">
        <f t="shared" si="49"/>
        <v>1</v>
      </c>
      <c r="K1548" s="46">
        <f>IFERROR(INDEX(TarrifTable,MATCH(Elements!E1548,Constants!$V$4:$V$7,0),MATCH(Elements!F1548,Constants!$W$3:$AA$3,0)),0)</f>
        <v>0</v>
      </c>
      <c r="L1548" s="69">
        <f t="shared" si="50"/>
        <v>0</v>
      </c>
    </row>
    <row r="1549" spans="2:12" x14ac:dyDescent="0.85">
      <c r="B1549" s="48">
        <v>1542</v>
      </c>
      <c r="C1549" s="277"/>
      <c r="D1549" s="284"/>
      <c r="E1549" s="44"/>
      <c r="F1549" s="44"/>
      <c r="G1549" s="49">
        <v>1</v>
      </c>
      <c r="H1549" s="73"/>
      <c r="I1549" s="44"/>
      <c r="J1549" s="48">
        <f t="shared" si="49"/>
        <v>1</v>
      </c>
      <c r="K1549" s="48">
        <f>IFERROR(INDEX(TarrifTable,MATCH(Elements!E1549,Constants!$V$4:$V$7,0),MATCH(Elements!F1549,Constants!$W$3:$AA$3,0)),0)</f>
        <v>0</v>
      </c>
      <c r="L1549" s="68">
        <f t="shared" si="50"/>
        <v>0</v>
      </c>
    </row>
    <row r="1550" spans="2:12" x14ac:dyDescent="0.85">
      <c r="B1550" s="46">
        <v>1543</v>
      </c>
      <c r="C1550" s="276"/>
      <c r="D1550" s="283"/>
      <c r="E1550" s="10"/>
      <c r="F1550" s="10"/>
      <c r="G1550" s="47">
        <v>1</v>
      </c>
      <c r="H1550" s="72"/>
      <c r="I1550" s="10"/>
      <c r="J1550" s="46">
        <f t="shared" si="49"/>
        <v>1</v>
      </c>
      <c r="K1550" s="46">
        <f>IFERROR(INDEX(TarrifTable,MATCH(Elements!E1550,Constants!$V$4:$V$7,0),MATCH(Elements!F1550,Constants!$W$3:$AA$3,0)),0)</f>
        <v>0</v>
      </c>
      <c r="L1550" s="69">
        <f t="shared" si="50"/>
        <v>0</v>
      </c>
    </row>
    <row r="1551" spans="2:12" x14ac:dyDescent="0.85">
      <c r="B1551" s="48">
        <v>1544</v>
      </c>
      <c r="C1551" s="277"/>
      <c r="D1551" s="284"/>
      <c r="E1551" s="44"/>
      <c r="F1551" s="44"/>
      <c r="G1551" s="49">
        <v>1</v>
      </c>
      <c r="H1551" s="73"/>
      <c r="I1551" s="44"/>
      <c r="J1551" s="48">
        <f t="shared" si="49"/>
        <v>1</v>
      </c>
      <c r="K1551" s="48">
        <f>IFERROR(INDEX(TarrifTable,MATCH(Elements!E1551,Constants!$V$4:$V$7,0),MATCH(Elements!F1551,Constants!$W$3:$AA$3,0)),0)</f>
        <v>0</v>
      </c>
      <c r="L1551" s="68">
        <f t="shared" si="50"/>
        <v>0</v>
      </c>
    </row>
    <row r="1552" spans="2:12" x14ac:dyDescent="0.85">
      <c r="B1552" s="46">
        <v>1545</v>
      </c>
      <c r="C1552" s="276"/>
      <c r="D1552" s="283"/>
      <c r="E1552" s="10"/>
      <c r="F1552" s="10"/>
      <c r="G1552" s="47">
        <v>1</v>
      </c>
      <c r="H1552" s="72"/>
      <c r="I1552" s="10"/>
      <c r="J1552" s="46">
        <f t="shared" si="49"/>
        <v>1</v>
      </c>
      <c r="K1552" s="46">
        <f>IFERROR(INDEX(TarrifTable,MATCH(Elements!E1552,Constants!$V$4:$V$7,0),MATCH(Elements!F1552,Constants!$W$3:$AA$3,0)),0)</f>
        <v>0</v>
      </c>
      <c r="L1552" s="69">
        <f t="shared" si="50"/>
        <v>0</v>
      </c>
    </row>
    <row r="1553" spans="2:12" x14ac:dyDescent="0.85">
      <c r="B1553" s="48">
        <v>1546</v>
      </c>
      <c r="C1553" s="277"/>
      <c r="D1553" s="284"/>
      <c r="E1553" s="44"/>
      <c r="F1553" s="44"/>
      <c r="G1553" s="49">
        <v>1</v>
      </c>
      <c r="H1553" s="73"/>
      <c r="I1553" s="44"/>
      <c r="J1553" s="48">
        <f t="shared" si="49"/>
        <v>1</v>
      </c>
      <c r="K1553" s="48">
        <f>IFERROR(INDEX(TarrifTable,MATCH(Elements!E1553,Constants!$V$4:$V$7,0),MATCH(Elements!F1553,Constants!$W$3:$AA$3,0)),0)</f>
        <v>0</v>
      </c>
      <c r="L1553" s="68">
        <f t="shared" si="50"/>
        <v>0</v>
      </c>
    </row>
    <row r="1554" spans="2:12" x14ac:dyDescent="0.85">
      <c r="B1554" s="46">
        <v>1547</v>
      </c>
      <c r="C1554" s="276"/>
      <c r="D1554" s="283"/>
      <c r="E1554" s="10"/>
      <c r="F1554" s="10"/>
      <c r="G1554" s="47">
        <v>1</v>
      </c>
      <c r="H1554" s="72"/>
      <c r="I1554" s="10"/>
      <c r="J1554" s="46">
        <f t="shared" si="49"/>
        <v>1</v>
      </c>
      <c r="K1554" s="46">
        <f>IFERROR(INDEX(TarrifTable,MATCH(Elements!E1554,Constants!$V$4:$V$7,0),MATCH(Elements!F1554,Constants!$W$3:$AA$3,0)),0)</f>
        <v>0</v>
      </c>
      <c r="L1554" s="69">
        <f t="shared" si="50"/>
        <v>0</v>
      </c>
    </row>
    <row r="1555" spans="2:12" x14ac:dyDescent="0.85">
      <c r="B1555" s="48">
        <v>1548</v>
      </c>
      <c r="C1555" s="277"/>
      <c r="D1555" s="284"/>
      <c r="E1555" s="44"/>
      <c r="F1555" s="44"/>
      <c r="G1555" s="49">
        <v>1</v>
      </c>
      <c r="H1555" s="73"/>
      <c r="I1555" s="44"/>
      <c r="J1555" s="48">
        <f t="shared" si="49"/>
        <v>1</v>
      </c>
      <c r="K1555" s="48">
        <f>IFERROR(INDEX(TarrifTable,MATCH(Elements!E1555,Constants!$V$4:$V$7,0),MATCH(Elements!F1555,Constants!$W$3:$AA$3,0)),0)</f>
        <v>0</v>
      </c>
      <c r="L1555" s="68">
        <f t="shared" si="50"/>
        <v>0</v>
      </c>
    </row>
    <row r="1556" spans="2:12" x14ac:dyDescent="0.85">
      <c r="B1556" s="46">
        <v>1549</v>
      </c>
      <c r="C1556" s="276"/>
      <c r="D1556" s="283"/>
      <c r="E1556" s="10"/>
      <c r="F1556" s="10"/>
      <c r="G1556" s="47">
        <v>1</v>
      </c>
      <c r="H1556" s="72"/>
      <c r="I1556" s="10"/>
      <c r="J1556" s="46">
        <f t="shared" si="49"/>
        <v>1</v>
      </c>
      <c r="K1556" s="46">
        <f>IFERROR(INDEX(TarrifTable,MATCH(Elements!E1556,Constants!$V$4:$V$7,0),MATCH(Elements!F1556,Constants!$W$3:$AA$3,0)),0)</f>
        <v>0</v>
      </c>
      <c r="L1556" s="69">
        <f t="shared" si="50"/>
        <v>0</v>
      </c>
    </row>
    <row r="1557" spans="2:12" x14ac:dyDescent="0.85">
      <c r="B1557" s="48">
        <v>1550</v>
      </c>
      <c r="C1557" s="277"/>
      <c r="D1557" s="284"/>
      <c r="E1557" s="44"/>
      <c r="F1557" s="44"/>
      <c r="G1557" s="49">
        <v>1</v>
      </c>
      <c r="H1557" s="73"/>
      <c r="I1557" s="44"/>
      <c r="J1557" s="48">
        <f t="shared" si="49"/>
        <v>1</v>
      </c>
      <c r="K1557" s="48">
        <f>IFERROR(INDEX(TarrifTable,MATCH(Elements!E1557,Constants!$V$4:$V$7,0),MATCH(Elements!F1557,Constants!$W$3:$AA$3,0)),0)</f>
        <v>0</v>
      </c>
      <c r="L1557" s="68">
        <f t="shared" si="50"/>
        <v>0</v>
      </c>
    </row>
    <row r="1558" spans="2:12" x14ac:dyDescent="0.85">
      <c r="B1558" s="46">
        <v>1551</v>
      </c>
      <c r="C1558" s="276"/>
      <c r="D1558" s="283"/>
      <c r="E1558" s="10"/>
      <c r="F1558" s="10"/>
      <c r="G1558" s="47">
        <v>1</v>
      </c>
      <c r="H1558" s="72"/>
      <c r="I1558" s="10"/>
      <c r="J1558" s="46">
        <f t="shared" si="49"/>
        <v>1</v>
      </c>
      <c r="K1558" s="46">
        <f>IFERROR(INDEX(TarrifTable,MATCH(Elements!E1558,Constants!$V$4:$V$7,0),MATCH(Elements!F1558,Constants!$W$3:$AA$3,0)),0)</f>
        <v>0</v>
      </c>
      <c r="L1558" s="69">
        <f t="shared" si="50"/>
        <v>0</v>
      </c>
    </row>
    <row r="1559" spans="2:12" x14ac:dyDescent="0.85">
      <c r="B1559" s="48">
        <v>1552</v>
      </c>
      <c r="C1559" s="277"/>
      <c r="D1559" s="284"/>
      <c r="E1559" s="44"/>
      <c r="F1559" s="44"/>
      <c r="G1559" s="49">
        <v>1</v>
      </c>
      <c r="H1559" s="73"/>
      <c r="I1559" s="44"/>
      <c r="J1559" s="48">
        <f t="shared" si="49"/>
        <v>1</v>
      </c>
      <c r="K1559" s="48">
        <f>IFERROR(INDEX(TarrifTable,MATCH(Elements!E1559,Constants!$V$4:$V$7,0),MATCH(Elements!F1559,Constants!$W$3:$AA$3,0)),0)</f>
        <v>0</v>
      </c>
      <c r="L1559" s="68">
        <f t="shared" si="50"/>
        <v>0</v>
      </c>
    </row>
    <row r="1560" spans="2:12" x14ac:dyDescent="0.85">
      <c r="B1560" s="46">
        <v>1553</v>
      </c>
      <c r="C1560" s="276"/>
      <c r="D1560" s="283"/>
      <c r="E1560" s="10"/>
      <c r="F1560" s="10"/>
      <c r="G1560" s="47">
        <v>1</v>
      </c>
      <c r="H1560" s="72"/>
      <c r="I1560" s="10"/>
      <c r="J1560" s="46">
        <f t="shared" si="49"/>
        <v>1</v>
      </c>
      <c r="K1560" s="46">
        <f>IFERROR(INDEX(TarrifTable,MATCH(Elements!E1560,Constants!$V$4:$V$7,0),MATCH(Elements!F1560,Constants!$W$3:$AA$3,0)),0)</f>
        <v>0</v>
      </c>
      <c r="L1560" s="69">
        <f t="shared" si="50"/>
        <v>0</v>
      </c>
    </row>
    <row r="1561" spans="2:12" x14ac:dyDescent="0.85">
      <c r="B1561" s="48">
        <v>1554</v>
      </c>
      <c r="C1561" s="277"/>
      <c r="D1561" s="284"/>
      <c r="E1561" s="44"/>
      <c r="F1561" s="44"/>
      <c r="G1561" s="49">
        <v>1</v>
      </c>
      <c r="H1561" s="73"/>
      <c r="I1561" s="44"/>
      <c r="J1561" s="48">
        <f t="shared" si="49"/>
        <v>1</v>
      </c>
      <c r="K1561" s="48">
        <f>IFERROR(INDEX(TarrifTable,MATCH(Elements!E1561,Constants!$V$4:$V$7,0),MATCH(Elements!F1561,Constants!$W$3:$AA$3,0)),0)</f>
        <v>0</v>
      </c>
      <c r="L1561" s="68">
        <f t="shared" si="50"/>
        <v>0</v>
      </c>
    </row>
    <row r="1562" spans="2:12" x14ac:dyDescent="0.85">
      <c r="B1562" s="46">
        <v>1555</v>
      </c>
      <c r="C1562" s="276"/>
      <c r="D1562" s="283"/>
      <c r="E1562" s="10"/>
      <c r="F1562" s="10"/>
      <c r="G1562" s="47">
        <v>1</v>
      </c>
      <c r="H1562" s="72"/>
      <c r="I1562" s="10"/>
      <c r="J1562" s="46">
        <f t="shared" si="49"/>
        <v>1</v>
      </c>
      <c r="K1562" s="46">
        <f>IFERROR(INDEX(TarrifTable,MATCH(Elements!E1562,Constants!$V$4:$V$7,0),MATCH(Elements!F1562,Constants!$W$3:$AA$3,0)),0)</f>
        <v>0</v>
      </c>
      <c r="L1562" s="69">
        <f t="shared" si="50"/>
        <v>0</v>
      </c>
    </row>
    <row r="1563" spans="2:12" x14ac:dyDescent="0.85">
      <c r="B1563" s="48">
        <v>1556</v>
      </c>
      <c r="C1563" s="277"/>
      <c r="D1563" s="284"/>
      <c r="E1563" s="44"/>
      <c r="F1563" s="44"/>
      <c r="G1563" s="49">
        <v>1</v>
      </c>
      <c r="H1563" s="73"/>
      <c r="I1563" s="44"/>
      <c r="J1563" s="48">
        <f t="shared" si="49"/>
        <v>1</v>
      </c>
      <c r="K1563" s="48">
        <f>IFERROR(INDEX(TarrifTable,MATCH(Elements!E1563,Constants!$V$4:$V$7,0),MATCH(Elements!F1563,Constants!$W$3:$AA$3,0)),0)</f>
        <v>0</v>
      </c>
      <c r="L1563" s="68">
        <f t="shared" si="50"/>
        <v>0</v>
      </c>
    </row>
    <row r="1564" spans="2:12" x14ac:dyDescent="0.85">
      <c r="B1564" s="46">
        <v>1557</v>
      </c>
      <c r="C1564" s="276"/>
      <c r="D1564" s="283"/>
      <c r="E1564" s="10"/>
      <c r="F1564" s="10"/>
      <c r="G1564" s="47">
        <v>1</v>
      </c>
      <c r="H1564" s="72"/>
      <c r="I1564" s="10"/>
      <c r="J1564" s="46">
        <f t="shared" si="49"/>
        <v>1</v>
      </c>
      <c r="K1564" s="46">
        <f>IFERROR(INDEX(TarrifTable,MATCH(Elements!E1564,Constants!$V$4:$V$7,0),MATCH(Elements!F1564,Constants!$W$3:$AA$3,0)),0)</f>
        <v>0</v>
      </c>
      <c r="L1564" s="69">
        <f t="shared" si="50"/>
        <v>0</v>
      </c>
    </row>
    <row r="1565" spans="2:12" x14ac:dyDescent="0.85">
      <c r="B1565" s="48">
        <v>1558</v>
      </c>
      <c r="C1565" s="277"/>
      <c r="D1565" s="284"/>
      <c r="E1565" s="44"/>
      <c r="F1565" s="44"/>
      <c r="G1565" s="49">
        <v>1</v>
      </c>
      <c r="H1565" s="73"/>
      <c r="I1565" s="44"/>
      <c r="J1565" s="48">
        <f t="shared" si="49"/>
        <v>1</v>
      </c>
      <c r="K1565" s="48">
        <f>IFERROR(INDEX(TarrifTable,MATCH(Elements!E1565,Constants!$V$4:$V$7,0),MATCH(Elements!F1565,Constants!$W$3:$AA$3,0)),0)</f>
        <v>0</v>
      </c>
      <c r="L1565" s="68">
        <f t="shared" si="50"/>
        <v>0</v>
      </c>
    </row>
    <row r="1566" spans="2:12" x14ac:dyDescent="0.85">
      <c r="B1566" s="46">
        <v>1559</v>
      </c>
      <c r="C1566" s="276"/>
      <c r="D1566" s="283"/>
      <c r="E1566" s="10"/>
      <c r="F1566" s="10"/>
      <c r="G1566" s="47">
        <v>1</v>
      </c>
      <c r="H1566" s="72"/>
      <c r="I1566" s="10"/>
      <c r="J1566" s="46">
        <f t="shared" si="49"/>
        <v>1</v>
      </c>
      <c r="K1566" s="46">
        <f>IFERROR(INDEX(TarrifTable,MATCH(Elements!E1566,Constants!$V$4:$V$7,0),MATCH(Elements!F1566,Constants!$W$3:$AA$3,0)),0)</f>
        <v>0</v>
      </c>
      <c r="L1566" s="69">
        <f t="shared" si="50"/>
        <v>0</v>
      </c>
    </row>
    <row r="1567" spans="2:12" x14ac:dyDescent="0.85">
      <c r="B1567" s="48">
        <v>1560</v>
      </c>
      <c r="C1567" s="277"/>
      <c r="D1567" s="284"/>
      <c r="E1567" s="44"/>
      <c r="F1567" s="44"/>
      <c r="G1567" s="49">
        <v>1</v>
      </c>
      <c r="H1567" s="73"/>
      <c r="I1567" s="44"/>
      <c r="J1567" s="48">
        <f t="shared" si="49"/>
        <v>1</v>
      </c>
      <c r="K1567" s="48">
        <f>IFERROR(INDEX(TarrifTable,MATCH(Elements!E1567,Constants!$V$4:$V$7,0),MATCH(Elements!F1567,Constants!$W$3:$AA$3,0)),0)</f>
        <v>0</v>
      </c>
      <c r="L1567" s="68">
        <f t="shared" si="50"/>
        <v>0</v>
      </c>
    </row>
    <row r="1568" spans="2:12" x14ac:dyDescent="0.85">
      <c r="B1568" s="46">
        <v>1561</v>
      </c>
      <c r="C1568" s="276"/>
      <c r="D1568" s="283"/>
      <c r="E1568" s="10"/>
      <c r="F1568" s="10"/>
      <c r="G1568" s="47">
        <v>1</v>
      </c>
      <c r="H1568" s="72"/>
      <c r="I1568" s="10"/>
      <c r="J1568" s="46">
        <f t="shared" si="49"/>
        <v>1</v>
      </c>
      <c r="K1568" s="46">
        <f>IFERROR(INDEX(TarrifTable,MATCH(Elements!E1568,Constants!$V$4:$V$7,0),MATCH(Elements!F1568,Constants!$W$3:$AA$3,0)),0)</f>
        <v>0</v>
      </c>
      <c r="L1568" s="69">
        <f t="shared" si="50"/>
        <v>0</v>
      </c>
    </row>
    <row r="1569" spans="2:12" x14ac:dyDescent="0.85">
      <c r="B1569" s="48">
        <v>1562</v>
      </c>
      <c r="C1569" s="277"/>
      <c r="D1569" s="284"/>
      <c r="E1569" s="44"/>
      <c r="F1569" s="44"/>
      <c r="G1569" s="49">
        <v>1</v>
      </c>
      <c r="H1569" s="73"/>
      <c r="I1569" s="44"/>
      <c r="J1569" s="48">
        <f t="shared" si="49"/>
        <v>1</v>
      </c>
      <c r="K1569" s="48">
        <f>IFERROR(INDEX(TarrifTable,MATCH(Elements!E1569,Constants!$V$4:$V$7,0),MATCH(Elements!F1569,Constants!$W$3:$AA$3,0)),0)</f>
        <v>0</v>
      </c>
      <c r="L1569" s="68">
        <f t="shared" si="50"/>
        <v>0</v>
      </c>
    </row>
    <row r="1570" spans="2:12" x14ac:dyDescent="0.85">
      <c r="B1570" s="46">
        <v>1563</v>
      </c>
      <c r="C1570" s="276"/>
      <c r="D1570" s="283"/>
      <c r="E1570" s="10"/>
      <c r="F1570" s="10"/>
      <c r="G1570" s="47">
        <v>1</v>
      </c>
      <c r="H1570" s="72"/>
      <c r="I1570" s="10"/>
      <c r="J1570" s="46">
        <f t="shared" si="49"/>
        <v>1</v>
      </c>
      <c r="K1570" s="46">
        <f>IFERROR(INDEX(TarrifTable,MATCH(Elements!E1570,Constants!$V$4:$V$7,0),MATCH(Elements!F1570,Constants!$W$3:$AA$3,0)),0)</f>
        <v>0</v>
      </c>
      <c r="L1570" s="69">
        <f t="shared" si="50"/>
        <v>0</v>
      </c>
    </row>
    <row r="1571" spans="2:12" x14ac:dyDescent="0.85">
      <c r="B1571" s="48">
        <v>1564</v>
      </c>
      <c r="C1571" s="277"/>
      <c r="D1571" s="284"/>
      <c r="E1571" s="44"/>
      <c r="F1571" s="44"/>
      <c r="G1571" s="49">
        <v>1</v>
      </c>
      <c r="H1571" s="73"/>
      <c r="I1571" s="44"/>
      <c r="J1571" s="48">
        <f t="shared" si="49"/>
        <v>1</v>
      </c>
      <c r="K1571" s="48">
        <f>IFERROR(INDEX(TarrifTable,MATCH(Elements!E1571,Constants!$V$4:$V$7,0),MATCH(Elements!F1571,Constants!$W$3:$AA$3,0)),0)</f>
        <v>0</v>
      </c>
      <c r="L1571" s="68">
        <f t="shared" si="50"/>
        <v>0</v>
      </c>
    </row>
    <row r="1572" spans="2:12" x14ac:dyDescent="0.85">
      <c r="B1572" s="46">
        <v>1565</v>
      </c>
      <c r="C1572" s="276"/>
      <c r="D1572" s="283"/>
      <c r="E1572" s="10"/>
      <c r="F1572" s="10"/>
      <c r="G1572" s="47">
        <v>1</v>
      </c>
      <c r="H1572" s="72"/>
      <c r="I1572" s="10"/>
      <c r="J1572" s="46">
        <f t="shared" si="49"/>
        <v>1</v>
      </c>
      <c r="K1572" s="46">
        <f>IFERROR(INDEX(TarrifTable,MATCH(Elements!E1572,Constants!$V$4:$V$7,0),MATCH(Elements!F1572,Constants!$W$3:$AA$3,0)),0)</f>
        <v>0</v>
      </c>
      <c r="L1572" s="69">
        <f t="shared" si="50"/>
        <v>0</v>
      </c>
    </row>
    <row r="1573" spans="2:12" x14ac:dyDescent="0.85">
      <c r="B1573" s="48">
        <v>1566</v>
      </c>
      <c r="C1573" s="277"/>
      <c r="D1573" s="284"/>
      <c r="E1573" s="44"/>
      <c r="F1573" s="44"/>
      <c r="G1573" s="49">
        <v>1</v>
      </c>
      <c r="H1573" s="73"/>
      <c r="I1573" s="44"/>
      <c r="J1573" s="48">
        <f t="shared" si="49"/>
        <v>1</v>
      </c>
      <c r="K1573" s="48">
        <f>IFERROR(INDEX(TarrifTable,MATCH(Elements!E1573,Constants!$V$4:$V$7,0),MATCH(Elements!F1573,Constants!$W$3:$AA$3,0)),0)</f>
        <v>0</v>
      </c>
      <c r="L1573" s="68">
        <f t="shared" si="50"/>
        <v>0</v>
      </c>
    </row>
    <row r="1574" spans="2:12" x14ac:dyDescent="0.85">
      <c r="B1574" s="46">
        <v>1567</v>
      </c>
      <c r="C1574" s="276"/>
      <c r="D1574" s="283"/>
      <c r="E1574" s="10"/>
      <c r="F1574" s="10"/>
      <c r="G1574" s="47">
        <v>1</v>
      </c>
      <c r="H1574" s="72"/>
      <c r="I1574" s="10"/>
      <c r="J1574" s="46">
        <f t="shared" si="49"/>
        <v>1</v>
      </c>
      <c r="K1574" s="46">
        <f>IFERROR(INDEX(TarrifTable,MATCH(Elements!E1574,Constants!$V$4:$V$7,0),MATCH(Elements!F1574,Constants!$W$3:$AA$3,0)),0)</f>
        <v>0</v>
      </c>
      <c r="L1574" s="69">
        <f t="shared" si="50"/>
        <v>0</v>
      </c>
    </row>
    <row r="1575" spans="2:12" x14ac:dyDescent="0.85">
      <c r="B1575" s="48">
        <v>1568</v>
      </c>
      <c r="C1575" s="277"/>
      <c r="D1575" s="284"/>
      <c r="E1575" s="44"/>
      <c r="F1575" s="44"/>
      <c r="G1575" s="49">
        <v>1</v>
      </c>
      <c r="H1575" s="73"/>
      <c r="I1575" s="44"/>
      <c r="J1575" s="48">
        <f t="shared" si="49"/>
        <v>1</v>
      </c>
      <c r="K1575" s="48">
        <f>IFERROR(INDEX(TarrifTable,MATCH(Elements!E1575,Constants!$V$4:$V$7,0),MATCH(Elements!F1575,Constants!$W$3:$AA$3,0)),0)</f>
        <v>0</v>
      </c>
      <c r="L1575" s="68">
        <f t="shared" si="50"/>
        <v>0</v>
      </c>
    </row>
    <row r="1576" spans="2:12" x14ac:dyDescent="0.85">
      <c r="B1576" s="46">
        <v>1569</v>
      </c>
      <c r="C1576" s="276"/>
      <c r="D1576" s="283"/>
      <c r="E1576" s="10"/>
      <c r="F1576" s="10"/>
      <c r="G1576" s="47">
        <v>1</v>
      </c>
      <c r="H1576" s="72"/>
      <c r="I1576" s="10"/>
      <c r="J1576" s="46">
        <f t="shared" si="49"/>
        <v>1</v>
      </c>
      <c r="K1576" s="46">
        <f>IFERROR(INDEX(TarrifTable,MATCH(Elements!E1576,Constants!$V$4:$V$7,0),MATCH(Elements!F1576,Constants!$W$3:$AA$3,0)),0)</f>
        <v>0</v>
      </c>
      <c r="L1576" s="69">
        <f t="shared" si="50"/>
        <v>0</v>
      </c>
    </row>
    <row r="1577" spans="2:12" x14ac:dyDescent="0.85">
      <c r="B1577" s="48">
        <v>1570</v>
      </c>
      <c r="C1577" s="277"/>
      <c r="D1577" s="284"/>
      <c r="E1577" s="44"/>
      <c r="F1577" s="44"/>
      <c r="G1577" s="49">
        <v>1</v>
      </c>
      <c r="H1577" s="73"/>
      <c r="I1577" s="44"/>
      <c r="J1577" s="48">
        <f t="shared" si="49"/>
        <v>1</v>
      </c>
      <c r="K1577" s="48">
        <f>IFERROR(INDEX(TarrifTable,MATCH(Elements!E1577,Constants!$V$4:$V$7,0),MATCH(Elements!F1577,Constants!$W$3:$AA$3,0)),0)</f>
        <v>0</v>
      </c>
      <c r="L1577" s="68">
        <f t="shared" si="50"/>
        <v>0</v>
      </c>
    </row>
    <row r="1578" spans="2:12" x14ac:dyDescent="0.85">
      <c r="B1578" s="46">
        <v>1571</v>
      </c>
      <c r="C1578" s="276"/>
      <c r="D1578" s="283"/>
      <c r="E1578" s="10"/>
      <c r="F1578" s="10"/>
      <c r="G1578" s="47">
        <v>1</v>
      </c>
      <c r="H1578" s="72"/>
      <c r="I1578" s="10"/>
      <c r="J1578" s="46">
        <f t="shared" si="49"/>
        <v>1</v>
      </c>
      <c r="K1578" s="46">
        <f>IFERROR(INDEX(TarrifTable,MATCH(Elements!E1578,Constants!$V$4:$V$7,0),MATCH(Elements!F1578,Constants!$W$3:$AA$3,0)),0)</f>
        <v>0</v>
      </c>
      <c r="L1578" s="69">
        <f t="shared" si="50"/>
        <v>0</v>
      </c>
    </row>
    <row r="1579" spans="2:12" x14ac:dyDescent="0.85">
      <c r="B1579" s="48">
        <v>1572</v>
      </c>
      <c r="C1579" s="277"/>
      <c r="D1579" s="284"/>
      <c r="E1579" s="44"/>
      <c r="F1579" s="44"/>
      <c r="G1579" s="49">
        <v>1</v>
      </c>
      <c r="H1579" s="73"/>
      <c r="I1579" s="44"/>
      <c r="J1579" s="48">
        <f t="shared" si="49"/>
        <v>1</v>
      </c>
      <c r="K1579" s="48">
        <f>IFERROR(INDEX(TarrifTable,MATCH(Elements!E1579,Constants!$V$4:$V$7,0),MATCH(Elements!F1579,Constants!$W$3:$AA$3,0)),0)</f>
        <v>0</v>
      </c>
      <c r="L1579" s="68">
        <f t="shared" si="50"/>
        <v>0</v>
      </c>
    </row>
    <row r="1580" spans="2:12" x14ac:dyDescent="0.85">
      <c r="B1580" s="46">
        <v>1573</v>
      </c>
      <c r="C1580" s="276"/>
      <c r="D1580" s="283"/>
      <c r="E1580" s="10"/>
      <c r="F1580" s="10"/>
      <c r="G1580" s="47">
        <v>1</v>
      </c>
      <c r="H1580" s="72"/>
      <c r="I1580" s="10"/>
      <c r="J1580" s="46">
        <f t="shared" si="49"/>
        <v>1</v>
      </c>
      <c r="K1580" s="46">
        <f>IFERROR(INDEX(TarrifTable,MATCH(Elements!E1580,Constants!$V$4:$V$7,0),MATCH(Elements!F1580,Constants!$W$3:$AA$3,0)),0)</f>
        <v>0</v>
      </c>
      <c r="L1580" s="69">
        <f t="shared" si="50"/>
        <v>0</v>
      </c>
    </row>
    <row r="1581" spans="2:12" x14ac:dyDescent="0.85">
      <c r="B1581" s="48">
        <v>1574</v>
      </c>
      <c r="C1581" s="277"/>
      <c r="D1581" s="284"/>
      <c r="E1581" s="44"/>
      <c r="F1581" s="44"/>
      <c r="G1581" s="49">
        <v>1</v>
      </c>
      <c r="H1581" s="73"/>
      <c r="I1581" s="44"/>
      <c r="J1581" s="48">
        <f t="shared" si="49"/>
        <v>1</v>
      </c>
      <c r="K1581" s="48">
        <f>IFERROR(INDEX(TarrifTable,MATCH(Elements!E1581,Constants!$V$4:$V$7,0),MATCH(Elements!F1581,Constants!$W$3:$AA$3,0)),0)</f>
        <v>0</v>
      </c>
      <c r="L1581" s="68">
        <f t="shared" si="50"/>
        <v>0</v>
      </c>
    </row>
    <row r="1582" spans="2:12" x14ac:dyDescent="0.85">
      <c r="B1582" s="46">
        <v>1575</v>
      </c>
      <c r="C1582" s="276"/>
      <c r="D1582" s="283"/>
      <c r="E1582" s="10"/>
      <c r="F1582" s="10"/>
      <c r="G1582" s="47">
        <v>1</v>
      </c>
      <c r="H1582" s="72"/>
      <c r="I1582" s="10"/>
      <c r="J1582" s="46">
        <f t="shared" si="49"/>
        <v>1</v>
      </c>
      <c r="K1582" s="46">
        <f>IFERROR(INDEX(TarrifTable,MATCH(Elements!E1582,Constants!$V$4:$V$7,0),MATCH(Elements!F1582,Constants!$W$3:$AA$3,0)),0)</f>
        <v>0</v>
      </c>
      <c r="L1582" s="69">
        <f t="shared" si="50"/>
        <v>0</v>
      </c>
    </row>
    <row r="1583" spans="2:12" x14ac:dyDescent="0.85">
      <c r="B1583" s="48">
        <v>1576</v>
      </c>
      <c r="C1583" s="277"/>
      <c r="D1583" s="284"/>
      <c r="E1583" s="44"/>
      <c r="F1583" s="44"/>
      <c r="G1583" s="49">
        <v>1</v>
      </c>
      <c r="H1583" s="73"/>
      <c r="I1583" s="44"/>
      <c r="J1583" s="48">
        <f t="shared" si="49"/>
        <v>1</v>
      </c>
      <c r="K1583" s="48">
        <f>IFERROR(INDEX(TarrifTable,MATCH(Elements!E1583,Constants!$V$4:$V$7,0),MATCH(Elements!F1583,Constants!$W$3:$AA$3,0)),0)</f>
        <v>0</v>
      </c>
      <c r="L1583" s="68">
        <f t="shared" si="50"/>
        <v>0</v>
      </c>
    </row>
    <row r="1584" spans="2:12" x14ac:dyDescent="0.85">
      <c r="B1584" s="46">
        <v>1577</v>
      </c>
      <c r="C1584" s="276"/>
      <c r="D1584" s="283"/>
      <c r="E1584" s="10"/>
      <c r="F1584" s="10"/>
      <c r="G1584" s="47">
        <v>1</v>
      </c>
      <c r="H1584" s="72"/>
      <c r="I1584" s="10"/>
      <c r="J1584" s="46">
        <f t="shared" si="49"/>
        <v>1</v>
      </c>
      <c r="K1584" s="46">
        <f>IFERROR(INDEX(TarrifTable,MATCH(Elements!E1584,Constants!$V$4:$V$7,0),MATCH(Elements!F1584,Constants!$W$3:$AA$3,0)),0)</f>
        <v>0</v>
      </c>
      <c r="L1584" s="69">
        <f t="shared" si="50"/>
        <v>0</v>
      </c>
    </row>
    <row r="1585" spans="2:12" x14ac:dyDescent="0.85">
      <c r="B1585" s="48">
        <v>1578</v>
      </c>
      <c r="C1585" s="277"/>
      <c r="D1585" s="284"/>
      <c r="E1585" s="44"/>
      <c r="F1585" s="44"/>
      <c r="G1585" s="49">
        <v>1</v>
      </c>
      <c r="H1585" s="73"/>
      <c r="I1585" s="44"/>
      <c r="J1585" s="48">
        <f t="shared" si="49"/>
        <v>1</v>
      </c>
      <c r="K1585" s="48">
        <f>IFERROR(INDEX(TarrifTable,MATCH(Elements!E1585,Constants!$V$4:$V$7,0),MATCH(Elements!F1585,Constants!$W$3:$AA$3,0)),0)</f>
        <v>0</v>
      </c>
      <c r="L1585" s="68">
        <f t="shared" si="50"/>
        <v>0</v>
      </c>
    </row>
    <row r="1586" spans="2:12" x14ac:dyDescent="0.85">
      <c r="B1586" s="46">
        <v>1579</v>
      </c>
      <c r="C1586" s="276"/>
      <c r="D1586" s="283"/>
      <c r="E1586" s="10"/>
      <c r="F1586" s="10"/>
      <c r="G1586" s="47">
        <v>1</v>
      </c>
      <c r="H1586" s="72"/>
      <c r="I1586" s="10"/>
      <c r="J1586" s="46">
        <f t="shared" si="49"/>
        <v>1</v>
      </c>
      <c r="K1586" s="46">
        <f>IFERROR(INDEX(TarrifTable,MATCH(Elements!E1586,Constants!$V$4:$V$7,0),MATCH(Elements!F1586,Constants!$W$3:$AA$3,0)),0)</f>
        <v>0</v>
      </c>
      <c r="L1586" s="69">
        <f t="shared" si="50"/>
        <v>0</v>
      </c>
    </row>
    <row r="1587" spans="2:12" x14ac:dyDescent="0.85">
      <c r="B1587" s="48">
        <v>1580</v>
      </c>
      <c r="C1587" s="277"/>
      <c r="D1587" s="284"/>
      <c r="E1587" s="44"/>
      <c r="F1587" s="44"/>
      <c r="G1587" s="49">
        <v>1</v>
      </c>
      <c r="H1587" s="73"/>
      <c r="I1587" s="44"/>
      <c r="J1587" s="48">
        <f t="shared" si="49"/>
        <v>1</v>
      </c>
      <c r="K1587" s="48">
        <f>IFERROR(INDEX(TarrifTable,MATCH(Elements!E1587,Constants!$V$4:$V$7,0),MATCH(Elements!F1587,Constants!$W$3:$AA$3,0)),0)</f>
        <v>0</v>
      </c>
      <c r="L1587" s="68">
        <f t="shared" si="50"/>
        <v>0</v>
      </c>
    </row>
    <row r="1588" spans="2:12" x14ac:dyDescent="0.85">
      <c r="B1588" s="46">
        <v>1581</v>
      </c>
      <c r="C1588" s="276"/>
      <c r="D1588" s="283"/>
      <c r="E1588" s="10"/>
      <c r="F1588" s="10"/>
      <c r="G1588" s="47">
        <v>1</v>
      </c>
      <c r="H1588" s="72"/>
      <c r="I1588" s="10"/>
      <c r="J1588" s="46">
        <f t="shared" si="49"/>
        <v>1</v>
      </c>
      <c r="K1588" s="46">
        <f>IFERROR(INDEX(TarrifTable,MATCH(Elements!E1588,Constants!$V$4:$V$7,0),MATCH(Elements!F1588,Constants!$W$3:$AA$3,0)),0)</f>
        <v>0</v>
      </c>
      <c r="L1588" s="69">
        <f t="shared" si="50"/>
        <v>0</v>
      </c>
    </row>
    <row r="1589" spans="2:12" x14ac:dyDescent="0.85">
      <c r="B1589" s="48">
        <v>1582</v>
      </c>
      <c r="C1589" s="277"/>
      <c r="D1589" s="284"/>
      <c r="E1589" s="44"/>
      <c r="F1589" s="44"/>
      <c r="G1589" s="49">
        <v>1</v>
      </c>
      <c r="H1589" s="73"/>
      <c r="I1589" s="44"/>
      <c r="J1589" s="48">
        <f t="shared" si="49"/>
        <v>1</v>
      </c>
      <c r="K1589" s="48">
        <f>IFERROR(INDEX(TarrifTable,MATCH(Elements!E1589,Constants!$V$4:$V$7,0),MATCH(Elements!F1589,Constants!$W$3:$AA$3,0)),0)</f>
        <v>0</v>
      </c>
      <c r="L1589" s="68">
        <f t="shared" si="50"/>
        <v>0</v>
      </c>
    </row>
    <row r="1590" spans="2:12" x14ac:dyDescent="0.85">
      <c r="B1590" s="46">
        <v>1583</v>
      </c>
      <c r="C1590" s="276"/>
      <c r="D1590" s="283"/>
      <c r="E1590" s="10"/>
      <c r="F1590" s="10"/>
      <c r="G1590" s="47">
        <v>1</v>
      </c>
      <c r="H1590" s="72"/>
      <c r="I1590" s="10"/>
      <c r="J1590" s="46">
        <f t="shared" si="49"/>
        <v>1</v>
      </c>
      <c r="K1590" s="46">
        <f>IFERROR(INDEX(TarrifTable,MATCH(Elements!E1590,Constants!$V$4:$V$7,0),MATCH(Elements!F1590,Constants!$W$3:$AA$3,0)),0)</f>
        <v>0</v>
      </c>
      <c r="L1590" s="69">
        <f t="shared" si="50"/>
        <v>0</v>
      </c>
    </row>
    <row r="1591" spans="2:12" x14ac:dyDescent="0.85">
      <c r="B1591" s="48">
        <v>1584</v>
      </c>
      <c r="C1591" s="277"/>
      <c r="D1591" s="284"/>
      <c r="E1591" s="44"/>
      <c r="F1591" s="44"/>
      <c r="G1591" s="49">
        <v>1</v>
      </c>
      <c r="H1591" s="73"/>
      <c r="I1591" s="44"/>
      <c r="J1591" s="48">
        <f t="shared" si="49"/>
        <v>1</v>
      </c>
      <c r="K1591" s="48">
        <f>IFERROR(INDEX(TarrifTable,MATCH(Elements!E1591,Constants!$V$4:$V$7,0),MATCH(Elements!F1591,Constants!$W$3:$AA$3,0)),0)</f>
        <v>0</v>
      </c>
      <c r="L1591" s="68">
        <f t="shared" si="50"/>
        <v>0</v>
      </c>
    </row>
    <row r="1592" spans="2:12" x14ac:dyDescent="0.85">
      <c r="B1592" s="46">
        <v>1585</v>
      </c>
      <c r="C1592" s="276"/>
      <c r="D1592" s="283"/>
      <c r="E1592" s="10"/>
      <c r="F1592" s="10"/>
      <c r="G1592" s="47">
        <v>1</v>
      </c>
      <c r="H1592" s="72"/>
      <c r="I1592" s="10"/>
      <c r="J1592" s="46">
        <f t="shared" si="49"/>
        <v>1</v>
      </c>
      <c r="K1592" s="46">
        <f>IFERROR(INDEX(TarrifTable,MATCH(Elements!E1592,Constants!$V$4:$V$7,0),MATCH(Elements!F1592,Constants!$W$3:$AA$3,0)),0)</f>
        <v>0</v>
      </c>
      <c r="L1592" s="69">
        <f t="shared" si="50"/>
        <v>0</v>
      </c>
    </row>
    <row r="1593" spans="2:12" x14ac:dyDescent="0.85">
      <c r="B1593" s="48">
        <v>1586</v>
      </c>
      <c r="C1593" s="277"/>
      <c r="D1593" s="284"/>
      <c r="E1593" s="44"/>
      <c r="F1593" s="44"/>
      <c r="G1593" s="49">
        <v>1</v>
      </c>
      <c r="H1593" s="73"/>
      <c r="I1593" s="44"/>
      <c r="J1593" s="48">
        <f t="shared" si="49"/>
        <v>1</v>
      </c>
      <c r="K1593" s="48">
        <f>IFERROR(INDEX(TarrifTable,MATCH(Elements!E1593,Constants!$V$4:$V$7,0),MATCH(Elements!F1593,Constants!$W$3:$AA$3,0)),0)</f>
        <v>0</v>
      </c>
      <c r="L1593" s="68">
        <f t="shared" si="50"/>
        <v>0</v>
      </c>
    </row>
    <row r="1594" spans="2:12" x14ac:dyDescent="0.85">
      <c r="B1594" s="46">
        <v>1587</v>
      </c>
      <c r="C1594" s="276"/>
      <c r="D1594" s="283"/>
      <c r="E1594" s="10"/>
      <c r="F1594" s="10"/>
      <c r="G1594" s="47">
        <v>1</v>
      </c>
      <c r="H1594" s="72"/>
      <c r="I1594" s="10"/>
      <c r="J1594" s="46">
        <f t="shared" si="49"/>
        <v>1</v>
      </c>
      <c r="K1594" s="46">
        <f>IFERROR(INDEX(TarrifTable,MATCH(Elements!E1594,Constants!$V$4:$V$7,0),MATCH(Elements!F1594,Constants!$W$3:$AA$3,0)),0)</f>
        <v>0</v>
      </c>
      <c r="L1594" s="69">
        <f t="shared" si="50"/>
        <v>0</v>
      </c>
    </row>
    <row r="1595" spans="2:12" x14ac:dyDescent="0.85">
      <c r="B1595" s="48">
        <v>1588</v>
      </c>
      <c r="C1595" s="277"/>
      <c r="D1595" s="284"/>
      <c r="E1595" s="44"/>
      <c r="F1595" s="44"/>
      <c r="G1595" s="49">
        <v>1</v>
      </c>
      <c r="H1595" s="73"/>
      <c r="I1595" s="44"/>
      <c r="J1595" s="48">
        <f t="shared" si="49"/>
        <v>1</v>
      </c>
      <c r="K1595" s="48">
        <f>IFERROR(INDEX(TarrifTable,MATCH(Elements!E1595,Constants!$V$4:$V$7,0),MATCH(Elements!F1595,Constants!$W$3:$AA$3,0)),0)</f>
        <v>0</v>
      </c>
      <c r="L1595" s="68">
        <f t="shared" si="50"/>
        <v>0</v>
      </c>
    </row>
    <row r="1596" spans="2:12" x14ac:dyDescent="0.85">
      <c r="B1596" s="46">
        <v>1589</v>
      </c>
      <c r="C1596" s="276"/>
      <c r="D1596" s="283"/>
      <c r="E1596" s="10"/>
      <c r="F1596" s="10"/>
      <c r="G1596" s="47">
        <v>1</v>
      </c>
      <c r="H1596" s="72"/>
      <c r="I1596" s="10"/>
      <c r="J1596" s="46">
        <f t="shared" si="49"/>
        <v>1</v>
      </c>
      <c r="K1596" s="46">
        <f>IFERROR(INDEX(TarrifTable,MATCH(Elements!E1596,Constants!$V$4:$V$7,0),MATCH(Elements!F1596,Constants!$W$3:$AA$3,0)),0)</f>
        <v>0</v>
      </c>
      <c r="L1596" s="69">
        <f t="shared" si="50"/>
        <v>0</v>
      </c>
    </row>
    <row r="1597" spans="2:12" x14ac:dyDescent="0.85">
      <c r="B1597" s="48">
        <v>1590</v>
      </c>
      <c r="C1597" s="277"/>
      <c r="D1597" s="284"/>
      <c r="E1597" s="44"/>
      <c r="F1597" s="44"/>
      <c r="G1597" s="49">
        <v>1</v>
      </c>
      <c r="H1597" s="73"/>
      <c r="I1597" s="44"/>
      <c r="J1597" s="48">
        <f t="shared" si="49"/>
        <v>1</v>
      </c>
      <c r="K1597" s="48">
        <f>IFERROR(INDEX(TarrifTable,MATCH(Elements!E1597,Constants!$V$4:$V$7,0),MATCH(Elements!F1597,Constants!$W$3:$AA$3,0)),0)</f>
        <v>0</v>
      </c>
      <c r="L1597" s="68">
        <f t="shared" si="50"/>
        <v>0</v>
      </c>
    </row>
    <row r="1598" spans="2:12" x14ac:dyDescent="0.85">
      <c r="B1598" s="46">
        <v>1591</v>
      </c>
      <c r="C1598" s="276"/>
      <c r="D1598" s="283"/>
      <c r="E1598" s="10"/>
      <c r="F1598" s="10"/>
      <c r="G1598" s="47">
        <v>1</v>
      </c>
      <c r="H1598" s="72"/>
      <c r="I1598" s="10"/>
      <c r="J1598" s="46">
        <f t="shared" si="49"/>
        <v>1</v>
      </c>
      <c r="K1598" s="46">
        <f>IFERROR(INDEX(TarrifTable,MATCH(Elements!E1598,Constants!$V$4:$V$7,0),MATCH(Elements!F1598,Constants!$W$3:$AA$3,0)),0)</f>
        <v>0</v>
      </c>
      <c r="L1598" s="69">
        <f t="shared" si="50"/>
        <v>0</v>
      </c>
    </row>
    <row r="1599" spans="2:12" x14ac:dyDescent="0.85">
      <c r="B1599" s="48">
        <v>1592</v>
      </c>
      <c r="C1599" s="277"/>
      <c r="D1599" s="284"/>
      <c r="E1599" s="44"/>
      <c r="F1599" s="44"/>
      <c r="G1599" s="49">
        <v>1</v>
      </c>
      <c r="H1599" s="73"/>
      <c r="I1599" s="44"/>
      <c r="J1599" s="48">
        <f t="shared" si="49"/>
        <v>1</v>
      </c>
      <c r="K1599" s="48">
        <f>IFERROR(INDEX(TarrifTable,MATCH(Elements!E1599,Constants!$V$4:$V$7,0),MATCH(Elements!F1599,Constants!$W$3:$AA$3,0)),0)</f>
        <v>0</v>
      </c>
      <c r="L1599" s="68">
        <f t="shared" si="50"/>
        <v>0</v>
      </c>
    </row>
    <row r="1600" spans="2:12" x14ac:dyDescent="0.85">
      <c r="B1600" s="46">
        <v>1593</v>
      </c>
      <c r="C1600" s="276"/>
      <c r="D1600" s="283"/>
      <c r="E1600" s="10"/>
      <c r="F1600" s="10"/>
      <c r="G1600" s="47">
        <v>1</v>
      </c>
      <c r="H1600" s="72"/>
      <c r="I1600" s="10"/>
      <c r="J1600" s="46">
        <f t="shared" si="49"/>
        <v>1</v>
      </c>
      <c r="K1600" s="46">
        <f>IFERROR(INDEX(TarrifTable,MATCH(Elements!E1600,Constants!$V$4:$V$7,0),MATCH(Elements!F1600,Constants!$W$3:$AA$3,0)),0)</f>
        <v>0</v>
      </c>
      <c r="L1600" s="69">
        <f t="shared" si="50"/>
        <v>0</v>
      </c>
    </row>
    <row r="1601" spans="2:12" x14ac:dyDescent="0.85">
      <c r="B1601" s="48">
        <v>1594</v>
      </c>
      <c r="C1601" s="277"/>
      <c r="D1601" s="284"/>
      <c r="E1601" s="44"/>
      <c r="F1601" s="44"/>
      <c r="G1601" s="49">
        <v>1</v>
      </c>
      <c r="H1601" s="73"/>
      <c r="I1601" s="44"/>
      <c r="J1601" s="48">
        <f t="shared" si="49"/>
        <v>1</v>
      </c>
      <c r="K1601" s="48">
        <f>IFERROR(INDEX(TarrifTable,MATCH(Elements!E1601,Constants!$V$4:$V$7,0),MATCH(Elements!F1601,Constants!$W$3:$AA$3,0)),0)</f>
        <v>0</v>
      </c>
      <c r="L1601" s="68">
        <f t="shared" si="50"/>
        <v>0</v>
      </c>
    </row>
    <row r="1602" spans="2:12" x14ac:dyDescent="0.85">
      <c r="B1602" s="46">
        <v>1595</v>
      </c>
      <c r="C1602" s="276"/>
      <c r="D1602" s="283"/>
      <c r="E1602" s="10"/>
      <c r="F1602" s="10"/>
      <c r="G1602" s="47">
        <v>1</v>
      </c>
      <c r="H1602" s="72"/>
      <c r="I1602" s="10"/>
      <c r="J1602" s="46">
        <f t="shared" si="49"/>
        <v>1</v>
      </c>
      <c r="K1602" s="46">
        <f>IFERROR(INDEX(TarrifTable,MATCH(Elements!E1602,Constants!$V$4:$V$7,0),MATCH(Elements!F1602,Constants!$W$3:$AA$3,0)),0)</f>
        <v>0</v>
      </c>
      <c r="L1602" s="69">
        <f t="shared" si="50"/>
        <v>0</v>
      </c>
    </row>
    <row r="1603" spans="2:12" x14ac:dyDescent="0.85">
      <c r="B1603" s="48">
        <v>1596</v>
      </c>
      <c r="C1603" s="277"/>
      <c r="D1603" s="284"/>
      <c r="E1603" s="44"/>
      <c r="F1603" s="44"/>
      <c r="G1603" s="49">
        <v>1</v>
      </c>
      <c r="H1603" s="73"/>
      <c r="I1603" s="44"/>
      <c r="J1603" s="48">
        <f t="shared" si="49"/>
        <v>1</v>
      </c>
      <c r="K1603" s="48">
        <f>IFERROR(INDEX(TarrifTable,MATCH(Elements!E1603,Constants!$V$4:$V$7,0),MATCH(Elements!F1603,Constants!$W$3:$AA$3,0)),0)</f>
        <v>0</v>
      </c>
      <c r="L1603" s="68">
        <f t="shared" si="50"/>
        <v>0</v>
      </c>
    </row>
    <row r="1604" spans="2:12" x14ac:dyDescent="0.85">
      <c r="B1604" s="46">
        <v>1597</v>
      </c>
      <c r="C1604" s="276"/>
      <c r="D1604" s="283"/>
      <c r="E1604" s="10"/>
      <c r="F1604" s="10"/>
      <c r="G1604" s="47">
        <v>1</v>
      </c>
      <c r="H1604" s="72"/>
      <c r="I1604" s="10"/>
      <c r="J1604" s="46">
        <f t="shared" si="49"/>
        <v>1</v>
      </c>
      <c r="K1604" s="46">
        <f>IFERROR(INDEX(TarrifTable,MATCH(Elements!E1604,Constants!$V$4:$V$7,0),MATCH(Elements!F1604,Constants!$W$3:$AA$3,0)),0)</f>
        <v>0</v>
      </c>
      <c r="L1604" s="69">
        <f t="shared" si="50"/>
        <v>0</v>
      </c>
    </row>
    <row r="1605" spans="2:12" x14ac:dyDescent="0.85">
      <c r="B1605" s="48">
        <v>1598</v>
      </c>
      <c r="C1605" s="277"/>
      <c r="D1605" s="284"/>
      <c r="E1605" s="44"/>
      <c r="F1605" s="44"/>
      <c r="G1605" s="49">
        <v>1</v>
      </c>
      <c r="H1605" s="73"/>
      <c r="I1605" s="44"/>
      <c r="J1605" s="48">
        <f t="shared" si="49"/>
        <v>1</v>
      </c>
      <c r="K1605" s="48">
        <f>IFERROR(INDEX(TarrifTable,MATCH(Elements!E1605,Constants!$V$4:$V$7,0),MATCH(Elements!F1605,Constants!$W$3:$AA$3,0)),0)</f>
        <v>0</v>
      </c>
      <c r="L1605" s="68">
        <f t="shared" si="50"/>
        <v>0</v>
      </c>
    </row>
    <row r="1606" spans="2:12" x14ac:dyDescent="0.85">
      <c r="B1606" s="46">
        <v>1599</v>
      </c>
      <c r="C1606" s="276"/>
      <c r="D1606" s="283"/>
      <c r="E1606" s="10"/>
      <c r="F1606" s="10"/>
      <c r="G1606" s="47">
        <v>1</v>
      </c>
      <c r="H1606" s="72"/>
      <c r="I1606" s="10"/>
      <c r="J1606" s="46">
        <f t="shared" si="49"/>
        <v>1</v>
      </c>
      <c r="K1606" s="46">
        <f>IFERROR(INDEX(TarrifTable,MATCH(Elements!E1606,Constants!$V$4:$V$7,0),MATCH(Elements!F1606,Constants!$W$3:$AA$3,0)),0)</f>
        <v>0</v>
      </c>
      <c r="L1606" s="69">
        <f t="shared" si="50"/>
        <v>0</v>
      </c>
    </row>
    <row r="1607" spans="2:12" x14ac:dyDescent="0.85">
      <c r="B1607" s="48">
        <v>1600</v>
      </c>
      <c r="C1607" s="277"/>
      <c r="D1607" s="284"/>
      <c r="E1607" s="44"/>
      <c r="F1607" s="44"/>
      <c r="G1607" s="49">
        <v>1</v>
      </c>
      <c r="H1607" s="73"/>
      <c r="I1607" s="44"/>
      <c r="J1607" s="48">
        <f t="shared" si="49"/>
        <v>1</v>
      </c>
      <c r="K1607" s="48">
        <f>IFERROR(INDEX(TarrifTable,MATCH(Elements!E1607,Constants!$V$4:$V$7,0),MATCH(Elements!F1607,Constants!$W$3:$AA$3,0)),0)</f>
        <v>0</v>
      </c>
      <c r="L1607" s="68">
        <f t="shared" si="50"/>
        <v>0</v>
      </c>
    </row>
    <row r="1608" spans="2:12" x14ac:dyDescent="0.85">
      <c r="B1608" s="46">
        <v>1601</v>
      </c>
      <c r="C1608" s="276"/>
      <c r="D1608" s="283"/>
      <c r="E1608" s="10"/>
      <c r="F1608" s="10"/>
      <c r="G1608" s="47">
        <v>1</v>
      </c>
      <c r="H1608" s="72"/>
      <c r="I1608" s="10"/>
      <c r="J1608" s="46">
        <f t="shared" ref="J1608:J1671" si="51">IF(ISBLANK(H1608),1,H1608)</f>
        <v>1</v>
      </c>
      <c r="K1608" s="46">
        <f>IFERROR(INDEX(TarrifTable,MATCH(Elements!E1608,Constants!$V$4:$V$7,0),MATCH(Elements!F1608,Constants!$W$3:$AA$3,0)),0)</f>
        <v>0</v>
      </c>
      <c r="L1608" s="69">
        <f t="shared" ref="L1608:L1671" si="52">J1608*G1608*K1608</f>
        <v>0</v>
      </c>
    </row>
    <row r="1609" spans="2:12" x14ac:dyDescent="0.85">
      <c r="B1609" s="48">
        <v>1602</v>
      </c>
      <c r="C1609" s="277"/>
      <c r="D1609" s="284"/>
      <c r="E1609" s="44"/>
      <c r="F1609" s="44"/>
      <c r="G1609" s="49">
        <v>1</v>
      </c>
      <c r="H1609" s="73"/>
      <c r="I1609" s="44"/>
      <c r="J1609" s="48">
        <f t="shared" si="51"/>
        <v>1</v>
      </c>
      <c r="K1609" s="48">
        <f>IFERROR(INDEX(TarrifTable,MATCH(Elements!E1609,Constants!$V$4:$V$7,0),MATCH(Elements!F1609,Constants!$W$3:$AA$3,0)),0)</f>
        <v>0</v>
      </c>
      <c r="L1609" s="68">
        <f t="shared" si="52"/>
        <v>0</v>
      </c>
    </row>
    <row r="1610" spans="2:12" x14ac:dyDescent="0.85">
      <c r="B1610" s="46">
        <v>1603</v>
      </c>
      <c r="C1610" s="276"/>
      <c r="D1610" s="283"/>
      <c r="E1610" s="10"/>
      <c r="F1610" s="10"/>
      <c r="G1610" s="47">
        <v>1</v>
      </c>
      <c r="H1610" s="72"/>
      <c r="I1610" s="10"/>
      <c r="J1610" s="46">
        <f t="shared" si="51"/>
        <v>1</v>
      </c>
      <c r="K1610" s="46">
        <f>IFERROR(INDEX(TarrifTable,MATCH(Elements!E1610,Constants!$V$4:$V$7,0),MATCH(Elements!F1610,Constants!$W$3:$AA$3,0)),0)</f>
        <v>0</v>
      </c>
      <c r="L1610" s="69">
        <f t="shared" si="52"/>
        <v>0</v>
      </c>
    </row>
    <row r="1611" spans="2:12" x14ac:dyDescent="0.85">
      <c r="B1611" s="48">
        <v>1604</v>
      </c>
      <c r="C1611" s="277"/>
      <c r="D1611" s="284"/>
      <c r="E1611" s="44"/>
      <c r="F1611" s="44"/>
      <c r="G1611" s="49">
        <v>1</v>
      </c>
      <c r="H1611" s="73"/>
      <c r="I1611" s="44"/>
      <c r="J1611" s="48">
        <f t="shared" si="51"/>
        <v>1</v>
      </c>
      <c r="K1611" s="48">
        <f>IFERROR(INDEX(TarrifTable,MATCH(Elements!E1611,Constants!$V$4:$V$7,0),MATCH(Elements!F1611,Constants!$W$3:$AA$3,0)),0)</f>
        <v>0</v>
      </c>
      <c r="L1611" s="68">
        <f t="shared" si="52"/>
        <v>0</v>
      </c>
    </row>
    <row r="1612" spans="2:12" x14ac:dyDescent="0.85">
      <c r="B1612" s="46">
        <v>1605</v>
      </c>
      <c r="C1612" s="276"/>
      <c r="D1612" s="283"/>
      <c r="E1612" s="10"/>
      <c r="F1612" s="10"/>
      <c r="G1612" s="47">
        <v>1</v>
      </c>
      <c r="H1612" s="72"/>
      <c r="I1612" s="10"/>
      <c r="J1612" s="46">
        <f t="shared" si="51"/>
        <v>1</v>
      </c>
      <c r="K1612" s="46">
        <f>IFERROR(INDEX(TarrifTable,MATCH(Elements!E1612,Constants!$V$4:$V$7,0),MATCH(Elements!F1612,Constants!$W$3:$AA$3,0)),0)</f>
        <v>0</v>
      </c>
      <c r="L1612" s="69">
        <f t="shared" si="52"/>
        <v>0</v>
      </c>
    </row>
    <row r="1613" spans="2:12" x14ac:dyDescent="0.85">
      <c r="B1613" s="48">
        <v>1606</v>
      </c>
      <c r="C1613" s="277"/>
      <c r="D1613" s="284"/>
      <c r="E1613" s="44"/>
      <c r="F1613" s="44"/>
      <c r="G1613" s="49">
        <v>1</v>
      </c>
      <c r="H1613" s="73"/>
      <c r="I1613" s="44"/>
      <c r="J1613" s="48">
        <f t="shared" si="51"/>
        <v>1</v>
      </c>
      <c r="K1613" s="48">
        <f>IFERROR(INDEX(TarrifTable,MATCH(Elements!E1613,Constants!$V$4:$V$7,0),MATCH(Elements!F1613,Constants!$W$3:$AA$3,0)),0)</f>
        <v>0</v>
      </c>
      <c r="L1613" s="68">
        <f t="shared" si="52"/>
        <v>0</v>
      </c>
    </row>
    <row r="1614" spans="2:12" x14ac:dyDescent="0.85">
      <c r="B1614" s="46">
        <v>1607</v>
      </c>
      <c r="C1614" s="276"/>
      <c r="D1614" s="283"/>
      <c r="E1614" s="10"/>
      <c r="F1614" s="10"/>
      <c r="G1614" s="47">
        <v>1</v>
      </c>
      <c r="H1614" s="72"/>
      <c r="I1614" s="10"/>
      <c r="J1614" s="46">
        <f t="shared" si="51"/>
        <v>1</v>
      </c>
      <c r="K1614" s="46">
        <f>IFERROR(INDEX(TarrifTable,MATCH(Elements!E1614,Constants!$V$4:$V$7,0),MATCH(Elements!F1614,Constants!$W$3:$AA$3,0)),0)</f>
        <v>0</v>
      </c>
      <c r="L1614" s="69">
        <f t="shared" si="52"/>
        <v>0</v>
      </c>
    </row>
    <row r="1615" spans="2:12" x14ac:dyDescent="0.85">
      <c r="B1615" s="48">
        <v>1608</v>
      </c>
      <c r="C1615" s="277"/>
      <c r="D1615" s="284"/>
      <c r="E1615" s="44"/>
      <c r="F1615" s="44"/>
      <c r="G1615" s="49">
        <v>1</v>
      </c>
      <c r="H1615" s="73"/>
      <c r="I1615" s="44"/>
      <c r="J1615" s="48">
        <f t="shared" si="51"/>
        <v>1</v>
      </c>
      <c r="K1615" s="48">
        <f>IFERROR(INDEX(TarrifTable,MATCH(Elements!E1615,Constants!$V$4:$V$7,0),MATCH(Elements!F1615,Constants!$W$3:$AA$3,0)),0)</f>
        <v>0</v>
      </c>
      <c r="L1615" s="68">
        <f t="shared" si="52"/>
        <v>0</v>
      </c>
    </row>
    <row r="1616" spans="2:12" x14ac:dyDescent="0.85">
      <c r="B1616" s="46">
        <v>1609</v>
      </c>
      <c r="C1616" s="276"/>
      <c r="D1616" s="283"/>
      <c r="E1616" s="10"/>
      <c r="F1616" s="10"/>
      <c r="G1616" s="47">
        <v>1</v>
      </c>
      <c r="H1616" s="72"/>
      <c r="I1616" s="10"/>
      <c r="J1616" s="46">
        <f t="shared" si="51"/>
        <v>1</v>
      </c>
      <c r="K1616" s="46">
        <f>IFERROR(INDEX(TarrifTable,MATCH(Elements!E1616,Constants!$V$4:$V$7,0),MATCH(Elements!F1616,Constants!$W$3:$AA$3,0)),0)</f>
        <v>0</v>
      </c>
      <c r="L1616" s="69">
        <f t="shared" si="52"/>
        <v>0</v>
      </c>
    </row>
    <row r="1617" spans="2:12" x14ac:dyDescent="0.85">
      <c r="B1617" s="48">
        <v>1610</v>
      </c>
      <c r="C1617" s="277"/>
      <c r="D1617" s="284"/>
      <c r="E1617" s="44"/>
      <c r="F1617" s="44"/>
      <c r="G1617" s="49">
        <v>1</v>
      </c>
      <c r="H1617" s="73"/>
      <c r="I1617" s="44"/>
      <c r="J1617" s="48">
        <f t="shared" si="51"/>
        <v>1</v>
      </c>
      <c r="K1617" s="48">
        <f>IFERROR(INDEX(TarrifTable,MATCH(Elements!E1617,Constants!$V$4:$V$7,0),MATCH(Elements!F1617,Constants!$W$3:$AA$3,0)),0)</f>
        <v>0</v>
      </c>
      <c r="L1617" s="68">
        <f t="shared" si="52"/>
        <v>0</v>
      </c>
    </row>
    <row r="1618" spans="2:12" x14ac:dyDescent="0.85">
      <c r="B1618" s="46">
        <v>1611</v>
      </c>
      <c r="C1618" s="276"/>
      <c r="D1618" s="283"/>
      <c r="E1618" s="10"/>
      <c r="F1618" s="10"/>
      <c r="G1618" s="47">
        <v>1</v>
      </c>
      <c r="H1618" s="72"/>
      <c r="I1618" s="10"/>
      <c r="J1618" s="46">
        <f t="shared" si="51"/>
        <v>1</v>
      </c>
      <c r="K1618" s="46">
        <f>IFERROR(INDEX(TarrifTable,MATCH(Elements!E1618,Constants!$V$4:$V$7,0),MATCH(Elements!F1618,Constants!$W$3:$AA$3,0)),0)</f>
        <v>0</v>
      </c>
      <c r="L1618" s="69">
        <f t="shared" si="52"/>
        <v>0</v>
      </c>
    </row>
    <row r="1619" spans="2:12" x14ac:dyDescent="0.85">
      <c r="B1619" s="48">
        <v>1612</v>
      </c>
      <c r="C1619" s="277"/>
      <c r="D1619" s="284"/>
      <c r="E1619" s="44"/>
      <c r="F1619" s="44"/>
      <c r="G1619" s="49">
        <v>1</v>
      </c>
      <c r="H1619" s="73"/>
      <c r="I1619" s="44"/>
      <c r="J1619" s="48">
        <f t="shared" si="51"/>
        <v>1</v>
      </c>
      <c r="K1619" s="48">
        <f>IFERROR(INDEX(TarrifTable,MATCH(Elements!E1619,Constants!$V$4:$V$7,0),MATCH(Elements!F1619,Constants!$W$3:$AA$3,0)),0)</f>
        <v>0</v>
      </c>
      <c r="L1619" s="68">
        <f t="shared" si="52"/>
        <v>0</v>
      </c>
    </row>
    <row r="1620" spans="2:12" x14ac:dyDescent="0.85">
      <c r="B1620" s="46">
        <v>1613</v>
      </c>
      <c r="C1620" s="276"/>
      <c r="D1620" s="283"/>
      <c r="E1620" s="10"/>
      <c r="F1620" s="10"/>
      <c r="G1620" s="47">
        <v>1</v>
      </c>
      <c r="H1620" s="72"/>
      <c r="I1620" s="10"/>
      <c r="J1620" s="46">
        <f t="shared" si="51"/>
        <v>1</v>
      </c>
      <c r="K1620" s="46">
        <f>IFERROR(INDEX(TarrifTable,MATCH(Elements!E1620,Constants!$V$4:$V$7,0),MATCH(Elements!F1620,Constants!$W$3:$AA$3,0)),0)</f>
        <v>0</v>
      </c>
      <c r="L1620" s="69">
        <f t="shared" si="52"/>
        <v>0</v>
      </c>
    </row>
    <row r="1621" spans="2:12" x14ac:dyDescent="0.85">
      <c r="B1621" s="48">
        <v>1614</v>
      </c>
      <c r="C1621" s="277"/>
      <c r="D1621" s="284"/>
      <c r="E1621" s="44"/>
      <c r="F1621" s="44"/>
      <c r="G1621" s="49">
        <v>1</v>
      </c>
      <c r="H1621" s="73"/>
      <c r="I1621" s="44"/>
      <c r="J1621" s="48">
        <f t="shared" si="51"/>
        <v>1</v>
      </c>
      <c r="K1621" s="48">
        <f>IFERROR(INDEX(TarrifTable,MATCH(Elements!E1621,Constants!$V$4:$V$7,0),MATCH(Elements!F1621,Constants!$W$3:$AA$3,0)),0)</f>
        <v>0</v>
      </c>
      <c r="L1621" s="68">
        <f t="shared" si="52"/>
        <v>0</v>
      </c>
    </row>
    <row r="1622" spans="2:12" x14ac:dyDescent="0.85">
      <c r="B1622" s="46">
        <v>1615</v>
      </c>
      <c r="C1622" s="276"/>
      <c r="D1622" s="283"/>
      <c r="E1622" s="10"/>
      <c r="F1622" s="10"/>
      <c r="G1622" s="47">
        <v>1</v>
      </c>
      <c r="H1622" s="72"/>
      <c r="I1622" s="10"/>
      <c r="J1622" s="46">
        <f t="shared" si="51"/>
        <v>1</v>
      </c>
      <c r="K1622" s="46">
        <f>IFERROR(INDEX(TarrifTable,MATCH(Elements!E1622,Constants!$V$4:$V$7,0),MATCH(Elements!F1622,Constants!$W$3:$AA$3,0)),0)</f>
        <v>0</v>
      </c>
      <c r="L1622" s="69">
        <f t="shared" si="52"/>
        <v>0</v>
      </c>
    </row>
    <row r="1623" spans="2:12" x14ac:dyDescent="0.85">
      <c r="B1623" s="48">
        <v>1616</v>
      </c>
      <c r="C1623" s="277"/>
      <c r="D1623" s="284"/>
      <c r="E1623" s="44"/>
      <c r="F1623" s="44"/>
      <c r="G1623" s="49">
        <v>1</v>
      </c>
      <c r="H1623" s="73"/>
      <c r="I1623" s="44"/>
      <c r="J1623" s="48">
        <f t="shared" si="51"/>
        <v>1</v>
      </c>
      <c r="K1623" s="48">
        <f>IFERROR(INDEX(TarrifTable,MATCH(Elements!E1623,Constants!$V$4:$V$7,0),MATCH(Elements!F1623,Constants!$W$3:$AA$3,0)),0)</f>
        <v>0</v>
      </c>
      <c r="L1623" s="68">
        <f t="shared" si="52"/>
        <v>0</v>
      </c>
    </row>
    <row r="1624" spans="2:12" x14ac:dyDescent="0.85">
      <c r="B1624" s="46">
        <v>1617</v>
      </c>
      <c r="C1624" s="276"/>
      <c r="D1624" s="283"/>
      <c r="E1624" s="10"/>
      <c r="F1624" s="10"/>
      <c r="G1624" s="47">
        <v>1</v>
      </c>
      <c r="H1624" s="72"/>
      <c r="I1624" s="10"/>
      <c r="J1624" s="46">
        <f t="shared" si="51"/>
        <v>1</v>
      </c>
      <c r="K1624" s="46">
        <f>IFERROR(INDEX(TarrifTable,MATCH(Elements!E1624,Constants!$V$4:$V$7,0),MATCH(Elements!F1624,Constants!$W$3:$AA$3,0)),0)</f>
        <v>0</v>
      </c>
      <c r="L1624" s="69">
        <f t="shared" si="52"/>
        <v>0</v>
      </c>
    </row>
    <row r="1625" spans="2:12" x14ac:dyDescent="0.85">
      <c r="B1625" s="48">
        <v>1618</v>
      </c>
      <c r="C1625" s="277"/>
      <c r="D1625" s="284"/>
      <c r="E1625" s="44"/>
      <c r="F1625" s="44"/>
      <c r="G1625" s="49">
        <v>1</v>
      </c>
      <c r="H1625" s="73"/>
      <c r="I1625" s="44"/>
      <c r="J1625" s="48">
        <f t="shared" si="51"/>
        <v>1</v>
      </c>
      <c r="K1625" s="48">
        <f>IFERROR(INDEX(TarrifTable,MATCH(Elements!E1625,Constants!$V$4:$V$7,0),MATCH(Elements!F1625,Constants!$W$3:$AA$3,0)),0)</f>
        <v>0</v>
      </c>
      <c r="L1625" s="68">
        <f t="shared" si="52"/>
        <v>0</v>
      </c>
    </row>
    <row r="1626" spans="2:12" x14ac:dyDescent="0.85">
      <c r="B1626" s="46">
        <v>1619</v>
      </c>
      <c r="C1626" s="276"/>
      <c r="D1626" s="283"/>
      <c r="E1626" s="10"/>
      <c r="F1626" s="10"/>
      <c r="G1626" s="47">
        <v>1</v>
      </c>
      <c r="H1626" s="72"/>
      <c r="I1626" s="10"/>
      <c r="J1626" s="46">
        <f t="shared" si="51"/>
        <v>1</v>
      </c>
      <c r="K1626" s="46">
        <f>IFERROR(INDEX(TarrifTable,MATCH(Elements!E1626,Constants!$V$4:$V$7,0),MATCH(Elements!F1626,Constants!$W$3:$AA$3,0)),0)</f>
        <v>0</v>
      </c>
      <c r="L1626" s="69">
        <f t="shared" si="52"/>
        <v>0</v>
      </c>
    </row>
    <row r="1627" spans="2:12" x14ac:dyDescent="0.85">
      <c r="B1627" s="48">
        <v>1620</v>
      </c>
      <c r="C1627" s="277"/>
      <c r="D1627" s="284"/>
      <c r="E1627" s="44"/>
      <c r="F1627" s="44"/>
      <c r="G1627" s="49">
        <v>1</v>
      </c>
      <c r="H1627" s="73"/>
      <c r="I1627" s="44"/>
      <c r="J1627" s="48">
        <f t="shared" si="51"/>
        <v>1</v>
      </c>
      <c r="K1627" s="48">
        <f>IFERROR(INDEX(TarrifTable,MATCH(Elements!E1627,Constants!$V$4:$V$7,0),MATCH(Elements!F1627,Constants!$W$3:$AA$3,0)),0)</f>
        <v>0</v>
      </c>
      <c r="L1627" s="68">
        <f t="shared" si="52"/>
        <v>0</v>
      </c>
    </row>
    <row r="1628" spans="2:12" x14ac:dyDescent="0.85">
      <c r="B1628" s="46">
        <v>1621</v>
      </c>
      <c r="C1628" s="276"/>
      <c r="D1628" s="283"/>
      <c r="E1628" s="10"/>
      <c r="F1628" s="10"/>
      <c r="G1628" s="47">
        <v>1</v>
      </c>
      <c r="H1628" s="72"/>
      <c r="I1628" s="10"/>
      <c r="J1628" s="46">
        <f t="shared" si="51"/>
        <v>1</v>
      </c>
      <c r="K1628" s="46">
        <f>IFERROR(INDEX(TarrifTable,MATCH(Elements!E1628,Constants!$V$4:$V$7,0),MATCH(Elements!F1628,Constants!$W$3:$AA$3,0)),0)</f>
        <v>0</v>
      </c>
      <c r="L1628" s="69">
        <f t="shared" si="52"/>
        <v>0</v>
      </c>
    </row>
    <row r="1629" spans="2:12" x14ac:dyDescent="0.85">
      <c r="B1629" s="48">
        <v>1622</v>
      </c>
      <c r="C1629" s="277"/>
      <c r="D1629" s="284"/>
      <c r="E1629" s="44"/>
      <c r="F1629" s="44"/>
      <c r="G1629" s="49">
        <v>1</v>
      </c>
      <c r="H1629" s="73"/>
      <c r="I1629" s="44"/>
      <c r="J1629" s="48">
        <f t="shared" si="51"/>
        <v>1</v>
      </c>
      <c r="K1629" s="48">
        <f>IFERROR(INDEX(TarrifTable,MATCH(Elements!E1629,Constants!$V$4:$V$7,0),MATCH(Elements!F1629,Constants!$W$3:$AA$3,0)),0)</f>
        <v>0</v>
      </c>
      <c r="L1629" s="68">
        <f t="shared" si="52"/>
        <v>0</v>
      </c>
    </row>
    <row r="1630" spans="2:12" x14ac:dyDescent="0.85">
      <c r="B1630" s="46">
        <v>1623</v>
      </c>
      <c r="C1630" s="276"/>
      <c r="D1630" s="283"/>
      <c r="E1630" s="10"/>
      <c r="F1630" s="10"/>
      <c r="G1630" s="47">
        <v>1</v>
      </c>
      <c r="H1630" s="72"/>
      <c r="I1630" s="10"/>
      <c r="J1630" s="46">
        <f t="shared" si="51"/>
        <v>1</v>
      </c>
      <c r="K1630" s="46">
        <f>IFERROR(INDEX(TarrifTable,MATCH(Elements!E1630,Constants!$V$4:$V$7,0),MATCH(Elements!F1630,Constants!$W$3:$AA$3,0)),0)</f>
        <v>0</v>
      </c>
      <c r="L1630" s="69">
        <f t="shared" si="52"/>
        <v>0</v>
      </c>
    </row>
    <row r="1631" spans="2:12" x14ac:dyDescent="0.85">
      <c r="B1631" s="48">
        <v>1624</v>
      </c>
      <c r="C1631" s="277"/>
      <c r="D1631" s="284"/>
      <c r="E1631" s="44"/>
      <c r="F1631" s="44"/>
      <c r="G1631" s="49">
        <v>1</v>
      </c>
      <c r="H1631" s="73"/>
      <c r="I1631" s="44"/>
      <c r="J1631" s="48">
        <f t="shared" si="51"/>
        <v>1</v>
      </c>
      <c r="K1631" s="48">
        <f>IFERROR(INDEX(TarrifTable,MATCH(Elements!E1631,Constants!$V$4:$V$7,0),MATCH(Elements!F1631,Constants!$W$3:$AA$3,0)),0)</f>
        <v>0</v>
      </c>
      <c r="L1631" s="68">
        <f t="shared" si="52"/>
        <v>0</v>
      </c>
    </row>
    <row r="1632" spans="2:12" x14ac:dyDescent="0.85">
      <c r="B1632" s="46">
        <v>1625</v>
      </c>
      <c r="C1632" s="276"/>
      <c r="D1632" s="283"/>
      <c r="E1632" s="10"/>
      <c r="F1632" s="10"/>
      <c r="G1632" s="47">
        <v>1</v>
      </c>
      <c r="H1632" s="72"/>
      <c r="I1632" s="10"/>
      <c r="J1632" s="46">
        <f t="shared" si="51"/>
        <v>1</v>
      </c>
      <c r="K1632" s="46">
        <f>IFERROR(INDEX(TarrifTable,MATCH(Elements!E1632,Constants!$V$4:$V$7,0),MATCH(Elements!F1632,Constants!$W$3:$AA$3,0)),0)</f>
        <v>0</v>
      </c>
      <c r="L1632" s="69">
        <f t="shared" si="52"/>
        <v>0</v>
      </c>
    </row>
    <row r="1633" spans="2:12" x14ac:dyDescent="0.85">
      <c r="B1633" s="48">
        <v>1626</v>
      </c>
      <c r="C1633" s="277"/>
      <c r="D1633" s="284"/>
      <c r="E1633" s="44"/>
      <c r="F1633" s="44"/>
      <c r="G1633" s="49">
        <v>1</v>
      </c>
      <c r="H1633" s="73"/>
      <c r="I1633" s="44"/>
      <c r="J1633" s="48">
        <f t="shared" si="51"/>
        <v>1</v>
      </c>
      <c r="K1633" s="48">
        <f>IFERROR(INDEX(TarrifTable,MATCH(Elements!E1633,Constants!$V$4:$V$7,0),MATCH(Elements!F1633,Constants!$W$3:$AA$3,0)),0)</f>
        <v>0</v>
      </c>
      <c r="L1633" s="68">
        <f t="shared" si="52"/>
        <v>0</v>
      </c>
    </row>
    <row r="1634" spans="2:12" x14ac:dyDescent="0.85">
      <c r="B1634" s="46">
        <v>1627</v>
      </c>
      <c r="C1634" s="276"/>
      <c r="D1634" s="283"/>
      <c r="E1634" s="10"/>
      <c r="F1634" s="10"/>
      <c r="G1634" s="47">
        <v>1</v>
      </c>
      <c r="H1634" s="72"/>
      <c r="I1634" s="10"/>
      <c r="J1634" s="46">
        <f t="shared" si="51"/>
        <v>1</v>
      </c>
      <c r="K1634" s="46">
        <f>IFERROR(INDEX(TarrifTable,MATCH(Elements!E1634,Constants!$V$4:$V$7,0),MATCH(Elements!F1634,Constants!$W$3:$AA$3,0)),0)</f>
        <v>0</v>
      </c>
      <c r="L1634" s="69">
        <f t="shared" si="52"/>
        <v>0</v>
      </c>
    </row>
    <row r="1635" spans="2:12" x14ac:dyDescent="0.85">
      <c r="B1635" s="48">
        <v>1628</v>
      </c>
      <c r="C1635" s="277"/>
      <c r="D1635" s="284"/>
      <c r="E1635" s="44"/>
      <c r="F1635" s="44"/>
      <c r="G1635" s="49">
        <v>1</v>
      </c>
      <c r="H1635" s="73"/>
      <c r="I1635" s="44"/>
      <c r="J1635" s="48">
        <f t="shared" si="51"/>
        <v>1</v>
      </c>
      <c r="K1635" s="48">
        <f>IFERROR(INDEX(TarrifTable,MATCH(Elements!E1635,Constants!$V$4:$V$7,0),MATCH(Elements!F1635,Constants!$W$3:$AA$3,0)),0)</f>
        <v>0</v>
      </c>
      <c r="L1635" s="68">
        <f t="shared" si="52"/>
        <v>0</v>
      </c>
    </row>
    <row r="1636" spans="2:12" x14ac:dyDescent="0.85">
      <c r="B1636" s="46">
        <v>1629</v>
      </c>
      <c r="C1636" s="276"/>
      <c r="D1636" s="283"/>
      <c r="E1636" s="10"/>
      <c r="F1636" s="10"/>
      <c r="G1636" s="47">
        <v>1</v>
      </c>
      <c r="H1636" s="72"/>
      <c r="I1636" s="10"/>
      <c r="J1636" s="46">
        <f t="shared" si="51"/>
        <v>1</v>
      </c>
      <c r="K1636" s="46">
        <f>IFERROR(INDEX(TarrifTable,MATCH(Elements!E1636,Constants!$V$4:$V$7,0),MATCH(Elements!F1636,Constants!$W$3:$AA$3,0)),0)</f>
        <v>0</v>
      </c>
      <c r="L1636" s="69">
        <f t="shared" si="52"/>
        <v>0</v>
      </c>
    </row>
    <row r="1637" spans="2:12" x14ac:dyDescent="0.85">
      <c r="B1637" s="48">
        <v>1630</v>
      </c>
      <c r="C1637" s="277"/>
      <c r="D1637" s="284"/>
      <c r="E1637" s="44"/>
      <c r="F1637" s="44"/>
      <c r="G1637" s="49">
        <v>1</v>
      </c>
      <c r="H1637" s="73"/>
      <c r="I1637" s="44"/>
      <c r="J1637" s="48">
        <f t="shared" si="51"/>
        <v>1</v>
      </c>
      <c r="K1637" s="48">
        <f>IFERROR(INDEX(TarrifTable,MATCH(Elements!E1637,Constants!$V$4:$V$7,0),MATCH(Elements!F1637,Constants!$W$3:$AA$3,0)),0)</f>
        <v>0</v>
      </c>
      <c r="L1637" s="68">
        <f t="shared" si="52"/>
        <v>0</v>
      </c>
    </row>
    <row r="1638" spans="2:12" x14ac:dyDescent="0.85">
      <c r="B1638" s="46">
        <v>1631</v>
      </c>
      <c r="C1638" s="276"/>
      <c r="D1638" s="283"/>
      <c r="E1638" s="10"/>
      <c r="F1638" s="10"/>
      <c r="G1638" s="47">
        <v>1</v>
      </c>
      <c r="H1638" s="72"/>
      <c r="I1638" s="10"/>
      <c r="J1638" s="46">
        <f t="shared" si="51"/>
        <v>1</v>
      </c>
      <c r="K1638" s="46">
        <f>IFERROR(INDEX(TarrifTable,MATCH(Elements!E1638,Constants!$V$4:$V$7,0),MATCH(Elements!F1638,Constants!$W$3:$AA$3,0)),0)</f>
        <v>0</v>
      </c>
      <c r="L1638" s="69">
        <f t="shared" si="52"/>
        <v>0</v>
      </c>
    </row>
    <row r="1639" spans="2:12" x14ac:dyDescent="0.85">
      <c r="B1639" s="48">
        <v>1632</v>
      </c>
      <c r="C1639" s="277"/>
      <c r="D1639" s="284"/>
      <c r="E1639" s="44"/>
      <c r="F1639" s="44"/>
      <c r="G1639" s="49">
        <v>1</v>
      </c>
      <c r="H1639" s="73"/>
      <c r="I1639" s="44"/>
      <c r="J1639" s="48">
        <f t="shared" si="51"/>
        <v>1</v>
      </c>
      <c r="K1639" s="48">
        <f>IFERROR(INDEX(TarrifTable,MATCH(Elements!E1639,Constants!$V$4:$V$7,0),MATCH(Elements!F1639,Constants!$W$3:$AA$3,0)),0)</f>
        <v>0</v>
      </c>
      <c r="L1639" s="68">
        <f t="shared" si="52"/>
        <v>0</v>
      </c>
    </row>
    <row r="1640" spans="2:12" x14ac:dyDescent="0.85">
      <c r="B1640" s="46">
        <v>1633</v>
      </c>
      <c r="C1640" s="276"/>
      <c r="D1640" s="283"/>
      <c r="E1640" s="10"/>
      <c r="F1640" s="10"/>
      <c r="G1640" s="47">
        <v>1</v>
      </c>
      <c r="H1640" s="72"/>
      <c r="I1640" s="10"/>
      <c r="J1640" s="46">
        <f t="shared" si="51"/>
        <v>1</v>
      </c>
      <c r="K1640" s="46">
        <f>IFERROR(INDEX(TarrifTable,MATCH(Elements!E1640,Constants!$V$4:$V$7,0),MATCH(Elements!F1640,Constants!$W$3:$AA$3,0)),0)</f>
        <v>0</v>
      </c>
      <c r="L1640" s="69">
        <f t="shared" si="52"/>
        <v>0</v>
      </c>
    </row>
    <row r="1641" spans="2:12" x14ac:dyDescent="0.85">
      <c r="B1641" s="48">
        <v>1634</v>
      </c>
      <c r="C1641" s="277"/>
      <c r="D1641" s="284"/>
      <c r="E1641" s="44"/>
      <c r="F1641" s="44"/>
      <c r="G1641" s="49">
        <v>1</v>
      </c>
      <c r="H1641" s="73"/>
      <c r="I1641" s="44"/>
      <c r="J1641" s="48">
        <f t="shared" si="51"/>
        <v>1</v>
      </c>
      <c r="K1641" s="48">
        <f>IFERROR(INDEX(TarrifTable,MATCH(Elements!E1641,Constants!$V$4:$V$7,0),MATCH(Elements!F1641,Constants!$W$3:$AA$3,0)),0)</f>
        <v>0</v>
      </c>
      <c r="L1641" s="68">
        <f t="shared" si="52"/>
        <v>0</v>
      </c>
    </row>
    <row r="1642" spans="2:12" x14ac:dyDescent="0.85">
      <c r="B1642" s="46">
        <v>1635</v>
      </c>
      <c r="C1642" s="276"/>
      <c r="D1642" s="283"/>
      <c r="E1642" s="10"/>
      <c r="F1642" s="10"/>
      <c r="G1642" s="47">
        <v>1</v>
      </c>
      <c r="H1642" s="72"/>
      <c r="I1642" s="10"/>
      <c r="J1642" s="46">
        <f t="shared" si="51"/>
        <v>1</v>
      </c>
      <c r="K1642" s="46">
        <f>IFERROR(INDEX(TarrifTable,MATCH(Elements!E1642,Constants!$V$4:$V$7,0),MATCH(Elements!F1642,Constants!$W$3:$AA$3,0)),0)</f>
        <v>0</v>
      </c>
      <c r="L1642" s="69">
        <f t="shared" si="52"/>
        <v>0</v>
      </c>
    </row>
    <row r="1643" spans="2:12" x14ac:dyDescent="0.85">
      <c r="B1643" s="48">
        <v>1636</v>
      </c>
      <c r="C1643" s="277"/>
      <c r="D1643" s="284"/>
      <c r="E1643" s="44"/>
      <c r="F1643" s="44"/>
      <c r="G1643" s="49">
        <v>1</v>
      </c>
      <c r="H1643" s="73"/>
      <c r="I1643" s="44"/>
      <c r="J1643" s="48">
        <f t="shared" si="51"/>
        <v>1</v>
      </c>
      <c r="K1643" s="48">
        <f>IFERROR(INDEX(TarrifTable,MATCH(Elements!E1643,Constants!$V$4:$V$7,0),MATCH(Elements!F1643,Constants!$W$3:$AA$3,0)),0)</f>
        <v>0</v>
      </c>
      <c r="L1643" s="68">
        <f t="shared" si="52"/>
        <v>0</v>
      </c>
    </row>
    <row r="1644" spans="2:12" x14ac:dyDescent="0.85">
      <c r="B1644" s="46">
        <v>1637</v>
      </c>
      <c r="C1644" s="276"/>
      <c r="D1644" s="283"/>
      <c r="E1644" s="10"/>
      <c r="F1644" s="10"/>
      <c r="G1644" s="47">
        <v>1</v>
      </c>
      <c r="H1644" s="72"/>
      <c r="I1644" s="10"/>
      <c r="J1644" s="46">
        <f t="shared" si="51"/>
        <v>1</v>
      </c>
      <c r="K1644" s="46">
        <f>IFERROR(INDEX(TarrifTable,MATCH(Elements!E1644,Constants!$V$4:$V$7,0),MATCH(Elements!F1644,Constants!$W$3:$AA$3,0)),0)</f>
        <v>0</v>
      </c>
      <c r="L1644" s="69">
        <f t="shared" si="52"/>
        <v>0</v>
      </c>
    </row>
    <row r="1645" spans="2:12" x14ac:dyDescent="0.85">
      <c r="B1645" s="48">
        <v>1638</v>
      </c>
      <c r="C1645" s="277"/>
      <c r="D1645" s="284"/>
      <c r="E1645" s="44"/>
      <c r="F1645" s="44"/>
      <c r="G1645" s="49">
        <v>1</v>
      </c>
      <c r="H1645" s="73"/>
      <c r="I1645" s="44"/>
      <c r="J1645" s="48">
        <f t="shared" si="51"/>
        <v>1</v>
      </c>
      <c r="K1645" s="48">
        <f>IFERROR(INDEX(TarrifTable,MATCH(Elements!E1645,Constants!$V$4:$V$7,0),MATCH(Elements!F1645,Constants!$W$3:$AA$3,0)),0)</f>
        <v>0</v>
      </c>
      <c r="L1645" s="68">
        <f t="shared" si="52"/>
        <v>0</v>
      </c>
    </row>
    <row r="1646" spans="2:12" x14ac:dyDescent="0.85">
      <c r="B1646" s="46">
        <v>1639</v>
      </c>
      <c r="C1646" s="276"/>
      <c r="D1646" s="283"/>
      <c r="E1646" s="10"/>
      <c r="F1646" s="10"/>
      <c r="G1646" s="47">
        <v>1</v>
      </c>
      <c r="H1646" s="72"/>
      <c r="I1646" s="10"/>
      <c r="J1646" s="46">
        <f t="shared" si="51"/>
        <v>1</v>
      </c>
      <c r="K1646" s="46">
        <f>IFERROR(INDEX(TarrifTable,MATCH(Elements!E1646,Constants!$V$4:$V$7,0),MATCH(Elements!F1646,Constants!$W$3:$AA$3,0)),0)</f>
        <v>0</v>
      </c>
      <c r="L1646" s="69">
        <f t="shared" si="52"/>
        <v>0</v>
      </c>
    </row>
    <row r="1647" spans="2:12" x14ac:dyDescent="0.85">
      <c r="B1647" s="48">
        <v>1640</v>
      </c>
      <c r="C1647" s="277"/>
      <c r="D1647" s="284"/>
      <c r="E1647" s="44"/>
      <c r="F1647" s="44"/>
      <c r="G1647" s="49">
        <v>1</v>
      </c>
      <c r="H1647" s="73"/>
      <c r="I1647" s="44"/>
      <c r="J1647" s="48">
        <f t="shared" si="51"/>
        <v>1</v>
      </c>
      <c r="K1647" s="48">
        <f>IFERROR(INDEX(TarrifTable,MATCH(Elements!E1647,Constants!$V$4:$V$7,0),MATCH(Elements!F1647,Constants!$W$3:$AA$3,0)),0)</f>
        <v>0</v>
      </c>
      <c r="L1647" s="68">
        <f t="shared" si="52"/>
        <v>0</v>
      </c>
    </row>
    <row r="1648" spans="2:12" x14ac:dyDescent="0.85">
      <c r="B1648" s="46">
        <v>1641</v>
      </c>
      <c r="C1648" s="276"/>
      <c r="D1648" s="283"/>
      <c r="E1648" s="10"/>
      <c r="F1648" s="10"/>
      <c r="G1648" s="47">
        <v>1</v>
      </c>
      <c r="H1648" s="72"/>
      <c r="I1648" s="10"/>
      <c r="J1648" s="46">
        <f t="shared" si="51"/>
        <v>1</v>
      </c>
      <c r="K1648" s="46">
        <f>IFERROR(INDEX(TarrifTable,MATCH(Elements!E1648,Constants!$V$4:$V$7,0),MATCH(Elements!F1648,Constants!$W$3:$AA$3,0)),0)</f>
        <v>0</v>
      </c>
      <c r="L1648" s="69">
        <f t="shared" si="52"/>
        <v>0</v>
      </c>
    </row>
    <row r="1649" spans="2:12" x14ac:dyDescent="0.85">
      <c r="B1649" s="48">
        <v>1642</v>
      </c>
      <c r="C1649" s="277"/>
      <c r="D1649" s="284"/>
      <c r="E1649" s="44"/>
      <c r="F1649" s="44"/>
      <c r="G1649" s="49">
        <v>1</v>
      </c>
      <c r="H1649" s="73"/>
      <c r="I1649" s="44"/>
      <c r="J1649" s="48">
        <f t="shared" si="51"/>
        <v>1</v>
      </c>
      <c r="K1649" s="48">
        <f>IFERROR(INDEX(TarrifTable,MATCH(Elements!E1649,Constants!$V$4:$V$7,0),MATCH(Elements!F1649,Constants!$W$3:$AA$3,0)),0)</f>
        <v>0</v>
      </c>
      <c r="L1649" s="68">
        <f t="shared" si="52"/>
        <v>0</v>
      </c>
    </row>
    <row r="1650" spans="2:12" x14ac:dyDescent="0.85">
      <c r="B1650" s="46">
        <v>1643</v>
      </c>
      <c r="C1650" s="276"/>
      <c r="D1650" s="283"/>
      <c r="E1650" s="10"/>
      <c r="F1650" s="10"/>
      <c r="G1650" s="47">
        <v>1</v>
      </c>
      <c r="H1650" s="72"/>
      <c r="I1650" s="10"/>
      <c r="J1650" s="46">
        <f t="shared" si="51"/>
        <v>1</v>
      </c>
      <c r="K1650" s="46">
        <f>IFERROR(INDEX(TarrifTable,MATCH(Elements!E1650,Constants!$V$4:$V$7,0),MATCH(Elements!F1650,Constants!$W$3:$AA$3,0)),0)</f>
        <v>0</v>
      </c>
      <c r="L1650" s="69">
        <f t="shared" si="52"/>
        <v>0</v>
      </c>
    </row>
    <row r="1651" spans="2:12" x14ac:dyDescent="0.85">
      <c r="B1651" s="48">
        <v>1644</v>
      </c>
      <c r="C1651" s="277"/>
      <c r="D1651" s="284"/>
      <c r="E1651" s="44"/>
      <c r="F1651" s="44"/>
      <c r="G1651" s="49">
        <v>1</v>
      </c>
      <c r="H1651" s="73"/>
      <c r="I1651" s="44"/>
      <c r="J1651" s="48">
        <f t="shared" si="51"/>
        <v>1</v>
      </c>
      <c r="K1651" s="48">
        <f>IFERROR(INDEX(TarrifTable,MATCH(Elements!E1651,Constants!$V$4:$V$7,0),MATCH(Elements!F1651,Constants!$W$3:$AA$3,0)),0)</f>
        <v>0</v>
      </c>
      <c r="L1651" s="68">
        <f t="shared" si="52"/>
        <v>0</v>
      </c>
    </row>
    <row r="1652" spans="2:12" x14ac:dyDescent="0.85">
      <c r="B1652" s="46">
        <v>1645</v>
      </c>
      <c r="C1652" s="276"/>
      <c r="D1652" s="283"/>
      <c r="E1652" s="10"/>
      <c r="F1652" s="10"/>
      <c r="G1652" s="47">
        <v>1</v>
      </c>
      <c r="H1652" s="72"/>
      <c r="I1652" s="10"/>
      <c r="J1652" s="46">
        <f t="shared" si="51"/>
        <v>1</v>
      </c>
      <c r="K1652" s="46">
        <f>IFERROR(INDEX(TarrifTable,MATCH(Elements!E1652,Constants!$V$4:$V$7,0),MATCH(Elements!F1652,Constants!$W$3:$AA$3,0)),0)</f>
        <v>0</v>
      </c>
      <c r="L1652" s="69">
        <f t="shared" si="52"/>
        <v>0</v>
      </c>
    </row>
    <row r="1653" spans="2:12" x14ac:dyDescent="0.85">
      <c r="B1653" s="48">
        <v>1646</v>
      </c>
      <c r="C1653" s="277"/>
      <c r="D1653" s="284"/>
      <c r="E1653" s="44"/>
      <c r="F1653" s="44"/>
      <c r="G1653" s="49">
        <v>1</v>
      </c>
      <c r="H1653" s="73"/>
      <c r="I1653" s="44"/>
      <c r="J1653" s="48">
        <f t="shared" si="51"/>
        <v>1</v>
      </c>
      <c r="K1653" s="48">
        <f>IFERROR(INDEX(TarrifTable,MATCH(Elements!E1653,Constants!$V$4:$V$7,0),MATCH(Elements!F1653,Constants!$W$3:$AA$3,0)),0)</f>
        <v>0</v>
      </c>
      <c r="L1653" s="68">
        <f t="shared" si="52"/>
        <v>0</v>
      </c>
    </row>
    <row r="1654" spans="2:12" x14ac:dyDescent="0.85">
      <c r="B1654" s="46">
        <v>1647</v>
      </c>
      <c r="C1654" s="276"/>
      <c r="D1654" s="283"/>
      <c r="E1654" s="10"/>
      <c r="F1654" s="10"/>
      <c r="G1654" s="47">
        <v>1</v>
      </c>
      <c r="H1654" s="72"/>
      <c r="I1654" s="10"/>
      <c r="J1654" s="46">
        <f t="shared" si="51"/>
        <v>1</v>
      </c>
      <c r="K1654" s="46">
        <f>IFERROR(INDEX(TarrifTable,MATCH(Elements!E1654,Constants!$V$4:$V$7,0),MATCH(Elements!F1654,Constants!$W$3:$AA$3,0)),0)</f>
        <v>0</v>
      </c>
      <c r="L1654" s="69">
        <f t="shared" si="52"/>
        <v>0</v>
      </c>
    </row>
    <row r="1655" spans="2:12" x14ac:dyDescent="0.85">
      <c r="B1655" s="48">
        <v>1648</v>
      </c>
      <c r="C1655" s="277"/>
      <c r="D1655" s="284"/>
      <c r="E1655" s="44"/>
      <c r="F1655" s="44"/>
      <c r="G1655" s="49">
        <v>1</v>
      </c>
      <c r="H1655" s="73"/>
      <c r="I1655" s="44"/>
      <c r="J1655" s="48">
        <f t="shared" si="51"/>
        <v>1</v>
      </c>
      <c r="K1655" s="48">
        <f>IFERROR(INDEX(TarrifTable,MATCH(Elements!E1655,Constants!$V$4:$V$7,0),MATCH(Elements!F1655,Constants!$W$3:$AA$3,0)),0)</f>
        <v>0</v>
      </c>
      <c r="L1655" s="68">
        <f t="shared" si="52"/>
        <v>0</v>
      </c>
    </row>
    <row r="1656" spans="2:12" x14ac:dyDescent="0.85">
      <c r="B1656" s="46">
        <v>1649</v>
      </c>
      <c r="C1656" s="276"/>
      <c r="D1656" s="283"/>
      <c r="E1656" s="10"/>
      <c r="F1656" s="10"/>
      <c r="G1656" s="47">
        <v>1</v>
      </c>
      <c r="H1656" s="72"/>
      <c r="I1656" s="10"/>
      <c r="J1656" s="46">
        <f t="shared" si="51"/>
        <v>1</v>
      </c>
      <c r="K1656" s="46">
        <f>IFERROR(INDEX(TarrifTable,MATCH(Elements!E1656,Constants!$V$4:$V$7,0),MATCH(Elements!F1656,Constants!$W$3:$AA$3,0)),0)</f>
        <v>0</v>
      </c>
      <c r="L1656" s="69">
        <f t="shared" si="52"/>
        <v>0</v>
      </c>
    </row>
    <row r="1657" spans="2:12" x14ac:dyDescent="0.85">
      <c r="B1657" s="48">
        <v>1650</v>
      </c>
      <c r="C1657" s="277"/>
      <c r="D1657" s="284"/>
      <c r="E1657" s="44"/>
      <c r="F1657" s="44"/>
      <c r="G1657" s="49">
        <v>1</v>
      </c>
      <c r="H1657" s="73"/>
      <c r="I1657" s="44"/>
      <c r="J1657" s="48">
        <f t="shared" si="51"/>
        <v>1</v>
      </c>
      <c r="K1657" s="48">
        <f>IFERROR(INDEX(TarrifTable,MATCH(Elements!E1657,Constants!$V$4:$V$7,0),MATCH(Elements!F1657,Constants!$W$3:$AA$3,0)),0)</f>
        <v>0</v>
      </c>
      <c r="L1657" s="68">
        <f t="shared" si="52"/>
        <v>0</v>
      </c>
    </row>
    <row r="1658" spans="2:12" x14ac:dyDescent="0.85">
      <c r="B1658" s="46">
        <v>1651</v>
      </c>
      <c r="C1658" s="276"/>
      <c r="D1658" s="283"/>
      <c r="E1658" s="10"/>
      <c r="F1658" s="10"/>
      <c r="G1658" s="47">
        <v>1</v>
      </c>
      <c r="H1658" s="72"/>
      <c r="I1658" s="10"/>
      <c r="J1658" s="46">
        <f t="shared" si="51"/>
        <v>1</v>
      </c>
      <c r="K1658" s="46">
        <f>IFERROR(INDEX(TarrifTable,MATCH(Elements!E1658,Constants!$V$4:$V$7,0),MATCH(Elements!F1658,Constants!$W$3:$AA$3,0)),0)</f>
        <v>0</v>
      </c>
      <c r="L1658" s="69">
        <f t="shared" si="52"/>
        <v>0</v>
      </c>
    </row>
    <row r="1659" spans="2:12" x14ac:dyDescent="0.85">
      <c r="B1659" s="48">
        <v>1652</v>
      </c>
      <c r="C1659" s="277"/>
      <c r="D1659" s="284"/>
      <c r="E1659" s="44"/>
      <c r="F1659" s="44"/>
      <c r="G1659" s="49">
        <v>1</v>
      </c>
      <c r="H1659" s="73"/>
      <c r="I1659" s="44"/>
      <c r="J1659" s="48">
        <f t="shared" si="51"/>
        <v>1</v>
      </c>
      <c r="K1659" s="48">
        <f>IFERROR(INDEX(TarrifTable,MATCH(Elements!E1659,Constants!$V$4:$V$7,0),MATCH(Elements!F1659,Constants!$W$3:$AA$3,0)),0)</f>
        <v>0</v>
      </c>
      <c r="L1659" s="68">
        <f t="shared" si="52"/>
        <v>0</v>
      </c>
    </row>
    <row r="1660" spans="2:12" x14ac:dyDescent="0.85">
      <c r="B1660" s="46">
        <v>1653</v>
      </c>
      <c r="C1660" s="276"/>
      <c r="D1660" s="283"/>
      <c r="E1660" s="10"/>
      <c r="F1660" s="10"/>
      <c r="G1660" s="47">
        <v>1</v>
      </c>
      <c r="H1660" s="72"/>
      <c r="I1660" s="10"/>
      <c r="J1660" s="46">
        <f t="shared" si="51"/>
        <v>1</v>
      </c>
      <c r="K1660" s="46">
        <f>IFERROR(INDEX(TarrifTable,MATCH(Elements!E1660,Constants!$V$4:$V$7,0),MATCH(Elements!F1660,Constants!$W$3:$AA$3,0)),0)</f>
        <v>0</v>
      </c>
      <c r="L1660" s="69">
        <f t="shared" si="52"/>
        <v>0</v>
      </c>
    </row>
    <row r="1661" spans="2:12" x14ac:dyDescent="0.85">
      <c r="B1661" s="48">
        <v>1654</v>
      </c>
      <c r="C1661" s="277"/>
      <c r="D1661" s="284"/>
      <c r="E1661" s="44"/>
      <c r="F1661" s="44"/>
      <c r="G1661" s="49">
        <v>1</v>
      </c>
      <c r="H1661" s="73"/>
      <c r="I1661" s="44"/>
      <c r="J1661" s="48">
        <f t="shared" si="51"/>
        <v>1</v>
      </c>
      <c r="K1661" s="48">
        <f>IFERROR(INDEX(TarrifTable,MATCH(Elements!E1661,Constants!$V$4:$V$7,0),MATCH(Elements!F1661,Constants!$W$3:$AA$3,0)),0)</f>
        <v>0</v>
      </c>
      <c r="L1661" s="68">
        <f t="shared" si="52"/>
        <v>0</v>
      </c>
    </row>
    <row r="1662" spans="2:12" x14ac:dyDescent="0.85">
      <c r="B1662" s="46">
        <v>1655</v>
      </c>
      <c r="C1662" s="276"/>
      <c r="D1662" s="283"/>
      <c r="E1662" s="10"/>
      <c r="F1662" s="10"/>
      <c r="G1662" s="47">
        <v>1</v>
      </c>
      <c r="H1662" s="72"/>
      <c r="I1662" s="10"/>
      <c r="J1662" s="46">
        <f t="shared" si="51"/>
        <v>1</v>
      </c>
      <c r="K1662" s="46">
        <f>IFERROR(INDEX(TarrifTable,MATCH(Elements!E1662,Constants!$V$4:$V$7,0),MATCH(Elements!F1662,Constants!$W$3:$AA$3,0)),0)</f>
        <v>0</v>
      </c>
      <c r="L1662" s="69">
        <f t="shared" si="52"/>
        <v>0</v>
      </c>
    </row>
    <row r="1663" spans="2:12" x14ac:dyDescent="0.85">
      <c r="B1663" s="48">
        <v>1656</v>
      </c>
      <c r="C1663" s="277"/>
      <c r="D1663" s="284"/>
      <c r="E1663" s="44"/>
      <c r="F1663" s="44"/>
      <c r="G1663" s="49">
        <v>1</v>
      </c>
      <c r="H1663" s="73"/>
      <c r="I1663" s="44"/>
      <c r="J1663" s="48">
        <f t="shared" si="51"/>
        <v>1</v>
      </c>
      <c r="K1663" s="48">
        <f>IFERROR(INDEX(TarrifTable,MATCH(Elements!E1663,Constants!$V$4:$V$7,0),MATCH(Elements!F1663,Constants!$W$3:$AA$3,0)),0)</f>
        <v>0</v>
      </c>
      <c r="L1663" s="68">
        <f t="shared" si="52"/>
        <v>0</v>
      </c>
    </row>
    <row r="1664" spans="2:12" x14ac:dyDescent="0.85">
      <c r="B1664" s="46">
        <v>1657</v>
      </c>
      <c r="C1664" s="276"/>
      <c r="D1664" s="283"/>
      <c r="E1664" s="10"/>
      <c r="F1664" s="10"/>
      <c r="G1664" s="47">
        <v>1</v>
      </c>
      <c r="H1664" s="72"/>
      <c r="I1664" s="10"/>
      <c r="J1664" s="46">
        <f t="shared" si="51"/>
        <v>1</v>
      </c>
      <c r="K1664" s="46">
        <f>IFERROR(INDEX(TarrifTable,MATCH(Elements!E1664,Constants!$V$4:$V$7,0),MATCH(Elements!F1664,Constants!$W$3:$AA$3,0)),0)</f>
        <v>0</v>
      </c>
      <c r="L1664" s="69">
        <f t="shared" si="52"/>
        <v>0</v>
      </c>
    </row>
    <row r="1665" spans="2:12" x14ac:dyDescent="0.85">
      <c r="B1665" s="48">
        <v>1658</v>
      </c>
      <c r="C1665" s="277"/>
      <c r="D1665" s="284"/>
      <c r="E1665" s="44"/>
      <c r="F1665" s="44"/>
      <c r="G1665" s="49">
        <v>1</v>
      </c>
      <c r="H1665" s="73"/>
      <c r="I1665" s="44"/>
      <c r="J1665" s="48">
        <f t="shared" si="51"/>
        <v>1</v>
      </c>
      <c r="K1665" s="48">
        <f>IFERROR(INDEX(TarrifTable,MATCH(Elements!E1665,Constants!$V$4:$V$7,0),MATCH(Elements!F1665,Constants!$W$3:$AA$3,0)),0)</f>
        <v>0</v>
      </c>
      <c r="L1665" s="68">
        <f t="shared" si="52"/>
        <v>0</v>
      </c>
    </row>
    <row r="1666" spans="2:12" x14ac:dyDescent="0.85">
      <c r="B1666" s="46">
        <v>1659</v>
      </c>
      <c r="C1666" s="276"/>
      <c r="D1666" s="283"/>
      <c r="E1666" s="10"/>
      <c r="F1666" s="10"/>
      <c r="G1666" s="47">
        <v>1</v>
      </c>
      <c r="H1666" s="72"/>
      <c r="I1666" s="10"/>
      <c r="J1666" s="46">
        <f t="shared" si="51"/>
        <v>1</v>
      </c>
      <c r="K1666" s="46">
        <f>IFERROR(INDEX(TarrifTable,MATCH(Elements!E1666,Constants!$V$4:$V$7,0),MATCH(Elements!F1666,Constants!$W$3:$AA$3,0)),0)</f>
        <v>0</v>
      </c>
      <c r="L1666" s="69">
        <f t="shared" si="52"/>
        <v>0</v>
      </c>
    </row>
    <row r="1667" spans="2:12" x14ac:dyDescent="0.85">
      <c r="B1667" s="48">
        <v>1660</v>
      </c>
      <c r="C1667" s="277"/>
      <c r="D1667" s="284"/>
      <c r="E1667" s="44"/>
      <c r="F1667" s="44"/>
      <c r="G1667" s="49">
        <v>1</v>
      </c>
      <c r="H1667" s="73"/>
      <c r="I1667" s="44"/>
      <c r="J1667" s="48">
        <f t="shared" si="51"/>
        <v>1</v>
      </c>
      <c r="K1667" s="48">
        <f>IFERROR(INDEX(TarrifTable,MATCH(Elements!E1667,Constants!$V$4:$V$7,0),MATCH(Elements!F1667,Constants!$W$3:$AA$3,0)),0)</f>
        <v>0</v>
      </c>
      <c r="L1667" s="68">
        <f t="shared" si="52"/>
        <v>0</v>
      </c>
    </row>
    <row r="1668" spans="2:12" x14ac:dyDescent="0.85">
      <c r="B1668" s="46">
        <v>1661</v>
      </c>
      <c r="C1668" s="276"/>
      <c r="D1668" s="283"/>
      <c r="E1668" s="10"/>
      <c r="F1668" s="10"/>
      <c r="G1668" s="47">
        <v>1</v>
      </c>
      <c r="H1668" s="72"/>
      <c r="I1668" s="10"/>
      <c r="J1668" s="46">
        <f t="shared" si="51"/>
        <v>1</v>
      </c>
      <c r="K1668" s="46">
        <f>IFERROR(INDEX(TarrifTable,MATCH(Elements!E1668,Constants!$V$4:$V$7,0),MATCH(Elements!F1668,Constants!$W$3:$AA$3,0)),0)</f>
        <v>0</v>
      </c>
      <c r="L1668" s="69">
        <f t="shared" si="52"/>
        <v>0</v>
      </c>
    </row>
    <row r="1669" spans="2:12" x14ac:dyDescent="0.85">
      <c r="B1669" s="48">
        <v>1662</v>
      </c>
      <c r="C1669" s="277"/>
      <c r="D1669" s="284"/>
      <c r="E1669" s="44"/>
      <c r="F1669" s="44"/>
      <c r="G1669" s="49">
        <v>1</v>
      </c>
      <c r="H1669" s="73"/>
      <c r="I1669" s="44"/>
      <c r="J1669" s="48">
        <f t="shared" si="51"/>
        <v>1</v>
      </c>
      <c r="K1669" s="48">
        <f>IFERROR(INDEX(TarrifTable,MATCH(Elements!E1669,Constants!$V$4:$V$7,0),MATCH(Elements!F1669,Constants!$W$3:$AA$3,0)),0)</f>
        <v>0</v>
      </c>
      <c r="L1669" s="68">
        <f t="shared" si="52"/>
        <v>0</v>
      </c>
    </row>
    <row r="1670" spans="2:12" x14ac:dyDescent="0.85">
      <c r="B1670" s="46">
        <v>1663</v>
      </c>
      <c r="C1670" s="276"/>
      <c r="D1670" s="283"/>
      <c r="E1670" s="10"/>
      <c r="F1670" s="10"/>
      <c r="G1670" s="47">
        <v>1</v>
      </c>
      <c r="H1670" s="72"/>
      <c r="I1670" s="10"/>
      <c r="J1670" s="46">
        <f t="shared" si="51"/>
        <v>1</v>
      </c>
      <c r="K1670" s="46">
        <f>IFERROR(INDEX(TarrifTable,MATCH(Elements!E1670,Constants!$V$4:$V$7,0),MATCH(Elements!F1670,Constants!$W$3:$AA$3,0)),0)</f>
        <v>0</v>
      </c>
      <c r="L1670" s="69">
        <f t="shared" si="52"/>
        <v>0</v>
      </c>
    </row>
    <row r="1671" spans="2:12" x14ac:dyDescent="0.85">
      <c r="B1671" s="48">
        <v>1664</v>
      </c>
      <c r="C1671" s="277"/>
      <c r="D1671" s="284"/>
      <c r="E1671" s="44"/>
      <c r="F1671" s="44"/>
      <c r="G1671" s="49">
        <v>1</v>
      </c>
      <c r="H1671" s="73"/>
      <c r="I1671" s="44"/>
      <c r="J1671" s="48">
        <f t="shared" si="51"/>
        <v>1</v>
      </c>
      <c r="K1671" s="48">
        <f>IFERROR(INDEX(TarrifTable,MATCH(Elements!E1671,Constants!$V$4:$V$7,0),MATCH(Elements!F1671,Constants!$W$3:$AA$3,0)),0)</f>
        <v>0</v>
      </c>
      <c r="L1671" s="68">
        <f t="shared" si="52"/>
        <v>0</v>
      </c>
    </row>
    <row r="1672" spans="2:12" x14ac:dyDescent="0.85">
      <c r="B1672" s="46">
        <v>1665</v>
      </c>
      <c r="C1672" s="276"/>
      <c r="D1672" s="283"/>
      <c r="E1672" s="10"/>
      <c r="F1672" s="10"/>
      <c r="G1672" s="47">
        <v>1</v>
      </c>
      <c r="H1672" s="72"/>
      <c r="I1672" s="10"/>
      <c r="J1672" s="46">
        <f t="shared" ref="J1672:J1735" si="53">IF(ISBLANK(H1672),1,H1672)</f>
        <v>1</v>
      </c>
      <c r="K1672" s="46">
        <f>IFERROR(INDEX(TarrifTable,MATCH(Elements!E1672,Constants!$V$4:$V$7,0),MATCH(Elements!F1672,Constants!$W$3:$AA$3,0)),0)</f>
        <v>0</v>
      </c>
      <c r="L1672" s="69">
        <f t="shared" ref="L1672:L1735" si="54">J1672*G1672*K1672</f>
        <v>0</v>
      </c>
    </row>
    <row r="1673" spans="2:12" x14ac:dyDescent="0.85">
      <c r="B1673" s="48">
        <v>1666</v>
      </c>
      <c r="C1673" s="277"/>
      <c r="D1673" s="284"/>
      <c r="E1673" s="44"/>
      <c r="F1673" s="44"/>
      <c r="G1673" s="49">
        <v>1</v>
      </c>
      <c r="H1673" s="73"/>
      <c r="I1673" s="44"/>
      <c r="J1673" s="48">
        <f t="shared" si="53"/>
        <v>1</v>
      </c>
      <c r="K1673" s="48">
        <f>IFERROR(INDEX(TarrifTable,MATCH(Elements!E1673,Constants!$V$4:$V$7,0),MATCH(Elements!F1673,Constants!$W$3:$AA$3,0)),0)</f>
        <v>0</v>
      </c>
      <c r="L1673" s="68">
        <f t="shared" si="54"/>
        <v>0</v>
      </c>
    </row>
    <row r="1674" spans="2:12" x14ac:dyDescent="0.85">
      <c r="B1674" s="46">
        <v>1667</v>
      </c>
      <c r="C1674" s="276"/>
      <c r="D1674" s="283"/>
      <c r="E1674" s="10"/>
      <c r="F1674" s="10"/>
      <c r="G1674" s="47">
        <v>1</v>
      </c>
      <c r="H1674" s="72"/>
      <c r="I1674" s="10"/>
      <c r="J1674" s="46">
        <f t="shared" si="53"/>
        <v>1</v>
      </c>
      <c r="K1674" s="46">
        <f>IFERROR(INDEX(TarrifTable,MATCH(Elements!E1674,Constants!$V$4:$V$7,0),MATCH(Elements!F1674,Constants!$W$3:$AA$3,0)),0)</f>
        <v>0</v>
      </c>
      <c r="L1674" s="69">
        <f t="shared" si="54"/>
        <v>0</v>
      </c>
    </row>
    <row r="1675" spans="2:12" x14ac:dyDescent="0.85">
      <c r="B1675" s="48">
        <v>1668</v>
      </c>
      <c r="C1675" s="277"/>
      <c r="D1675" s="284"/>
      <c r="E1675" s="44"/>
      <c r="F1675" s="44"/>
      <c r="G1675" s="49">
        <v>1</v>
      </c>
      <c r="H1675" s="73"/>
      <c r="I1675" s="44"/>
      <c r="J1675" s="48">
        <f t="shared" si="53"/>
        <v>1</v>
      </c>
      <c r="K1675" s="48">
        <f>IFERROR(INDEX(TarrifTable,MATCH(Elements!E1675,Constants!$V$4:$V$7,0),MATCH(Elements!F1675,Constants!$W$3:$AA$3,0)),0)</f>
        <v>0</v>
      </c>
      <c r="L1675" s="68">
        <f t="shared" si="54"/>
        <v>0</v>
      </c>
    </row>
    <row r="1676" spans="2:12" x14ac:dyDescent="0.85">
      <c r="B1676" s="46">
        <v>1669</v>
      </c>
      <c r="C1676" s="276"/>
      <c r="D1676" s="283"/>
      <c r="E1676" s="10"/>
      <c r="F1676" s="10"/>
      <c r="G1676" s="47">
        <v>1</v>
      </c>
      <c r="H1676" s="72"/>
      <c r="I1676" s="10"/>
      <c r="J1676" s="46">
        <f t="shared" si="53"/>
        <v>1</v>
      </c>
      <c r="K1676" s="46">
        <f>IFERROR(INDEX(TarrifTable,MATCH(Elements!E1676,Constants!$V$4:$V$7,0),MATCH(Elements!F1676,Constants!$W$3:$AA$3,0)),0)</f>
        <v>0</v>
      </c>
      <c r="L1676" s="69">
        <f t="shared" si="54"/>
        <v>0</v>
      </c>
    </row>
    <row r="1677" spans="2:12" x14ac:dyDescent="0.85">
      <c r="B1677" s="48">
        <v>1670</v>
      </c>
      <c r="C1677" s="277"/>
      <c r="D1677" s="284"/>
      <c r="E1677" s="44"/>
      <c r="F1677" s="44"/>
      <c r="G1677" s="49">
        <v>1</v>
      </c>
      <c r="H1677" s="73"/>
      <c r="I1677" s="44"/>
      <c r="J1677" s="48">
        <f t="shared" si="53"/>
        <v>1</v>
      </c>
      <c r="K1677" s="48">
        <f>IFERROR(INDEX(TarrifTable,MATCH(Elements!E1677,Constants!$V$4:$V$7,0),MATCH(Elements!F1677,Constants!$W$3:$AA$3,0)),0)</f>
        <v>0</v>
      </c>
      <c r="L1677" s="68">
        <f t="shared" si="54"/>
        <v>0</v>
      </c>
    </row>
    <row r="1678" spans="2:12" x14ac:dyDescent="0.85">
      <c r="B1678" s="46">
        <v>1671</v>
      </c>
      <c r="C1678" s="276"/>
      <c r="D1678" s="283"/>
      <c r="E1678" s="10"/>
      <c r="F1678" s="10"/>
      <c r="G1678" s="47">
        <v>1</v>
      </c>
      <c r="H1678" s="72"/>
      <c r="I1678" s="10"/>
      <c r="J1678" s="46">
        <f t="shared" si="53"/>
        <v>1</v>
      </c>
      <c r="K1678" s="46">
        <f>IFERROR(INDEX(TarrifTable,MATCH(Elements!E1678,Constants!$V$4:$V$7,0),MATCH(Elements!F1678,Constants!$W$3:$AA$3,0)),0)</f>
        <v>0</v>
      </c>
      <c r="L1678" s="69">
        <f t="shared" si="54"/>
        <v>0</v>
      </c>
    </row>
    <row r="1679" spans="2:12" x14ac:dyDescent="0.85">
      <c r="B1679" s="48">
        <v>1672</v>
      </c>
      <c r="C1679" s="277"/>
      <c r="D1679" s="284"/>
      <c r="E1679" s="44"/>
      <c r="F1679" s="44"/>
      <c r="G1679" s="49">
        <v>1</v>
      </c>
      <c r="H1679" s="73"/>
      <c r="I1679" s="44"/>
      <c r="J1679" s="48">
        <f t="shared" si="53"/>
        <v>1</v>
      </c>
      <c r="K1679" s="48">
        <f>IFERROR(INDEX(TarrifTable,MATCH(Elements!E1679,Constants!$V$4:$V$7,0),MATCH(Elements!F1679,Constants!$W$3:$AA$3,0)),0)</f>
        <v>0</v>
      </c>
      <c r="L1679" s="68">
        <f t="shared" si="54"/>
        <v>0</v>
      </c>
    </row>
    <row r="1680" spans="2:12" x14ac:dyDescent="0.85">
      <c r="B1680" s="46">
        <v>1673</v>
      </c>
      <c r="C1680" s="276"/>
      <c r="D1680" s="283"/>
      <c r="E1680" s="10"/>
      <c r="F1680" s="10"/>
      <c r="G1680" s="47">
        <v>1</v>
      </c>
      <c r="H1680" s="72"/>
      <c r="I1680" s="10"/>
      <c r="J1680" s="46">
        <f t="shared" si="53"/>
        <v>1</v>
      </c>
      <c r="K1680" s="46">
        <f>IFERROR(INDEX(TarrifTable,MATCH(Elements!E1680,Constants!$V$4:$V$7,0),MATCH(Elements!F1680,Constants!$W$3:$AA$3,0)),0)</f>
        <v>0</v>
      </c>
      <c r="L1680" s="69">
        <f t="shared" si="54"/>
        <v>0</v>
      </c>
    </row>
    <row r="1681" spans="2:12" x14ac:dyDescent="0.85">
      <c r="B1681" s="48">
        <v>1674</v>
      </c>
      <c r="C1681" s="277"/>
      <c r="D1681" s="284"/>
      <c r="E1681" s="44"/>
      <c r="F1681" s="44"/>
      <c r="G1681" s="49">
        <v>1</v>
      </c>
      <c r="H1681" s="73"/>
      <c r="I1681" s="44"/>
      <c r="J1681" s="48">
        <f t="shared" si="53"/>
        <v>1</v>
      </c>
      <c r="K1681" s="48">
        <f>IFERROR(INDEX(TarrifTable,MATCH(Elements!E1681,Constants!$V$4:$V$7,0),MATCH(Elements!F1681,Constants!$W$3:$AA$3,0)),0)</f>
        <v>0</v>
      </c>
      <c r="L1681" s="68">
        <f t="shared" si="54"/>
        <v>0</v>
      </c>
    </row>
    <row r="1682" spans="2:12" x14ac:dyDescent="0.85">
      <c r="B1682" s="46">
        <v>1675</v>
      </c>
      <c r="C1682" s="276"/>
      <c r="D1682" s="283"/>
      <c r="E1682" s="10"/>
      <c r="F1682" s="10"/>
      <c r="G1682" s="47">
        <v>1</v>
      </c>
      <c r="H1682" s="72"/>
      <c r="I1682" s="10"/>
      <c r="J1682" s="46">
        <f t="shared" si="53"/>
        <v>1</v>
      </c>
      <c r="K1682" s="46">
        <f>IFERROR(INDEX(TarrifTable,MATCH(Elements!E1682,Constants!$V$4:$V$7,0),MATCH(Elements!F1682,Constants!$W$3:$AA$3,0)),0)</f>
        <v>0</v>
      </c>
      <c r="L1682" s="69">
        <f t="shared" si="54"/>
        <v>0</v>
      </c>
    </row>
    <row r="1683" spans="2:12" x14ac:dyDescent="0.85">
      <c r="B1683" s="48">
        <v>1676</v>
      </c>
      <c r="C1683" s="277"/>
      <c r="D1683" s="284"/>
      <c r="E1683" s="44"/>
      <c r="F1683" s="44"/>
      <c r="G1683" s="49">
        <v>1</v>
      </c>
      <c r="H1683" s="73"/>
      <c r="I1683" s="44"/>
      <c r="J1683" s="48">
        <f t="shared" si="53"/>
        <v>1</v>
      </c>
      <c r="K1683" s="48">
        <f>IFERROR(INDEX(TarrifTable,MATCH(Elements!E1683,Constants!$V$4:$V$7,0),MATCH(Elements!F1683,Constants!$W$3:$AA$3,0)),0)</f>
        <v>0</v>
      </c>
      <c r="L1683" s="68">
        <f t="shared" si="54"/>
        <v>0</v>
      </c>
    </row>
    <row r="1684" spans="2:12" x14ac:dyDescent="0.85">
      <c r="B1684" s="46">
        <v>1677</v>
      </c>
      <c r="C1684" s="276"/>
      <c r="D1684" s="283"/>
      <c r="E1684" s="10"/>
      <c r="F1684" s="10"/>
      <c r="G1684" s="47">
        <v>1</v>
      </c>
      <c r="H1684" s="72"/>
      <c r="I1684" s="10"/>
      <c r="J1684" s="46">
        <f t="shared" si="53"/>
        <v>1</v>
      </c>
      <c r="K1684" s="46">
        <f>IFERROR(INDEX(TarrifTable,MATCH(Elements!E1684,Constants!$V$4:$V$7,0),MATCH(Elements!F1684,Constants!$W$3:$AA$3,0)),0)</f>
        <v>0</v>
      </c>
      <c r="L1684" s="69">
        <f t="shared" si="54"/>
        <v>0</v>
      </c>
    </row>
    <row r="1685" spans="2:12" x14ac:dyDescent="0.85">
      <c r="B1685" s="48">
        <v>1678</v>
      </c>
      <c r="C1685" s="277"/>
      <c r="D1685" s="284"/>
      <c r="E1685" s="44"/>
      <c r="F1685" s="44"/>
      <c r="G1685" s="49">
        <v>1</v>
      </c>
      <c r="H1685" s="73"/>
      <c r="I1685" s="44"/>
      <c r="J1685" s="48">
        <f t="shared" si="53"/>
        <v>1</v>
      </c>
      <c r="K1685" s="48">
        <f>IFERROR(INDEX(TarrifTable,MATCH(Elements!E1685,Constants!$V$4:$V$7,0),MATCH(Elements!F1685,Constants!$W$3:$AA$3,0)),0)</f>
        <v>0</v>
      </c>
      <c r="L1685" s="68">
        <f t="shared" si="54"/>
        <v>0</v>
      </c>
    </row>
    <row r="1686" spans="2:12" x14ac:dyDescent="0.85">
      <c r="B1686" s="46">
        <v>1679</v>
      </c>
      <c r="C1686" s="276"/>
      <c r="D1686" s="283"/>
      <c r="E1686" s="10"/>
      <c r="F1686" s="10"/>
      <c r="G1686" s="47">
        <v>1</v>
      </c>
      <c r="H1686" s="72"/>
      <c r="I1686" s="10"/>
      <c r="J1686" s="46">
        <f t="shared" si="53"/>
        <v>1</v>
      </c>
      <c r="K1686" s="46">
        <f>IFERROR(INDEX(TarrifTable,MATCH(Elements!E1686,Constants!$V$4:$V$7,0),MATCH(Elements!F1686,Constants!$W$3:$AA$3,0)),0)</f>
        <v>0</v>
      </c>
      <c r="L1686" s="69">
        <f t="shared" si="54"/>
        <v>0</v>
      </c>
    </row>
    <row r="1687" spans="2:12" x14ac:dyDescent="0.85">
      <c r="B1687" s="48">
        <v>1680</v>
      </c>
      <c r="C1687" s="277"/>
      <c r="D1687" s="284"/>
      <c r="E1687" s="44"/>
      <c r="F1687" s="44"/>
      <c r="G1687" s="49">
        <v>1</v>
      </c>
      <c r="H1687" s="73"/>
      <c r="I1687" s="44"/>
      <c r="J1687" s="48">
        <f t="shared" si="53"/>
        <v>1</v>
      </c>
      <c r="K1687" s="48">
        <f>IFERROR(INDEX(TarrifTable,MATCH(Elements!E1687,Constants!$V$4:$V$7,0),MATCH(Elements!F1687,Constants!$W$3:$AA$3,0)),0)</f>
        <v>0</v>
      </c>
      <c r="L1687" s="68">
        <f t="shared" si="54"/>
        <v>0</v>
      </c>
    </row>
    <row r="1688" spans="2:12" x14ac:dyDescent="0.85">
      <c r="B1688" s="46">
        <v>1681</v>
      </c>
      <c r="C1688" s="276"/>
      <c r="D1688" s="283"/>
      <c r="E1688" s="10"/>
      <c r="F1688" s="10"/>
      <c r="G1688" s="47">
        <v>1</v>
      </c>
      <c r="H1688" s="72"/>
      <c r="I1688" s="10"/>
      <c r="J1688" s="46">
        <f t="shared" si="53"/>
        <v>1</v>
      </c>
      <c r="K1688" s="46">
        <f>IFERROR(INDEX(TarrifTable,MATCH(Elements!E1688,Constants!$V$4:$V$7,0),MATCH(Elements!F1688,Constants!$W$3:$AA$3,0)),0)</f>
        <v>0</v>
      </c>
      <c r="L1688" s="69">
        <f t="shared" si="54"/>
        <v>0</v>
      </c>
    </row>
    <row r="1689" spans="2:12" x14ac:dyDescent="0.85">
      <c r="B1689" s="48">
        <v>1682</v>
      </c>
      <c r="C1689" s="277"/>
      <c r="D1689" s="284"/>
      <c r="E1689" s="44"/>
      <c r="F1689" s="44"/>
      <c r="G1689" s="49">
        <v>1</v>
      </c>
      <c r="H1689" s="73"/>
      <c r="I1689" s="44"/>
      <c r="J1689" s="48">
        <f t="shared" si="53"/>
        <v>1</v>
      </c>
      <c r="K1689" s="48">
        <f>IFERROR(INDEX(TarrifTable,MATCH(Elements!E1689,Constants!$V$4:$V$7,0),MATCH(Elements!F1689,Constants!$W$3:$AA$3,0)),0)</f>
        <v>0</v>
      </c>
      <c r="L1689" s="68">
        <f t="shared" si="54"/>
        <v>0</v>
      </c>
    </row>
    <row r="1690" spans="2:12" x14ac:dyDescent="0.85">
      <c r="B1690" s="46">
        <v>1683</v>
      </c>
      <c r="C1690" s="276"/>
      <c r="D1690" s="283"/>
      <c r="E1690" s="10"/>
      <c r="F1690" s="10"/>
      <c r="G1690" s="47">
        <v>1</v>
      </c>
      <c r="H1690" s="72"/>
      <c r="I1690" s="10"/>
      <c r="J1690" s="46">
        <f t="shared" si="53"/>
        <v>1</v>
      </c>
      <c r="K1690" s="46">
        <f>IFERROR(INDEX(TarrifTable,MATCH(Elements!E1690,Constants!$V$4:$V$7,0),MATCH(Elements!F1690,Constants!$W$3:$AA$3,0)),0)</f>
        <v>0</v>
      </c>
      <c r="L1690" s="69">
        <f t="shared" si="54"/>
        <v>0</v>
      </c>
    </row>
    <row r="1691" spans="2:12" x14ac:dyDescent="0.85">
      <c r="B1691" s="48">
        <v>1684</v>
      </c>
      <c r="C1691" s="277"/>
      <c r="D1691" s="284"/>
      <c r="E1691" s="44"/>
      <c r="F1691" s="44"/>
      <c r="G1691" s="49">
        <v>1</v>
      </c>
      <c r="H1691" s="73"/>
      <c r="I1691" s="44"/>
      <c r="J1691" s="48">
        <f t="shared" si="53"/>
        <v>1</v>
      </c>
      <c r="K1691" s="48">
        <f>IFERROR(INDEX(TarrifTable,MATCH(Elements!E1691,Constants!$V$4:$V$7,0),MATCH(Elements!F1691,Constants!$W$3:$AA$3,0)),0)</f>
        <v>0</v>
      </c>
      <c r="L1691" s="68">
        <f t="shared" si="54"/>
        <v>0</v>
      </c>
    </row>
    <row r="1692" spans="2:12" x14ac:dyDescent="0.85">
      <c r="B1692" s="46">
        <v>1685</v>
      </c>
      <c r="C1692" s="276"/>
      <c r="D1692" s="283"/>
      <c r="E1692" s="10"/>
      <c r="F1692" s="10"/>
      <c r="G1692" s="47">
        <v>1</v>
      </c>
      <c r="H1692" s="72"/>
      <c r="I1692" s="10"/>
      <c r="J1692" s="46">
        <f t="shared" si="53"/>
        <v>1</v>
      </c>
      <c r="K1692" s="46">
        <f>IFERROR(INDEX(TarrifTable,MATCH(Elements!E1692,Constants!$V$4:$V$7,0),MATCH(Elements!F1692,Constants!$W$3:$AA$3,0)),0)</f>
        <v>0</v>
      </c>
      <c r="L1692" s="69">
        <f t="shared" si="54"/>
        <v>0</v>
      </c>
    </row>
    <row r="1693" spans="2:12" x14ac:dyDescent="0.85">
      <c r="B1693" s="48">
        <v>1686</v>
      </c>
      <c r="C1693" s="277"/>
      <c r="D1693" s="284"/>
      <c r="E1693" s="44"/>
      <c r="F1693" s="44"/>
      <c r="G1693" s="49">
        <v>1</v>
      </c>
      <c r="H1693" s="73"/>
      <c r="I1693" s="44"/>
      <c r="J1693" s="48">
        <f t="shared" si="53"/>
        <v>1</v>
      </c>
      <c r="K1693" s="48">
        <f>IFERROR(INDEX(TarrifTable,MATCH(Elements!E1693,Constants!$V$4:$V$7,0),MATCH(Elements!F1693,Constants!$W$3:$AA$3,0)),0)</f>
        <v>0</v>
      </c>
      <c r="L1693" s="68">
        <f t="shared" si="54"/>
        <v>0</v>
      </c>
    </row>
    <row r="1694" spans="2:12" x14ac:dyDescent="0.85">
      <c r="B1694" s="46">
        <v>1687</v>
      </c>
      <c r="C1694" s="276"/>
      <c r="D1694" s="283"/>
      <c r="E1694" s="10"/>
      <c r="F1694" s="10"/>
      <c r="G1694" s="47">
        <v>1</v>
      </c>
      <c r="H1694" s="72"/>
      <c r="I1694" s="10"/>
      <c r="J1694" s="46">
        <f t="shared" si="53"/>
        <v>1</v>
      </c>
      <c r="K1694" s="46">
        <f>IFERROR(INDEX(TarrifTable,MATCH(Elements!E1694,Constants!$V$4:$V$7,0),MATCH(Elements!F1694,Constants!$W$3:$AA$3,0)),0)</f>
        <v>0</v>
      </c>
      <c r="L1694" s="69">
        <f t="shared" si="54"/>
        <v>0</v>
      </c>
    </row>
    <row r="1695" spans="2:12" x14ac:dyDescent="0.85">
      <c r="B1695" s="48">
        <v>1688</v>
      </c>
      <c r="C1695" s="277"/>
      <c r="D1695" s="284"/>
      <c r="E1695" s="44"/>
      <c r="F1695" s="44"/>
      <c r="G1695" s="49">
        <v>1</v>
      </c>
      <c r="H1695" s="73"/>
      <c r="I1695" s="44"/>
      <c r="J1695" s="48">
        <f t="shared" si="53"/>
        <v>1</v>
      </c>
      <c r="K1695" s="48">
        <f>IFERROR(INDEX(TarrifTable,MATCH(Elements!E1695,Constants!$V$4:$V$7,0),MATCH(Elements!F1695,Constants!$W$3:$AA$3,0)),0)</f>
        <v>0</v>
      </c>
      <c r="L1695" s="68">
        <f t="shared" si="54"/>
        <v>0</v>
      </c>
    </row>
    <row r="1696" spans="2:12" x14ac:dyDescent="0.85">
      <c r="B1696" s="46">
        <v>1689</v>
      </c>
      <c r="C1696" s="276"/>
      <c r="D1696" s="283"/>
      <c r="E1696" s="10"/>
      <c r="F1696" s="10"/>
      <c r="G1696" s="47">
        <v>1</v>
      </c>
      <c r="H1696" s="72"/>
      <c r="I1696" s="10"/>
      <c r="J1696" s="46">
        <f t="shared" si="53"/>
        <v>1</v>
      </c>
      <c r="K1696" s="46">
        <f>IFERROR(INDEX(TarrifTable,MATCH(Elements!E1696,Constants!$V$4:$V$7,0),MATCH(Elements!F1696,Constants!$W$3:$AA$3,0)),0)</f>
        <v>0</v>
      </c>
      <c r="L1696" s="69">
        <f t="shared" si="54"/>
        <v>0</v>
      </c>
    </row>
    <row r="1697" spans="2:12" x14ac:dyDescent="0.85">
      <c r="B1697" s="48">
        <v>1690</v>
      </c>
      <c r="C1697" s="277"/>
      <c r="D1697" s="284"/>
      <c r="E1697" s="44"/>
      <c r="F1697" s="44"/>
      <c r="G1697" s="49">
        <v>1</v>
      </c>
      <c r="H1697" s="73"/>
      <c r="I1697" s="44"/>
      <c r="J1697" s="48">
        <f t="shared" si="53"/>
        <v>1</v>
      </c>
      <c r="K1697" s="48">
        <f>IFERROR(INDEX(TarrifTable,MATCH(Elements!E1697,Constants!$V$4:$V$7,0),MATCH(Elements!F1697,Constants!$W$3:$AA$3,0)),0)</f>
        <v>0</v>
      </c>
      <c r="L1697" s="68">
        <f t="shared" si="54"/>
        <v>0</v>
      </c>
    </row>
    <row r="1698" spans="2:12" x14ac:dyDescent="0.85">
      <c r="B1698" s="46">
        <v>1691</v>
      </c>
      <c r="C1698" s="276"/>
      <c r="D1698" s="283"/>
      <c r="E1698" s="10"/>
      <c r="F1698" s="10"/>
      <c r="G1698" s="47">
        <v>1</v>
      </c>
      <c r="H1698" s="72"/>
      <c r="I1698" s="10"/>
      <c r="J1698" s="46">
        <f t="shared" si="53"/>
        <v>1</v>
      </c>
      <c r="K1698" s="46">
        <f>IFERROR(INDEX(TarrifTable,MATCH(Elements!E1698,Constants!$V$4:$V$7,0),MATCH(Elements!F1698,Constants!$W$3:$AA$3,0)),0)</f>
        <v>0</v>
      </c>
      <c r="L1698" s="69">
        <f t="shared" si="54"/>
        <v>0</v>
      </c>
    </row>
    <row r="1699" spans="2:12" x14ac:dyDescent="0.85">
      <c r="B1699" s="48">
        <v>1692</v>
      </c>
      <c r="C1699" s="277"/>
      <c r="D1699" s="284"/>
      <c r="E1699" s="44"/>
      <c r="F1699" s="44"/>
      <c r="G1699" s="49">
        <v>1</v>
      </c>
      <c r="H1699" s="73"/>
      <c r="I1699" s="44"/>
      <c r="J1699" s="48">
        <f t="shared" si="53"/>
        <v>1</v>
      </c>
      <c r="K1699" s="48">
        <f>IFERROR(INDEX(TarrifTable,MATCH(Elements!E1699,Constants!$V$4:$V$7,0),MATCH(Elements!F1699,Constants!$W$3:$AA$3,0)),0)</f>
        <v>0</v>
      </c>
      <c r="L1699" s="68">
        <f t="shared" si="54"/>
        <v>0</v>
      </c>
    </row>
    <row r="1700" spans="2:12" x14ac:dyDescent="0.85">
      <c r="B1700" s="46">
        <v>1693</v>
      </c>
      <c r="C1700" s="276"/>
      <c r="D1700" s="283"/>
      <c r="E1700" s="10"/>
      <c r="F1700" s="10"/>
      <c r="G1700" s="47">
        <v>1</v>
      </c>
      <c r="H1700" s="72"/>
      <c r="I1700" s="10"/>
      <c r="J1700" s="46">
        <f t="shared" si="53"/>
        <v>1</v>
      </c>
      <c r="K1700" s="46">
        <f>IFERROR(INDEX(TarrifTable,MATCH(Elements!E1700,Constants!$V$4:$V$7,0),MATCH(Elements!F1700,Constants!$W$3:$AA$3,0)),0)</f>
        <v>0</v>
      </c>
      <c r="L1700" s="69">
        <f t="shared" si="54"/>
        <v>0</v>
      </c>
    </row>
    <row r="1701" spans="2:12" x14ac:dyDescent="0.85">
      <c r="B1701" s="48">
        <v>1694</v>
      </c>
      <c r="C1701" s="277"/>
      <c r="D1701" s="284"/>
      <c r="E1701" s="44"/>
      <c r="F1701" s="44"/>
      <c r="G1701" s="49">
        <v>1</v>
      </c>
      <c r="H1701" s="73"/>
      <c r="I1701" s="44"/>
      <c r="J1701" s="48">
        <f t="shared" si="53"/>
        <v>1</v>
      </c>
      <c r="K1701" s="48">
        <f>IFERROR(INDEX(TarrifTable,MATCH(Elements!E1701,Constants!$V$4:$V$7,0),MATCH(Elements!F1701,Constants!$W$3:$AA$3,0)),0)</f>
        <v>0</v>
      </c>
      <c r="L1701" s="68">
        <f t="shared" si="54"/>
        <v>0</v>
      </c>
    </row>
    <row r="1702" spans="2:12" x14ac:dyDescent="0.85">
      <c r="B1702" s="46">
        <v>1695</v>
      </c>
      <c r="C1702" s="276"/>
      <c r="D1702" s="283"/>
      <c r="E1702" s="10"/>
      <c r="F1702" s="10"/>
      <c r="G1702" s="47">
        <v>1</v>
      </c>
      <c r="H1702" s="72"/>
      <c r="I1702" s="10"/>
      <c r="J1702" s="46">
        <f t="shared" si="53"/>
        <v>1</v>
      </c>
      <c r="K1702" s="46">
        <f>IFERROR(INDEX(TarrifTable,MATCH(Elements!E1702,Constants!$V$4:$V$7,0),MATCH(Elements!F1702,Constants!$W$3:$AA$3,0)),0)</f>
        <v>0</v>
      </c>
      <c r="L1702" s="69">
        <f t="shared" si="54"/>
        <v>0</v>
      </c>
    </row>
    <row r="1703" spans="2:12" x14ac:dyDescent="0.85">
      <c r="B1703" s="48">
        <v>1696</v>
      </c>
      <c r="C1703" s="277"/>
      <c r="D1703" s="284"/>
      <c r="E1703" s="44"/>
      <c r="F1703" s="44"/>
      <c r="G1703" s="49">
        <v>1</v>
      </c>
      <c r="H1703" s="73"/>
      <c r="I1703" s="44"/>
      <c r="J1703" s="48">
        <f t="shared" si="53"/>
        <v>1</v>
      </c>
      <c r="K1703" s="48">
        <f>IFERROR(INDEX(TarrifTable,MATCH(Elements!E1703,Constants!$V$4:$V$7,0),MATCH(Elements!F1703,Constants!$W$3:$AA$3,0)),0)</f>
        <v>0</v>
      </c>
      <c r="L1703" s="68">
        <f t="shared" si="54"/>
        <v>0</v>
      </c>
    </row>
    <row r="1704" spans="2:12" x14ac:dyDescent="0.85">
      <c r="B1704" s="46">
        <v>1697</v>
      </c>
      <c r="C1704" s="276"/>
      <c r="D1704" s="283"/>
      <c r="E1704" s="10"/>
      <c r="F1704" s="10"/>
      <c r="G1704" s="47">
        <v>1</v>
      </c>
      <c r="H1704" s="72"/>
      <c r="I1704" s="10"/>
      <c r="J1704" s="46">
        <f t="shared" si="53"/>
        <v>1</v>
      </c>
      <c r="K1704" s="46">
        <f>IFERROR(INDEX(TarrifTable,MATCH(Elements!E1704,Constants!$V$4:$V$7,0),MATCH(Elements!F1704,Constants!$W$3:$AA$3,0)),0)</f>
        <v>0</v>
      </c>
      <c r="L1704" s="69">
        <f t="shared" si="54"/>
        <v>0</v>
      </c>
    </row>
    <row r="1705" spans="2:12" x14ac:dyDescent="0.85">
      <c r="B1705" s="48">
        <v>1698</v>
      </c>
      <c r="C1705" s="277"/>
      <c r="D1705" s="284"/>
      <c r="E1705" s="44"/>
      <c r="F1705" s="44"/>
      <c r="G1705" s="49">
        <v>1</v>
      </c>
      <c r="H1705" s="73"/>
      <c r="I1705" s="44"/>
      <c r="J1705" s="48">
        <f t="shared" si="53"/>
        <v>1</v>
      </c>
      <c r="K1705" s="48">
        <f>IFERROR(INDEX(TarrifTable,MATCH(Elements!E1705,Constants!$V$4:$V$7,0),MATCH(Elements!F1705,Constants!$W$3:$AA$3,0)),0)</f>
        <v>0</v>
      </c>
      <c r="L1705" s="68">
        <f t="shared" si="54"/>
        <v>0</v>
      </c>
    </row>
    <row r="1706" spans="2:12" x14ac:dyDescent="0.85">
      <c r="B1706" s="46">
        <v>1699</v>
      </c>
      <c r="C1706" s="276"/>
      <c r="D1706" s="283"/>
      <c r="E1706" s="10"/>
      <c r="F1706" s="10"/>
      <c r="G1706" s="47">
        <v>1</v>
      </c>
      <c r="H1706" s="72"/>
      <c r="I1706" s="10"/>
      <c r="J1706" s="46">
        <f t="shared" si="53"/>
        <v>1</v>
      </c>
      <c r="K1706" s="46">
        <f>IFERROR(INDEX(TarrifTable,MATCH(Elements!E1706,Constants!$V$4:$V$7,0),MATCH(Elements!F1706,Constants!$W$3:$AA$3,0)),0)</f>
        <v>0</v>
      </c>
      <c r="L1706" s="69">
        <f t="shared" si="54"/>
        <v>0</v>
      </c>
    </row>
    <row r="1707" spans="2:12" x14ac:dyDescent="0.85">
      <c r="B1707" s="48">
        <v>1700</v>
      </c>
      <c r="C1707" s="277"/>
      <c r="D1707" s="284"/>
      <c r="E1707" s="44"/>
      <c r="F1707" s="44"/>
      <c r="G1707" s="49">
        <v>1</v>
      </c>
      <c r="H1707" s="73"/>
      <c r="I1707" s="44"/>
      <c r="J1707" s="48">
        <f t="shared" si="53"/>
        <v>1</v>
      </c>
      <c r="K1707" s="48">
        <f>IFERROR(INDEX(TarrifTable,MATCH(Elements!E1707,Constants!$V$4:$V$7,0),MATCH(Elements!F1707,Constants!$W$3:$AA$3,0)),0)</f>
        <v>0</v>
      </c>
      <c r="L1707" s="68">
        <f t="shared" si="54"/>
        <v>0</v>
      </c>
    </row>
    <row r="1708" spans="2:12" x14ac:dyDescent="0.85">
      <c r="B1708" s="46">
        <v>1701</v>
      </c>
      <c r="C1708" s="276"/>
      <c r="D1708" s="283"/>
      <c r="E1708" s="10"/>
      <c r="F1708" s="10"/>
      <c r="G1708" s="47">
        <v>1</v>
      </c>
      <c r="H1708" s="72"/>
      <c r="I1708" s="10"/>
      <c r="J1708" s="46">
        <f t="shared" si="53"/>
        <v>1</v>
      </c>
      <c r="K1708" s="46">
        <f>IFERROR(INDEX(TarrifTable,MATCH(Elements!E1708,Constants!$V$4:$V$7,0),MATCH(Elements!F1708,Constants!$W$3:$AA$3,0)),0)</f>
        <v>0</v>
      </c>
      <c r="L1708" s="69">
        <f t="shared" si="54"/>
        <v>0</v>
      </c>
    </row>
    <row r="1709" spans="2:12" x14ac:dyDescent="0.85">
      <c r="B1709" s="48">
        <v>1702</v>
      </c>
      <c r="C1709" s="277"/>
      <c r="D1709" s="284"/>
      <c r="E1709" s="44"/>
      <c r="F1709" s="44"/>
      <c r="G1709" s="49">
        <v>1</v>
      </c>
      <c r="H1709" s="73"/>
      <c r="I1709" s="44"/>
      <c r="J1709" s="48">
        <f t="shared" si="53"/>
        <v>1</v>
      </c>
      <c r="K1709" s="48">
        <f>IFERROR(INDEX(TarrifTable,MATCH(Elements!E1709,Constants!$V$4:$V$7,0),MATCH(Elements!F1709,Constants!$W$3:$AA$3,0)),0)</f>
        <v>0</v>
      </c>
      <c r="L1709" s="68">
        <f t="shared" si="54"/>
        <v>0</v>
      </c>
    </row>
    <row r="1710" spans="2:12" x14ac:dyDescent="0.85">
      <c r="B1710" s="46">
        <v>1703</v>
      </c>
      <c r="C1710" s="276"/>
      <c r="D1710" s="283"/>
      <c r="E1710" s="10"/>
      <c r="F1710" s="10"/>
      <c r="G1710" s="47">
        <v>1</v>
      </c>
      <c r="H1710" s="72"/>
      <c r="I1710" s="10"/>
      <c r="J1710" s="46">
        <f t="shared" si="53"/>
        <v>1</v>
      </c>
      <c r="K1710" s="46">
        <f>IFERROR(INDEX(TarrifTable,MATCH(Elements!E1710,Constants!$V$4:$V$7,0),MATCH(Elements!F1710,Constants!$W$3:$AA$3,0)),0)</f>
        <v>0</v>
      </c>
      <c r="L1710" s="69">
        <f t="shared" si="54"/>
        <v>0</v>
      </c>
    </row>
    <row r="1711" spans="2:12" x14ac:dyDescent="0.85">
      <c r="B1711" s="48">
        <v>1704</v>
      </c>
      <c r="C1711" s="277"/>
      <c r="D1711" s="284"/>
      <c r="E1711" s="44"/>
      <c r="F1711" s="44"/>
      <c r="G1711" s="49">
        <v>1</v>
      </c>
      <c r="H1711" s="73"/>
      <c r="I1711" s="44"/>
      <c r="J1711" s="48">
        <f t="shared" si="53"/>
        <v>1</v>
      </c>
      <c r="K1711" s="48">
        <f>IFERROR(INDEX(TarrifTable,MATCH(Elements!E1711,Constants!$V$4:$V$7,0),MATCH(Elements!F1711,Constants!$W$3:$AA$3,0)),0)</f>
        <v>0</v>
      </c>
      <c r="L1711" s="68">
        <f t="shared" si="54"/>
        <v>0</v>
      </c>
    </row>
    <row r="1712" spans="2:12" x14ac:dyDescent="0.85">
      <c r="B1712" s="46">
        <v>1705</v>
      </c>
      <c r="C1712" s="276"/>
      <c r="D1712" s="283"/>
      <c r="E1712" s="10"/>
      <c r="F1712" s="10"/>
      <c r="G1712" s="47">
        <v>1</v>
      </c>
      <c r="H1712" s="72"/>
      <c r="I1712" s="10"/>
      <c r="J1712" s="46">
        <f t="shared" si="53"/>
        <v>1</v>
      </c>
      <c r="K1712" s="46">
        <f>IFERROR(INDEX(TarrifTable,MATCH(Elements!E1712,Constants!$V$4:$V$7,0),MATCH(Elements!F1712,Constants!$W$3:$AA$3,0)),0)</f>
        <v>0</v>
      </c>
      <c r="L1712" s="69">
        <f t="shared" si="54"/>
        <v>0</v>
      </c>
    </row>
    <row r="1713" spans="2:12" x14ac:dyDescent="0.85">
      <c r="B1713" s="48">
        <v>1706</v>
      </c>
      <c r="C1713" s="277"/>
      <c r="D1713" s="284"/>
      <c r="E1713" s="44"/>
      <c r="F1713" s="44"/>
      <c r="G1713" s="49">
        <v>1</v>
      </c>
      <c r="H1713" s="73"/>
      <c r="I1713" s="44"/>
      <c r="J1713" s="48">
        <f t="shared" si="53"/>
        <v>1</v>
      </c>
      <c r="K1713" s="48">
        <f>IFERROR(INDEX(TarrifTable,MATCH(Elements!E1713,Constants!$V$4:$V$7,0),MATCH(Elements!F1713,Constants!$W$3:$AA$3,0)),0)</f>
        <v>0</v>
      </c>
      <c r="L1713" s="68">
        <f t="shared" si="54"/>
        <v>0</v>
      </c>
    </row>
    <row r="1714" spans="2:12" x14ac:dyDescent="0.85">
      <c r="B1714" s="46">
        <v>1707</v>
      </c>
      <c r="C1714" s="276"/>
      <c r="D1714" s="283"/>
      <c r="E1714" s="10"/>
      <c r="F1714" s="10"/>
      <c r="G1714" s="47">
        <v>1</v>
      </c>
      <c r="H1714" s="72"/>
      <c r="I1714" s="10"/>
      <c r="J1714" s="46">
        <f t="shared" si="53"/>
        <v>1</v>
      </c>
      <c r="K1714" s="46">
        <f>IFERROR(INDEX(TarrifTable,MATCH(Elements!E1714,Constants!$V$4:$V$7,0),MATCH(Elements!F1714,Constants!$W$3:$AA$3,0)),0)</f>
        <v>0</v>
      </c>
      <c r="L1714" s="69">
        <f t="shared" si="54"/>
        <v>0</v>
      </c>
    </row>
    <row r="1715" spans="2:12" x14ac:dyDescent="0.85">
      <c r="B1715" s="48">
        <v>1708</v>
      </c>
      <c r="C1715" s="277"/>
      <c r="D1715" s="284"/>
      <c r="E1715" s="44"/>
      <c r="F1715" s="44"/>
      <c r="G1715" s="49">
        <v>1</v>
      </c>
      <c r="H1715" s="73"/>
      <c r="I1715" s="44"/>
      <c r="J1715" s="48">
        <f t="shared" si="53"/>
        <v>1</v>
      </c>
      <c r="K1715" s="48">
        <f>IFERROR(INDEX(TarrifTable,MATCH(Elements!E1715,Constants!$V$4:$V$7,0),MATCH(Elements!F1715,Constants!$W$3:$AA$3,0)),0)</f>
        <v>0</v>
      </c>
      <c r="L1715" s="68">
        <f t="shared" si="54"/>
        <v>0</v>
      </c>
    </row>
    <row r="1716" spans="2:12" x14ac:dyDescent="0.85">
      <c r="B1716" s="46">
        <v>1709</v>
      </c>
      <c r="C1716" s="276"/>
      <c r="D1716" s="283"/>
      <c r="E1716" s="10"/>
      <c r="F1716" s="10"/>
      <c r="G1716" s="47">
        <v>1</v>
      </c>
      <c r="H1716" s="72"/>
      <c r="I1716" s="10"/>
      <c r="J1716" s="46">
        <f t="shared" si="53"/>
        <v>1</v>
      </c>
      <c r="K1716" s="46">
        <f>IFERROR(INDEX(TarrifTable,MATCH(Elements!E1716,Constants!$V$4:$V$7,0),MATCH(Elements!F1716,Constants!$W$3:$AA$3,0)),0)</f>
        <v>0</v>
      </c>
      <c r="L1716" s="69">
        <f t="shared" si="54"/>
        <v>0</v>
      </c>
    </row>
    <row r="1717" spans="2:12" x14ac:dyDescent="0.85">
      <c r="B1717" s="48">
        <v>1710</v>
      </c>
      <c r="C1717" s="277"/>
      <c r="D1717" s="284"/>
      <c r="E1717" s="44"/>
      <c r="F1717" s="44"/>
      <c r="G1717" s="49">
        <v>1</v>
      </c>
      <c r="H1717" s="73"/>
      <c r="I1717" s="44"/>
      <c r="J1717" s="48">
        <f t="shared" si="53"/>
        <v>1</v>
      </c>
      <c r="K1717" s="48">
        <f>IFERROR(INDEX(TarrifTable,MATCH(Elements!E1717,Constants!$V$4:$V$7,0),MATCH(Elements!F1717,Constants!$W$3:$AA$3,0)),0)</f>
        <v>0</v>
      </c>
      <c r="L1717" s="68">
        <f t="shared" si="54"/>
        <v>0</v>
      </c>
    </row>
    <row r="1718" spans="2:12" x14ac:dyDescent="0.85">
      <c r="B1718" s="46">
        <v>1711</v>
      </c>
      <c r="C1718" s="276"/>
      <c r="D1718" s="283"/>
      <c r="E1718" s="10"/>
      <c r="F1718" s="10"/>
      <c r="G1718" s="47">
        <v>1</v>
      </c>
      <c r="H1718" s="72"/>
      <c r="I1718" s="10"/>
      <c r="J1718" s="46">
        <f t="shared" si="53"/>
        <v>1</v>
      </c>
      <c r="K1718" s="46">
        <f>IFERROR(INDEX(TarrifTable,MATCH(Elements!E1718,Constants!$V$4:$V$7,0),MATCH(Elements!F1718,Constants!$W$3:$AA$3,0)),0)</f>
        <v>0</v>
      </c>
      <c r="L1718" s="69">
        <f t="shared" si="54"/>
        <v>0</v>
      </c>
    </row>
    <row r="1719" spans="2:12" x14ac:dyDescent="0.85">
      <c r="B1719" s="48">
        <v>1712</v>
      </c>
      <c r="C1719" s="277"/>
      <c r="D1719" s="284"/>
      <c r="E1719" s="44"/>
      <c r="F1719" s="44"/>
      <c r="G1719" s="49">
        <v>1</v>
      </c>
      <c r="H1719" s="73"/>
      <c r="I1719" s="44"/>
      <c r="J1719" s="48">
        <f t="shared" si="53"/>
        <v>1</v>
      </c>
      <c r="K1719" s="48">
        <f>IFERROR(INDEX(TarrifTable,MATCH(Elements!E1719,Constants!$V$4:$V$7,0),MATCH(Elements!F1719,Constants!$W$3:$AA$3,0)),0)</f>
        <v>0</v>
      </c>
      <c r="L1719" s="68">
        <f t="shared" si="54"/>
        <v>0</v>
      </c>
    </row>
    <row r="1720" spans="2:12" x14ac:dyDescent="0.85">
      <c r="B1720" s="46">
        <v>1713</v>
      </c>
      <c r="C1720" s="276"/>
      <c r="D1720" s="283"/>
      <c r="E1720" s="10"/>
      <c r="F1720" s="10"/>
      <c r="G1720" s="47">
        <v>1</v>
      </c>
      <c r="H1720" s="72"/>
      <c r="I1720" s="10"/>
      <c r="J1720" s="46">
        <f t="shared" si="53"/>
        <v>1</v>
      </c>
      <c r="K1720" s="46">
        <f>IFERROR(INDEX(TarrifTable,MATCH(Elements!E1720,Constants!$V$4:$V$7,0),MATCH(Elements!F1720,Constants!$W$3:$AA$3,0)),0)</f>
        <v>0</v>
      </c>
      <c r="L1720" s="69">
        <f t="shared" si="54"/>
        <v>0</v>
      </c>
    </row>
    <row r="1721" spans="2:12" x14ac:dyDescent="0.85">
      <c r="B1721" s="48">
        <v>1714</v>
      </c>
      <c r="C1721" s="277"/>
      <c r="D1721" s="284"/>
      <c r="E1721" s="44"/>
      <c r="F1721" s="44"/>
      <c r="G1721" s="49">
        <v>1</v>
      </c>
      <c r="H1721" s="73"/>
      <c r="I1721" s="44"/>
      <c r="J1721" s="48">
        <f t="shared" si="53"/>
        <v>1</v>
      </c>
      <c r="K1721" s="48">
        <f>IFERROR(INDEX(TarrifTable,MATCH(Elements!E1721,Constants!$V$4:$V$7,0),MATCH(Elements!F1721,Constants!$W$3:$AA$3,0)),0)</f>
        <v>0</v>
      </c>
      <c r="L1721" s="68">
        <f t="shared" si="54"/>
        <v>0</v>
      </c>
    </row>
    <row r="1722" spans="2:12" x14ac:dyDescent="0.85">
      <c r="B1722" s="46">
        <v>1715</v>
      </c>
      <c r="C1722" s="276"/>
      <c r="D1722" s="283"/>
      <c r="E1722" s="10"/>
      <c r="F1722" s="10"/>
      <c r="G1722" s="47">
        <v>1</v>
      </c>
      <c r="H1722" s="72"/>
      <c r="I1722" s="10"/>
      <c r="J1722" s="46">
        <f t="shared" si="53"/>
        <v>1</v>
      </c>
      <c r="K1722" s="46">
        <f>IFERROR(INDEX(TarrifTable,MATCH(Elements!E1722,Constants!$V$4:$V$7,0),MATCH(Elements!F1722,Constants!$W$3:$AA$3,0)),0)</f>
        <v>0</v>
      </c>
      <c r="L1722" s="69">
        <f t="shared" si="54"/>
        <v>0</v>
      </c>
    </row>
    <row r="1723" spans="2:12" x14ac:dyDescent="0.85">
      <c r="B1723" s="48">
        <v>1716</v>
      </c>
      <c r="C1723" s="277"/>
      <c r="D1723" s="284"/>
      <c r="E1723" s="44"/>
      <c r="F1723" s="44"/>
      <c r="G1723" s="49">
        <v>1</v>
      </c>
      <c r="H1723" s="73"/>
      <c r="I1723" s="44"/>
      <c r="J1723" s="48">
        <f t="shared" si="53"/>
        <v>1</v>
      </c>
      <c r="K1723" s="48">
        <f>IFERROR(INDEX(TarrifTable,MATCH(Elements!E1723,Constants!$V$4:$V$7,0),MATCH(Elements!F1723,Constants!$W$3:$AA$3,0)),0)</f>
        <v>0</v>
      </c>
      <c r="L1723" s="68">
        <f t="shared" si="54"/>
        <v>0</v>
      </c>
    </row>
    <row r="1724" spans="2:12" x14ac:dyDescent="0.85">
      <c r="B1724" s="46">
        <v>1717</v>
      </c>
      <c r="C1724" s="276"/>
      <c r="D1724" s="283"/>
      <c r="E1724" s="10"/>
      <c r="F1724" s="10"/>
      <c r="G1724" s="47">
        <v>1</v>
      </c>
      <c r="H1724" s="72"/>
      <c r="I1724" s="10"/>
      <c r="J1724" s="46">
        <f t="shared" si="53"/>
        <v>1</v>
      </c>
      <c r="K1724" s="46">
        <f>IFERROR(INDEX(TarrifTable,MATCH(Elements!E1724,Constants!$V$4:$V$7,0),MATCH(Elements!F1724,Constants!$W$3:$AA$3,0)),0)</f>
        <v>0</v>
      </c>
      <c r="L1724" s="69">
        <f t="shared" si="54"/>
        <v>0</v>
      </c>
    </row>
    <row r="1725" spans="2:12" x14ac:dyDescent="0.85">
      <c r="B1725" s="48">
        <v>1718</v>
      </c>
      <c r="C1725" s="277"/>
      <c r="D1725" s="284"/>
      <c r="E1725" s="44"/>
      <c r="F1725" s="44"/>
      <c r="G1725" s="49">
        <v>1</v>
      </c>
      <c r="H1725" s="73"/>
      <c r="I1725" s="44"/>
      <c r="J1725" s="48">
        <f t="shared" si="53"/>
        <v>1</v>
      </c>
      <c r="K1725" s="48">
        <f>IFERROR(INDEX(TarrifTable,MATCH(Elements!E1725,Constants!$V$4:$V$7,0),MATCH(Elements!F1725,Constants!$W$3:$AA$3,0)),0)</f>
        <v>0</v>
      </c>
      <c r="L1725" s="68">
        <f t="shared" si="54"/>
        <v>0</v>
      </c>
    </row>
    <row r="1726" spans="2:12" x14ac:dyDescent="0.85">
      <c r="B1726" s="46">
        <v>1719</v>
      </c>
      <c r="C1726" s="276"/>
      <c r="D1726" s="283"/>
      <c r="E1726" s="10"/>
      <c r="F1726" s="10"/>
      <c r="G1726" s="47">
        <v>1</v>
      </c>
      <c r="H1726" s="72"/>
      <c r="I1726" s="10"/>
      <c r="J1726" s="46">
        <f t="shared" si="53"/>
        <v>1</v>
      </c>
      <c r="K1726" s="46">
        <f>IFERROR(INDEX(TarrifTable,MATCH(Elements!E1726,Constants!$V$4:$V$7,0),MATCH(Elements!F1726,Constants!$W$3:$AA$3,0)),0)</f>
        <v>0</v>
      </c>
      <c r="L1726" s="69">
        <f t="shared" si="54"/>
        <v>0</v>
      </c>
    </row>
    <row r="1727" spans="2:12" x14ac:dyDescent="0.85">
      <c r="B1727" s="48">
        <v>1720</v>
      </c>
      <c r="C1727" s="277"/>
      <c r="D1727" s="284"/>
      <c r="E1727" s="44"/>
      <c r="F1727" s="44"/>
      <c r="G1727" s="49">
        <v>1</v>
      </c>
      <c r="H1727" s="73"/>
      <c r="I1727" s="44"/>
      <c r="J1727" s="48">
        <f t="shared" si="53"/>
        <v>1</v>
      </c>
      <c r="K1727" s="48">
        <f>IFERROR(INDEX(TarrifTable,MATCH(Elements!E1727,Constants!$V$4:$V$7,0),MATCH(Elements!F1727,Constants!$W$3:$AA$3,0)),0)</f>
        <v>0</v>
      </c>
      <c r="L1727" s="68">
        <f t="shared" si="54"/>
        <v>0</v>
      </c>
    </row>
    <row r="1728" spans="2:12" x14ac:dyDescent="0.85">
      <c r="B1728" s="46">
        <v>1721</v>
      </c>
      <c r="C1728" s="276"/>
      <c r="D1728" s="283"/>
      <c r="E1728" s="10"/>
      <c r="F1728" s="10"/>
      <c r="G1728" s="47">
        <v>1</v>
      </c>
      <c r="H1728" s="72"/>
      <c r="I1728" s="10"/>
      <c r="J1728" s="46">
        <f t="shared" si="53"/>
        <v>1</v>
      </c>
      <c r="K1728" s="46">
        <f>IFERROR(INDEX(TarrifTable,MATCH(Elements!E1728,Constants!$V$4:$V$7,0),MATCH(Elements!F1728,Constants!$W$3:$AA$3,0)),0)</f>
        <v>0</v>
      </c>
      <c r="L1728" s="69">
        <f t="shared" si="54"/>
        <v>0</v>
      </c>
    </row>
    <row r="1729" spans="2:12" x14ac:dyDescent="0.85">
      <c r="B1729" s="48">
        <v>1722</v>
      </c>
      <c r="C1729" s="277"/>
      <c r="D1729" s="284"/>
      <c r="E1729" s="44"/>
      <c r="F1729" s="44"/>
      <c r="G1729" s="49">
        <v>1</v>
      </c>
      <c r="H1729" s="73"/>
      <c r="I1729" s="44"/>
      <c r="J1729" s="48">
        <f t="shared" si="53"/>
        <v>1</v>
      </c>
      <c r="K1729" s="48">
        <f>IFERROR(INDEX(TarrifTable,MATCH(Elements!E1729,Constants!$V$4:$V$7,0),MATCH(Elements!F1729,Constants!$W$3:$AA$3,0)),0)</f>
        <v>0</v>
      </c>
      <c r="L1729" s="68">
        <f t="shared" si="54"/>
        <v>0</v>
      </c>
    </row>
    <row r="1730" spans="2:12" x14ac:dyDescent="0.85">
      <c r="B1730" s="46">
        <v>1723</v>
      </c>
      <c r="C1730" s="276"/>
      <c r="D1730" s="283"/>
      <c r="E1730" s="10"/>
      <c r="F1730" s="10"/>
      <c r="G1730" s="47">
        <v>1</v>
      </c>
      <c r="H1730" s="72"/>
      <c r="I1730" s="10"/>
      <c r="J1730" s="46">
        <f t="shared" si="53"/>
        <v>1</v>
      </c>
      <c r="K1730" s="46">
        <f>IFERROR(INDEX(TarrifTable,MATCH(Elements!E1730,Constants!$V$4:$V$7,0),MATCH(Elements!F1730,Constants!$W$3:$AA$3,0)),0)</f>
        <v>0</v>
      </c>
      <c r="L1730" s="69">
        <f t="shared" si="54"/>
        <v>0</v>
      </c>
    </row>
    <row r="1731" spans="2:12" x14ac:dyDescent="0.85">
      <c r="B1731" s="48">
        <v>1724</v>
      </c>
      <c r="C1731" s="277"/>
      <c r="D1731" s="284"/>
      <c r="E1731" s="44"/>
      <c r="F1731" s="44"/>
      <c r="G1731" s="49">
        <v>1</v>
      </c>
      <c r="H1731" s="73"/>
      <c r="I1731" s="44"/>
      <c r="J1731" s="48">
        <f t="shared" si="53"/>
        <v>1</v>
      </c>
      <c r="K1731" s="48">
        <f>IFERROR(INDEX(TarrifTable,MATCH(Elements!E1731,Constants!$V$4:$V$7,0),MATCH(Elements!F1731,Constants!$W$3:$AA$3,0)),0)</f>
        <v>0</v>
      </c>
      <c r="L1731" s="68">
        <f t="shared" si="54"/>
        <v>0</v>
      </c>
    </row>
    <row r="1732" spans="2:12" x14ac:dyDescent="0.85">
      <c r="B1732" s="46">
        <v>1725</v>
      </c>
      <c r="C1732" s="276"/>
      <c r="D1732" s="283"/>
      <c r="E1732" s="10"/>
      <c r="F1732" s="10"/>
      <c r="G1732" s="47">
        <v>1</v>
      </c>
      <c r="H1732" s="72"/>
      <c r="I1732" s="10"/>
      <c r="J1732" s="46">
        <f t="shared" si="53"/>
        <v>1</v>
      </c>
      <c r="K1732" s="46">
        <f>IFERROR(INDEX(TarrifTable,MATCH(Elements!E1732,Constants!$V$4:$V$7,0),MATCH(Elements!F1732,Constants!$W$3:$AA$3,0)),0)</f>
        <v>0</v>
      </c>
      <c r="L1732" s="69">
        <f t="shared" si="54"/>
        <v>0</v>
      </c>
    </row>
    <row r="1733" spans="2:12" x14ac:dyDescent="0.85">
      <c r="B1733" s="48">
        <v>1726</v>
      </c>
      <c r="C1733" s="277"/>
      <c r="D1733" s="284"/>
      <c r="E1733" s="44"/>
      <c r="F1733" s="44"/>
      <c r="G1733" s="49">
        <v>1</v>
      </c>
      <c r="H1733" s="73"/>
      <c r="I1733" s="44"/>
      <c r="J1733" s="48">
        <f t="shared" si="53"/>
        <v>1</v>
      </c>
      <c r="K1733" s="48">
        <f>IFERROR(INDEX(TarrifTable,MATCH(Elements!E1733,Constants!$V$4:$V$7,0),MATCH(Elements!F1733,Constants!$W$3:$AA$3,0)),0)</f>
        <v>0</v>
      </c>
      <c r="L1733" s="68">
        <f t="shared" si="54"/>
        <v>0</v>
      </c>
    </row>
    <row r="1734" spans="2:12" x14ac:dyDescent="0.85">
      <c r="B1734" s="46">
        <v>1727</v>
      </c>
      <c r="C1734" s="276"/>
      <c r="D1734" s="283"/>
      <c r="E1734" s="10"/>
      <c r="F1734" s="10"/>
      <c r="G1734" s="47">
        <v>1</v>
      </c>
      <c r="H1734" s="72"/>
      <c r="I1734" s="10"/>
      <c r="J1734" s="46">
        <f t="shared" si="53"/>
        <v>1</v>
      </c>
      <c r="K1734" s="46">
        <f>IFERROR(INDEX(TarrifTable,MATCH(Elements!E1734,Constants!$V$4:$V$7,0),MATCH(Elements!F1734,Constants!$W$3:$AA$3,0)),0)</f>
        <v>0</v>
      </c>
      <c r="L1734" s="69">
        <f t="shared" si="54"/>
        <v>0</v>
      </c>
    </row>
    <row r="1735" spans="2:12" x14ac:dyDescent="0.85">
      <c r="B1735" s="48">
        <v>1728</v>
      </c>
      <c r="C1735" s="277"/>
      <c r="D1735" s="284"/>
      <c r="E1735" s="44"/>
      <c r="F1735" s="44"/>
      <c r="G1735" s="49">
        <v>1</v>
      </c>
      <c r="H1735" s="73"/>
      <c r="I1735" s="44"/>
      <c r="J1735" s="48">
        <f t="shared" si="53"/>
        <v>1</v>
      </c>
      <c r="K1735" s="48">
        <f>IFERROR(INDEX(TarrifTable,MATCH(Elements!E1735,Constants!$V$4:$V$7,0),MATCH(Elements!F1735,Constants!$W$3:$AA$3,0)),0)</f>
        <v>0</v>
      </c>
      <c r="L1735" s="68">
        <f t="shared" si="54"/>
        <v>0</v>
      </c>
    </row>
    <row r="1736" spans="2:12" x14ac:dyDescent="0.85">
      <c r="B1736" s="46">
        <v>1729</v>
      </c>
      <c r="C1736" s="276"/>
      <c r="D1736" s="283"/>
      <c r="E1736" s="10"/>
      <c r="F1736" s="10"/>
      <c r="G1736" s="47">
        <v>1</v>
      </c>
      <c r="H1736" s="72"/>
      <c r="I1736" s="10"/>
      <c r="J1736" s="46">
        <f t="shared" ref="J1736:J1799" si="55">IF(ISBLANK(H1736),1,H1736)</f>
        <v>1</v>
      </c>
      <c r="K1736" s="46">
        <f>IFERROR(INDEX(TarrifTable,MATCH(Elements!E1736,Constants!$V$4:$V$7,0),MATCH(Elements!F1736,Constants!$W$3:$AA$3,0)),0)</f>
        <v>0</v>
      </c>
      <c r="L1736" s="69">
        <f t="shared" ref="L1736:L1799" si="56">J1736*G1736*K1736</f>
        <v>0</v>
      </c>
    </row>
    <row r="1737" spans="2:12" x14ac:dyDescent="0.85">
      <c r="B1737" s="48">
        <v>1730</v>
      </c>
      <c r="C1737" s="277"/>
      <c r="D1737" s="284"/>
      <c r="E1737" s="44"/>
      <c r="F1737" s="44"/>
      <c r="G1737" s="49">
        <v>1</v>
      </c>
      <c r="H1737" s="73"/>
      <c r="I1737" s="44"/>
      <c r="J1737" s="48">
        <f t="shared" si="55"/>
        <v>1</v>
      </c>
      <c r="K1737" s="48">
        <f>IFERROR(INDEX(TarrifTable,MATCH(Elements!E1737,Constants!$V$4:$V$7,0),MATCH(Elements!F1737,Constants!$W$3:$AA$3,0)),0)</f>
        <v>0</v>
      </c>
      <c r="L1737" s="68">
        <f t="shared" si="56"/>
        <v>0</v>
      </c>
    </row>
    <row r="1738" spans="2:12" x14ac:dyDescent="0.85">
      <c r="B1738" s="46">
        <v>1731</v>
      </c>
      <c r="C1738" s="276"/>
      <c r="D1738" s="283"/>
      <c r="E1738" s="10"/>
      <c r="F1738" s="10"/>
      <c r="G1738" s="47">
        <v>1</v>
      </c>
      <c r="H1738" s="72"/>
      <c r="I1738" s="10"/>
      <c r="J1738" s="46">
        <f t="shared" si="55"/>
        <v>1</v>
      </c>
      <c r="K1738" s="46">
        <f>IFERROR(INDEX(TarrifTable,MATCH(Elements!E1738,Constants!$V$4:$V$7,0),MATCH(Elements!F1738,Constants!$W$3:$AA$3,0)),0)</f>
        <v>0</v>
      </c>
      <c r="L1738" s="69">
        <f t="shared" si="56"/>
        <v>0</v>
      </c>
    </row>
    <row r="1739" spans="2:12" x14ac:dyDescent="0.85">
      <c r="B1739" s="48">
        <v>1732</v>
      </c>
      <c r="C1739" s="277"/>
      <c r="D1739" s="284"/>
      <c r="E1739" s="44"/>
      <c r="F1739" s="44"/>
      <c r="G1739" s="49">
        <v>1</v>
      </c>
      <c r="H1739" s="73"/>
      <c r="I1739" s="44"/>
      <c r="J1739" s="48">
        <f t="shared" si="55"/>
        <v>1</v>
      </c>
      <c r="K1739" s="48">
        <f>IFERROR(INDEX(TarrifTable,MATCH(Elements!E1739,Constants!$V$4:$V$7,0),MATCH(Elements!F1739,Constants!$W$3:$AA$3,0)),0)</f>
        <v>0</v>
      </c>
      <c r="L1739" s="68">
        <f t="shared" si="56"/>
        <v>0</v>
      </c>
    </row>
    <row r="1740" spans="2:12" x14ac:dyDescent="0.85">
      <c r="B1740" s="46">
        <v>1733</v>
      </c>
      <c r="C1740" s="276"/>
      <c r="D1740" s="283"/>
      <c r="E1740" s="10"/>
      <c r="F1740" s="10"/>
      <c r="G1740" s="47">
        <v>1</v>
      </c>
      <c r="H1740" s="72"/>
      <c r="I1740" s="10"/>
      <c r="J1740" s="46">
        <f t="shared" si="55"/>
        <v>1</v>
      </c>
      <c r="K1740" s="46">
        <f>IFERROR(INDEX(TarrifTable,MATCH(Elements!E1740,Constants!$V$4:$V$7,0),MATCH(Elements!F1740,Constants!$W$3:$AA$3,0)),0)</f>
        <v>0</v>
      </c>
      <c r="L1740" s="69">
        <f t="shared" si="56"/>
        <v>0</v>
      </c>
    </row>
    <row r="1741" spans="2:12" x14ac:dyDescent="0.85">
      <c r="B1741" s="48">
        <v>1734</v>
      </c>
      <c r="C1741" s="277"/>
      <c r="D1741" s="284"/>
      <c r="E1741" s="44"/>
      <c r="F1741" s="44"/>
      <c r="G1741" s="49">
        <v>1</v>
      </c>
      <c r="H1741" s="73"/>
      <c r="I1741" s="44"/>
      <c r="J1741" s="48">
        <f t="shared" si="55"/>
        <v>1</v>
      </c>
      <c r="K1741" s="48">
        <f>IFERROR(INDEX(TarrifTable,MATCH(Elements!E1741,Constants!$V$4:$V$7,0),MATCH(Elements!F1741,Constants!$W$3:$AA$3,0)),0)</f>
        <v>0</v>
      </c>
      <c r="L1741" s="68">
        <f t="shared" si="56"/>
        <v>0</v>
      </c>
    </row>
    <row r="1742" spans="2:12" x14ac:dyDescent="0.85">
      <c r="B1742" s="46">
        <v>1735</v>
      </c>
      <c r="C1742" s="276"/>
      <c r="D1742" s="283"/>
      <c r="E1742" s="10"/>
      <c r="F1742" s="10"/>
      <c r="G1742" s="47">
        <v>1</v>
      </c>
      <c r="H1742" s="72"/>
      <c r="I1742" s="10"/>
      <c r="J1742" s="46">
        <f t="shared" si="55"/>
        <v>1</v>
      </c>
      <c r="K1742" s="46">
        <f>IFERROR(INDEX(TarrifTable,MATCH(Elements!E1742,Constants!$V$4:$V$7,0),MATCH(Elements!F1742,Constants!$W$3:$AA$3,0)),0)</f>
        <v>0</v>
      </c>
      <c r="L1742" s="69">
        <f t="shared" si="56"/>
        <v>0</v>
      </c>
    </row>
    <row r="1743" spans="2:12" x14ac:dyDescent="0.85">
      <c r="B1743" s="48">
        <v>1736</v>
      </c>
      <c r="C1743" s="277"/>
      <c r="D1743" s="284"/>
      <c r="E1743" s="44"/>
      <c r="F1743" s="44"/>
      <c r="G1743" s="49">
        <v>1</v>
      </c>
      <c r="H1743" s="73"/>
      <c r="I1743" s="44"/>
      <c r="J1743" s="48">
        <f t="shared" si="55"/>
        <v>1</v>
      </c>
      <c r="K1743" s="48">
        <f>IFERROR(INDEX(TarrifTable,MATCH(Elements!E1743,Constants!$V$4:$V$7,0),MATCH(Elements!F1743,Constants!$W$3:$AA$3,0)),0)</f>
        <v>0</v>
      </c>
      <c r="L1743" s="68">
        <f t="shared" si="56"/>
        <v>0</v>
      </c>
    </row>
    <row r="1744" spans="2:12" x14ac:dyDescent="0.85">
      <c r="B1744" s="46">
        <v>1737</v>
      </c>
      <c r="C1744" s="276"/>
      <c r="D1744" s="283"/>
      <c r="E1744" s="10"/>
      <c r="F1744" s="10"/>
      <c r="G1744" s="47">
        <v>1</v>
      </c>
      <c r="H1744" s="72"/>
      <c r="I1744" s="10"/>
      <c r="J1744" s="46">
        <f t="shared" si="55"/>
        <v>1</v>
      </c>
      <c r="K1744" s="46">
        <f>IFERROR(INDEX(TarrifTable,MATCH(Elements!E1744,Constants!$V$4:$V$7,0),MATCH(Elements!F1744,Constants!$W$3:$AA$3,0)),0)</f>
        <v>0</v>
      </c>
      <c r="L1744" s="69">
        <f t="shared" si="56"/>
        <v>0</v>
      </c>
    </row>
    <row r="1745" spans="2:12" x14ac:dyDescent="0.85">
      <c r="B1745" s="48">
        <v>1738</v>
      </c>
      <c r="C1745" s="277"/>
      <c r="D1745" s="284"/>
      <c r="E1745" s="44"/>
      <c r="F1745" s="44"/>
      <c r="G1745" s="49">
        <v>1</v>
      </c>
      <c r="H1745" s="73"/>
      <c r="I1745" s="44"/>
      <c r="J1745" s="48">
        <f t="shared" si="55"/>
        <v>1</v>
      </c>
      <c r="K1745" s="48">
        <f>IFERROR(INDEX(TarrifTable,MATCH(Elements!E1745,Constants!$V$4:$V$7,0),MATCH(Elements!F1745,Constants!$W$3:$AA$3,0)),0)</f>
        <v>0</v>
      </c>
      <c r="L1745" s="68">
        <f t="shared" si="56"/>
        <v>0</v>
      </c>
    </row>
    <row r="1746" spans="2:12" x14ac:dyDescent="0.85">
      <c r="B1746" s="46">
        <v>1739</v>
      </c>
      <c r="C1746" s="276"/>
      <c r="D1746" s="283"/>
      <c r="E1746" s="10"/>
      <c r="F1746" s="10"/>
      <c r="G1746" s="47">
        <v>1</v>
      </c>
      <c r="H1746" s="72"/>
      <c r="I1746" s="10"/>
      <c r="J1746" s="46">
        <f t="shared" si="55"/>
        <v>1</v>
      </c>
      <c r="K1746" s="46">
        <f>IFERROR(INDEX(TarrifTable,MATCH(Elements!E1746,Constants!$V$4:$V$7,0),MATCH(Elements!F1746,Constants!$W$3:$AA$3,0)),0)</f>
        <v>0</v>
      </c>
      <c r="L1746" s="69">
        <f t="shared" si="56"/>
        <v>0</v>
      </c>
    </row>
    <row r="1747" spans="2:12" x14ac:dyDescent="0.85">
      <c r="B1747" s="48">
        <v>1740</v>
      </c>
      <c r="C1747" s="277"/>
      <c r="D1747" s="284"/>
      <c r="E1747" s="44"/>
      <c r="F1747" s="44"/>
      <c r="G1747" s="49">
        <v>1</v>
      </c>
      <c r="H1747" s="73"/>
      <c r="I1747" s="44"/>
      <c r="J1747" s="48">
        <f t="shared" si="55"/>
        <v>1</v>
      </c>
      <c r="K1747" s="48">
        <f>IFERROR(INDEX(TarrifTable,MATCH(Elements!E1747,Constants!$V$4:$V$7,0),MATCH(Elements!F1747,Constants!$W$3:$AA$3,0)),0)</f>
        <v>0</v>
      </c>
      <c r="L1747" s="68">
        <f t="shared" si="56"/>
        <v>0</v>
      </c>
    </row>
    <row r="1748" spans="2:12" x14ac:dyDescent="0.85">
      <c r="B1748" s="46">
        <v>1741</v>
      </c>
      <c r="C1748" s="276"/>
      <c r="D1748" s="283"/>
      <c r="E1748" s="10"/>
      <c r="F1748" s="10"/>
      <c r="G1748" s="47">
        <v>1</v>
      </c>
      <c r="H1748" s="72"/>
      <c r="I1748" s="10"/>
      <c r="J1748" s="46">
        <f t="shared" si="55"/>
        <v>1</v>
      </c>
      <c r="K1748" s="46">
        <f>IFERROR(INDEX(TarrifTable,MATCH(Elements!E1748,Constants!$V$4:$V$7,0),MATCH(Elements!F1748,Constants!$W$3:$AA$3,0)),0)</f>
        <v>0</v>
      </c>
      <c r="L1748" s="69">
        <f t="shared" si="56"/>
        <v>0</v>
      </c>
    </row>
    <row r="1749" spans="2:12" x14ac:dyDescent="0.85">
      <c r="B1749" s="48">
        <v>1742</v>
      </c>
      <c r="C1749" s="277"/>
      <c r="D1749" s="284"/>
      <c r="E1749" s="44"/>
      <c r="F1749" s="44"/>
      <c r="G1749" s="49">
        <v>1</v>
      </c>
      <c r="H1749" s="73"/>
      <c r="I1749" s="44"/>
      <c r="J1749" s="48">
        <f t="shared" si="55"/>
        <v>1</v>
      </c>
      <c r="K1749" s="48">
        <f>IFERROR(INDEX(TarrifTable,MATCH(Elements!E1749,Constants!$V$4:$V$7,0),MATCH(Elements!F1749,Constants!$W$3:$AA$3,0)),0)</f>
        <v>0</v>
      </c>
      <c r="L1749" s="68">
        <f t="shared" si="56"/>
        <v>0</v>
      </c>
    </row>
    <row r="1750" spans="2:12" x14ac:dyDescent="0.85">
      <c r="B1750" s="46">
        <v>1743</v>
      </c>
      <c r="C1750" s="276"/>
      <c r="D1750" s="283"/>
      <c r="E1750" s="10"/>
      <c r="F1750" s="10"/>
      <c r="G1750" s="47">
        <v>1</v>
      </c>
      <c r="H1750" s="72"/>
      <c r="I1750" s="10"/>
      <c r="J1750" s="46">
        <f t="shared" si="55"/>
        <v>1</v>
      </c>
      <c r="K1750" s="46">
        <f>IFERROR(INDEX(TarrifTable,MATCH(Elements!E1750,Constants!$V$4:$V$7,0),MATCH(Elements!F1750,Constants!$W$3:$AA$3,0)),0)</f>
        <v>0</v>
      </c>
      <c r="L1750" s="69">
        <f t="shared" si="56"/>
        <v>0</v>
      </c>
    </row>
    <row r="1751" spans="2:12" x14ac:dyDescent="0.85">
      <c r="B1751" s="48">
        <v>1744</v>
      </c>
      <c r="C1751" s="277"/>
      <c r="D1751" s="284"/>
      <c r="E1751" s="44"/>
      <c r="F1751" s="44"/>
      <c r="G1751" s="49">
        <v>1</v>
      </c>
      <c r="H1751" s="73"/>
      <c r="I1751" s="44"/>
      <c r="J1751" s="48">
        <f t="shared" si="55"/>
        <v>1</v>
      </c>
      <c r="K1751" s="48">
        <f>IFERROR(INDEX(TarrifTable,MATCH(Elements!E1751,Constants!$V$4:$V$7,0),MATCH(Elements!F1751,Constants!$W$3:$AA$3,0)),0)</f>
        <v>0</v>
      </c>
      <c r="L1751" s="68">
        <f t="shared" si="56"/>
        <v>0</v>
      </c>
    </row>
    <row r="1752" spans="2:12" x14ac:dyDescent="0.85">
      <c r="B1752" s="46">
        <v>1745</v>
      </c>
      <c r="C1752" s="276"/>
      <c r="D1752" s="283"/>
      <c r="E1752" s="10"/>
      <c r="F1752" s="10"/>
      <c r="G1752" s="47">
        <v>1</v>
      </c>
      <c r="H1752" s="72"/>
      <c r="I1752" s="10"/>
      <c r="J1752" s="46">
        <f t="shared" si="55"/>
        <v>1</v>
      </c>
      <c r="K1752" s="46">
        <f>IFERROR(INDEX(TarrifTable,MATCH(Elements!E1752,Constants!$V$4:$V$7,0),MATCH(Elements!F1752,Constants!$W$3:$AA$3,0)),0)</f>
        <v>0</v>
      </c>
      <c r="L1752" s="69">
        <f t="shared" si="56"/>
        <v>0</v>
      </c>
    </row>
    <row r="1753" spans="2:12" x14ac:dyDescent="0.85">
      <c r="B1753" s="48">
        <v>1746</v>
      </c>
      <c r="C1753" s="277"/>
      <c r="D1753" s="284"/>
      <c r="E1753" s="44"/>
      <c r="F1753" s="44"/>
      <c r="G1753" s="49">
        <v>1</v>
      </c>
      <c r="H1753" s="73"/>
      <c r="I1753" s="44"/>
      <c r="J1753" s="48">
        <f t="shared" si="55"/>
        <v>1</v>
      </c>
      <c r="K1753" s="48">
        <f>IFERROR(INDEX(TarrifTable,MATCH(Elements!E1753,Constants!$V$4:$V$7,0),MATCH(Elements!F1753,Constants!$W$3:$AA$3,0)),0)</f>
        <v>0</v>
      </c>
      <c r="L1753" s="68">
        <f t="shared" si="56"/>
        <v>0</v>
      </c>
    </row>
    <row r="1754" spans="2:12" x14ac:dyDescent="0.85">
      <c r="B1754" s="46">
        <v>1747</v>
      </c>
      <c r="C1754" s="276"/>
      <c r="D1754" s="283"/>
      <c r="E1754" s="10"/>
      <c r="F1754" s="10"/>
      <c r="G1754" s="47">
        <v>1</v>
      </c>
      <c r="H1754" s="72"/>
      <c r="I1754" s="10"/>
      <c r="J1754" s="46">
        <f t="shared" si="55"/>
        <v>1</v>
      </c>
      <c r="K1754" s="46">
        <f>IFERROR(INDEX(TarrifTable,MATCH(Elements!E1754,Constants!$V$4:$V$7,0),MATCH(Elements!F1754,Constants!$W$3:$AA$3,0)),0)</f>
        <v>0</v>
      </c>
      <c r="L1754" s="69">
        <f t="shared" si="56"/>
        <v>0</v>
      </c>
    </row>
    <row r="1755" spans="2:12" x14ac:dyDescent="0.85">
      <c r="B1755" s="48">
        <v>1748</v>
      </c>
      <c r="C1755" s="277"/>
      <c r="D1755" s="284"/>
      <c r="E1755" s="44"/>
      <c r="F1755" s="44"/>
      <c r="G1755" s="49">
        <v>1</v>
      </c>
      <c r="H1755" s="73"/>
      <c r="I1755" s="44"/>
      <c r="J1755" s="48">
        <f t="shared" si="55"/>
        <v>1</v>
      </c>
      <c r="K1755" s="48">
        <f>IFERROR(INDEX(TarrifTable,MATCH(Elements!E1755,Constants!$V$4:$V$7,0),MATCH(Elements!F1755,Constants!$W$3:$AA$3,0)),0)</f>
        <v>0</v>
      </c>
      <c r="L1755" s="68">
        <f t="shared" si="56"/>
        <v>0</v>
      </c>
    </row>
    <row r="1756" spans="2:12" x14ac:dyDescent="0.85">
      <c r="B1756" s="46">
        <v>1749</v>
      </c>
      <c r="C1756" s="276"/>
      <c r="D1756" s="283"/>
      <c r="E1756" s="10"/>
      <c r="F1756" s="10"/>
      <c r="G1756" s="47">
        <v>1</v>
      </c>
      <c r="H1756" s="72"/>
      <c r="I1756" s="10"/>
      <c r="J1756" s="46">
        <f t="shared" si="55"/>
        <v>1</v>
      </c>
      <c r="K1756" s="46">
        <f>IFERROR(INDEX(TarrifTable,MATCH(Elements!E1756,Constants!$V$4:$V$7,0),MATCH(Elements!F1756,Constants!$W$3:$AA$3,0)),0)</f>
        <v>0</v>
      </c>
      <c r="L1756" s="69">
        <f t="shared" si="56"/>
        <v>0</v>
      </c>
    </row>
    <row r="1757" spans="2:12" x14ac:dyDescent="0.85">
      <c r="B1757" s="48">
        <v>1750</v>
      </c>
      <c r="C1757" s="277"/>
      <c r="D1757" s="284"/>
      <c r="E1757" s="44"/>
      <c r="F1757" s="44"/>
      <c r="G1757" s="49">
        <v>1</v>
      </c>
      <c r="H1757" s="73"/>
      <c r="I1757" s="44"/>
      <c r="J1757" s="48">
        <f t="shared" si="55"/>
        <v>1</v>
      </c>
      <c r="K1757" s="48">
        <f>IFERROR(INDEX(TarrifTable,MATCH(Elements!E1757,Constants!$V$4:$V$7,0),MATCH(Elements!F1757,Constants!$W$3:$AA$3,0)),0)</f>
        <v>0</v>
      </c>
      <c r="L1757" s="68">
        <f t="shared" si="56"/>
        <v>0</v>
      </c>
    </row>
    <row r="1758" spans="2:12" x14ac:dyDescent="0.85">
      <c r="B1758" s="46">
        <v>1751</v>
      </c>
      <c r="C1758" s="276"/>
      <c r="D1758" s="283"/>
      <c r="E1758" s="10"/>
      <c r="F1758" s="10"/>
      <c r="G1758" s="47">
        <v>1</v>
      </c>
      <c r="H1758" s="72"/>
      <c r="I1758" s="10"/>
      <c r="J1758" s="46">
        <f t="shared" si="55"/>
        <v>1</v>
      </c>
      <c r="K1758" s="46">
        <f>IFERROR(INDEX(TarrifTable,MATCH(Elements!E1758,Constants!$V$4:$V$7,0),MATCH(Elements!F1758,Constants!$W$3:$AA$3,0)),0)</f>
        <v>0</v>
      </c>
      <c r="L1758" s="69">
        <f t="shared" si="56"/>
        <v>0</v>
      </c>
    </row>
    <row r="1759" spans="2:12" x14ac:dyDescent="0.85">
      <c r="B1759" s="48">
        <v>1752</v>
      </c>
      <c r="C1759" s="277"/>
      <c r="D1759" s="284"/>
      <c r="E1759" s="44"/>
      <c r="F1759" s="44"/>
      <c r="G1759" s="49">
        <v>1</v>
      </c>
      <c r="H1759" s="73"/>
      <c r="I1759" s="44"/>
      <c r="J1759" s="48">
        <f t="shared" si="55"/>
        <v>1</v>
      </c>
      <c r="K1759" s="48">
        <f>IFERROR(INDEX(TarrifTable,MATCH(Elements!E1759,Constants!$V$4:$V$7,0),MATCH(Elements!F1759,Constants!$W$3:$AA$3,0)),0)</f>
        <v>0</v>
      </c>
      <c r="L1759" s="68">
        <f t="shared" si="56"/>
        <v>0</v>
      </c>
    </row>
    <row r="1760" spans="2:12" x14ac:dyDescent="0.85">
      <c r="B1760" s="46">
        <v>1753</v>
      </c>
      <c r="C1760" s="276"/>
      <c r="D1760" s="283"/>
      <c r="E1760" s="10"/>
      <c r="F1760" s="10"/>
      <c r="G1760" s="47">
        <v>1</v>
      </c>
      <c r="H1760" s="72"/>
      <c r="I1760" s="10"/>
      <c r="J1760" s="46">
        <f t="shared" si="55"/>
        <v>1</v>
      </c>
      <c r="K1760" s="46">
        <f>IFERROR(INDEX(TarrifTable,MATCH(Elements!E1760,Constants!$V$4:$V$7,0),MATCH(Elements!F1760,Constants!$W$3:$AA$3,0)),0)</f>
        <v>0</v>
      </c>
      <c r="L1760" s="69">
        <f t="shared" si="56"/>
        <v>0</v>
      </c>
    </row>
    <row r="1761" spans="2:12" x14ac:dyDescent="0.85">
      <c r="B1761" s="48">
        <v>1754</v>
      </c>
      <c r="C1761" s="277"/>
      <c r="D1761" s="284"/>
      <c r="E1761" s="44"/>
      <c r="F1761" s="44"/>
      <c r="G1761" s="49">
        <v>1</v>
      </c>
      <c r="H1761" s="73"/>
      <c r="I1761" s="44"/>
      <c r="J1761" s="48">
        <f t="shared" si="55"/>
        <v>1</v>
      </c>
      <c r="K1761" s="48">
        <f>IFERROR(INDEX(TarrifTable,MATCH(Elements!E1761,Constants!$V$4:$V$7,0),MATCH(Elements!F1761,Constants!$W$3:$AA$3,0)),0)</f>
        <v>0</v>
      </c>
      <c r="L1761" s="68">
        <f t="shared" si="56"/>
        <v>0</v>
      </c>
    </row>
    <row r="1762" spans="2:12" x14ac:dyDescent="0.85">
      <c r="B1762" s="46">
        <v>1755</v>
      </c>
      <c r="C1762" s="276"/>
      <c r="D1762" s="283"/>
      <c r="E1762" s="10"/>
      <c r="F1762" s="10"/>
      <c r="G1762" s="47">
        <v>1</v>
      </c>
      <c r="H1762" s="72"/>
      <c r="I1762" s="10"/>
      <c r="J1762" s="46">
        <f t="shared" si="55"/>
        <v>1</v>
      </c>
      <c r="K1762" s="46">
        <f>IFERROR(INDEX(TarrifTable,MATCH(Elements!E1762,Constants!$V$4:$V$7,0),MATCH(Elements!F1762,Constants!$W$3:$AA$3,0)),0)</f>
        <v>0</v>
      </c>
      <c r="L1762" s="69">
        <f t="shared" si="56"/>
        <v>0</v>
      </c>
    </row>
    <row r="1763" spans="2:12" x14ac:dyDescent="0.85">
      <c r="B1763" s="48">
        <v>1756</v>
      </c>
      <c r="C1763" s="277"/>
      <c r="D1763" s="284"/>
      <c r="E1763" s="44"/>
      <c r="F1763" s="44"/>
      <c r="G1763" s="49">
        <v>1</v>
      </c>
      <c r="H1763" s="73"/>
      <c r="I1763" s="44"/>
      <c r="J1763" s="48">
        <f t="shared" si="55"/>
        <v>1</v>
      </c>
      <c r="K1763" s="48">
        <f>IFERROR(INDEX(TarrifTable,MATCH(Elements!E1763,Constants!$V$4:$V$7,0),MATCH(Elements!F1763,Constants!$W$3:$AA$3,0)),0)</f>
        <v>0</v>
      </c>
      <c r="L1763" s="68">
        <f t="shared" si="56"/>
        <v>0</v>
      </c>
    </row>
    <row r="1764" spans="2:12" x14ac:dyDescent="0.85">
      <c r="B1764" s="46">
        <v>1757</v>
      </c>
      <c r="C1764" s="276"/>
      <c r="D1764" s="283"/>
      <c r="E1764" s="10"/>
      <c r="F1764" s="10"/>
      <c r="G1764" s="47">
        <v>1</v>
      </c>
      <c r="H1764" s="72"/>
      <c r="I1764" s="10"/>
      <c r="J1764" s="46">
        <f t="shared" si="55"/>
        <v>1</v>
      </c>
      <c r="K1764" s="46">
        <f>IFERROR(INDEX(TarrifTable,MATCH(Elements!E1764,Constants!$V$4:$V$7,0),MATCH(Elements!F1764,Constants!$W$3:$AA$3,0)),0)</f>
        <v>0</v>
      </c>
      <c r="L1764" s="69">
        <f t="shared" si="56"/>
        <v>0</v>
      </c>
    </row>
    <row r="1765" spans="2:12" x14ac:dyDescent="0.85">
      <c r="B1765" s="48">
        <v>1758</v>
      </c>
      <c r="C1765" s="277"/>
      <c r="D1765" s="284"/>
      <c r="E1765" s="44"/>
      <c r="F1765" s="44"/>
      <c r="G1765" s="49">
        <v>1</v>
      </c>
      <c r="H1765" s="73"/>
      <c r="I1765" s="44"/>
      <c r="J1765" s="48">
        <f t="shared" si="55"/>
        <v>1</v>
      </c>
      <c r="K1765" s="48">
        <f>IFERROR(INDEX(TarrifTable,MATCH(Elements!E1765,Constants!$V$4:$V$7,0),MATCH(Elements!F1765,Constants!$W$3:$AA$3,0)),0)</f>
        <v>0</v>
      </c>
      <c r="L1765" s="68">
        <f t="shared" si="56"/>
        <v>0</v>
      </c>
    </row>
    <row r="1766" spans="2:12" x14ac:dyDescent="0.85">
      <c r="B1766" s="46">
        <v>1759</v>
      </c>
      <c r="C1766" s="276"/>
      <c r="D1766" s="283"/>
      <c r="E1766" s="10"/>
      <c r="F1766" s="10"/>
      <c r="G1766" s="47">
        <v>1</v>
      </c>
      <c r="H1766" s="72"/>
      <c r="I1766" s="10"/>
      <c r="J1766" s="46">
        <f t="shared" si="55"/>
        <v>1</v>
      </c>
      <c r="K1766" s="46">
        <f>IFERROR(INDEX(TarrifTable,MATCH(Elements!E1766,Constants!$V$4:$V$7,0),MATCH(Elements!F1766,Constants!$W$3:$AA$3,0)),0)</f>
        <v>0</v>
      </c>
      <c r="L1766" s="69">
        <f t="shared" si="56"/>
        <v>0</v>
      </c>
    </row>
    <row r="1767" spans="2:12" x14ac:dyDescent="0.85">
      <c r="B1767" s="48">
        <v>1760</v>
      </c>
      <c r="C1767" s="277"/>
      <c r="D1767" s="284"/>
      <c r="E1767" s="44"/>
      <c r="F1767" s="44"/>
      <c r="G1767" s="49">
        <v>1</v>
      </c>
      <c r="H1767" s="73"/>
      <c r="I1767" s="44"/>
      <c r="J1767" s="48">
        <f t="shared" si="55"/>
        <v>1</v>
      </c>
      <c r="K1767" s="48">
        <f>IFERROR(INDEX(TarrifTable,MATCH(Elements!E1767,Constants!$V$4:$V$7,0),MATCH(Elements!F1767,Constants!$W$3:$AA$3,0)),0)</f>
        <v>0</v>
      </c>
      <c r="L1767" s="68">
        <f t="shared" si="56"/>
        <v>0</v>
      </c>
    </row>
    <row r="1768" spans="2:12" x14ac:dyDescent="0.85">
      <c r="B1768" s="46">
        <v>1761</v>
      </c>
      <c r="C1768" s="276"/>
      <c r="D1768" s="283"/>
      <c r="E1768" s="10"/>
      <c r="F1768" s="10"/>
      <c r="G1768" s="47">
        <v>1</v>
      </c>
      <c r="H1768" s="72"/>
      <c r="I1768" s="10"/>
      <c r="J1768" s="46">
        <f t="shared" si="55"/>
        <v>1</v>
      </c>
      <c r="K1768" s="46">
        <f>IFERROR(INDEX(TarrifTable,MATCH(Elements!E1768,Constants!$V$4:$V$7,0),MATCH(Elements!F1768,Constants!$W$3:$AA$3,0)),0)</f>
        <v>0</v>
      </c>
      <c r="L1768" s="69">
        <f t="shared" si="56"/>
        <v>0</v>
      </c>
    </row>
    <row r="1769" spans="2:12" x14ac:dyDescent="0.85">
      <c r="B1769" s="48">
        <v>1762</v>
      </c>
      <c r="C1769" s="277"/>
      <c r="D1769" s="284"/>
      <c r="E1769" s="44"/>
      <c r="F1769" s="44"/>
      <c r="G1769" s="49">
        <v>1</v>
      </c>
      <c r="H1769" s="73"/>
      <c r="I1769" s="44"/>
      <c r="J1769" s="48">
        <f t="shared" si="55"/>
        <v>1</v>
      </c>
      <c r="K1769" s="48">
        <f>IFERROR(INDEX(TarrifTable,MATCH(Elements!E1769,Constants!$V$4:$V$7,0),MATCH(Elements!F1769,Constants!$W$3:$AA$3,0)),0)</f>
        <v>0</v>
      </c>
      <c r="L1769" s="68">
        <f t="shared" si="56"/>
        <v>0</v>
      </c>
    </row>
    <row r="1770" spans="2:12" x14ac:dyDescent="0.85">
      <c r="B1770" s="46">
        <v>1763</v>
      </c>
      <c r="C1770" s="276"/>
      <c r="D1770" s="283"/>
      <c r="E1770" s="10"/>
      <c r="F1770" s="10"/>
      <c r="G1770" s="47">
        <v>1</v>
      </c>
      <c r="H1770" s="72"/>
      <c r="I1770" s="10"/>
      <c r="J1770" s="46">
        <f t="shared" si="55"/>
        <v>1</v>
      </c>
      <c r="K1770" s="46">
        <f>IFERROR(INDEX(TarrifTable,MATCH(Elements!E1770,Constants!$V$4:$V$7,0),MATCH(Elements!F1770,Constants!$W$3:$AA$3,0)),0)</f>
        <v>0</v>
      </c>
      <c r="L1770" s="69">
        <f t="shared" si="56"/>
        <v>0</v>
      </c>
    </row>
    <row r="1771" spans="2:12" x14ac:dyDescent="0.85">
      <c r="B1771" s="48">
        <v>1764</v>
      </c>
      <c r="C1771" s="277"/>
      <c r="D1771" s="284"/>
      <c r="E1771" s="44"/>
      <c r="F1771" s="44"/>
      <c r="G1771" s="49">
        <v>1</v>
      </c>
      <c r="H1771" s="73"/>
      <c r="I1771" s="44"/>
      <c r="J1771" s="48">
        <f t="shared" si="55"/>
        <v>1</v>
      </c>
      <c r="K1771" s="48">
        <f>IFERROR(INDEX(TarrifTable,MATCH(Elements!E1771,Constants!$V$4:$V$7,0),MATCH(Elements!F1771,Constants!$W$3:$AA$3,0)),0)</f>
        <v>0</v>
      </c>
      <c r="L1771" s="68">
        <f t="shared" si="56"/>
        <v>0</v>
      </c>
    </row>
    <row r="1772" spans="2:12" x14ac:dyDescent="0.85">
      <c r="B1772" s="46">
        <v>1765</v>
      </c>
      <c r="C1772" s="276"/>
      <c r="D1772" s="283"/>
      <c r="E1772" s="10"/>
      <c r="F1772" s="10"/>
      <c r="G1772" s="47">
        <v>1</v>
      </c>
      <c r="H1772" s="72"/>
      <c r="I1772" s="10"/>
      <c r="J1772" s="46">
        <f t="shared" si="55"/>
        <v>1</v>
      </c>
      <c r="K1772" s="46">
        <f>IFERROR(INDEX(TarrifTable,MATCH(Elements!E1772,Constants!$V$4:$V$7,0),MATCH(Elements!F1772,Constants!$W$3:$AA$3,0)),0)</f>
        <v>0</v>
      </c>
      <c r="L1772" s="69">
        <f t="shared" si="56"/>
        <v>0</v>
      </c>
    </row>
    <row r="1773" spans="2:12" x14ac:dyDescent="0.85">
      <c r="B1773" s="48">
        <v>1766</v>
      </c>
      <c r="C1773" s="277"/>
      <c r="D1773" s="284"/>
      <c r="E1773" s="44"/>
      <c r="F1773" s="44"/>
      <c r="G1773" s="49">
        <v>1</v>
      </c>
      <c r="H1773" s="73"/>
      <c r="I1773" s="44"/>
      <c r="J1773" s="48">
        <f t="shared" si="55"/>
        <v>1</v>
      </c>
      <c r="K1773" s="48">
        <f>IFERROR(INDEX(TarrifTable,MATCH(Elements!E1773,Constants!$V$4:$V$7,0),MATCH(Elements!F1773,Constants!$W$3:$AA$3,0)),0)</f>
        <v>0</v>
      </c>
      <c r="L1773" s="68">
        <f t="shared" si="56"/>
        <v>0</v>
      </c>
    </row>
    <row r="1774" spans="2:12" x14ac:dyDescent="0.85">
      <c r="B1774" s="46">
        <v>1767</v>
      </c>
      <c r="C1774" s="276"/>
      <c r="D1774" s="283"/>
      <c r="E1774" s="10"/>
      <c r="F1774" s="10"/>
      <c r="G1774" s="47">
        <v>1</v>
      </c>
      <c r="H1774" s="72"/>
      <c r="I1774" s="10"/>
      <c r="J1774" s="46">
        <f t="shared" si="55"/>
        <v>1</v>
      </c>
      <c r="K1774" s="46">
        <f>IFERROR(INDEX(TarrifTable,MATCH(Elements!E1774,Constants!$V$4:$V$7,0),MATCH(Elements!F1774,Constants!$W$3:$AA$3,0)),0)</f>
        <v>0</v>
      </c>
      <c r="L1774" s="69">
        <f t="shared" si="56"/>
        <v>0</v>
      </c>
    </row>
    <row r="1775" spans="2:12" x14ac:dyDescent="0.85">
      <c r="B1775" s="48">
        <v>1768</v>
      </c>
      <c r="C1775" s="277"/>
      <c r="D1775" s="284"/>
      <c r="E1775" s="44"/>
      <c r="F1775" s="44"/>
      <c r="G1775" s="49">
        <v>1</v>
      </c>
      <c r="H1775" s="73"/>
      <c r="I1775" s="44"/>
      <c r="J1775" s="48">
        <f t="shared" si="55"/>
        <v>1</v>
      </c>
      <c r="K1775" s="48">
        <f>IFERROR(INDEX(TarrifTable,MATCH(Elements!E1775,Constants!$V$4:$V$7,0),MATCH(Elements!F1775,Constants!$W$3:$AA$3,0)),0)</f>
        <v>0</v>
      </c>
      <c r="L1775" s="68">
        <f t="shared" si="56"/>
        <v>0</v>
      </c>
    </row>
    <row r="1776" spans="2:12" x14ac:dyDescent="0.85">
      <c r="B1776" s="46">
        <v>1769</v>
      </c>
      <c r="C1776" s="276"/>
      <c r="D1776" s="283"/>
      <c r="E1776" s="10"/>
      <c r="F1776" s="10"/>
      <c r="G1776" s="47">
        <v>1</v>
      </c>
      <c r="H1776" s="72"/>
      <c r="I1776" s="10"/>
      <c r="J1776" s="46">
        <f t="shared" si="55"/>
        <v>1</v>
      </c>
      <c r="K1776" s="46">
        <f>IFERROR(INDEX(TarrifTable,MATCH(Elements!E1776,Constants!$V$4:$V$7,0),MATCH(Elements!F1776,Constants!$W$3:$AA$3,0)),0)</f>
        <v>0</v>
      </c>
      <c r="L1776" s="69">
        <f t="shared" si="56"/>
        <v>0</v>
      </c>
    </row>
    <row r="1777" spans="2:12" x14ac:dyDescent="0.85">
      <c r="B1777" s="48">
        <v>1770</v>
      </c>
      <c r="C1777" s="277"/>
      <c r="D1777" s="284"/>
      <c r="E1777" s="44"/>
      <c r="F1777" s="44"/>
      <c r="G1777" s="49">
        <v>1</v>
      </c>
      <c r="H1777" s="73"/>
      <c r="I1777" s="44"/>
      <c r="J1777" s="48">
        <f t="shared" si="55"/>
        <v>1</v>
      </c>
      <c r="K1777" s="48">
        <f>IFERROR(INDEX(TarrifTable,MATCH(Elements!E1777,Constants!$V$4:$V$7,0),MATCH(Elements!F1777,Constants!$W$3:$AA$3,0)),0)</f>
        <v>0</v>
      </c>
      <c r="L1777" s="68">
        <f t="shared" si="56"/>
        <v>0</v>
      </c>
    </row>
    <row r="1778" spans="2:12" x14ac:dyDescent="0.85">
      <c r="B1778" s="46">
        <v>1771</v>
      </c>
      <c r="C1778" s="276"/>
      <c r="D1778" s="283"/>
      <c r="E1778" s="10"/>
      <c r="F1778" s="10"/>
      <c r="G1778" s="47">
        <v>1</v>
      </c>
      <c r="H1778" s="72"/>
      <c r="I1778" s="10"/>
      <c r="J1778" s="46">
        <f t="shared" si="55"/>
        <v>1</v>
      </c>
      <c r="K1778" s="46">
        <f>IFERROR(INDEX(TarrifTable,MATCH(Elements!E1778,Constants!$V$4:$V$7,0),MATCH(Elements!F1778,Constants!$W$3:$AA$3,0)),0)</f>
        <v>0</v>
      </c>
      <c r="L1778" s="69">
        <f t="shared" si="56"/>
        <v>0</v>
      </c>
    </row>
    <row r="1779" spans="2:12" x14ac:dyDescent="0.85">
      <c r="B1779" s="48">
        <v>1772</v>
      </c>
      <c r="C1779" s="277"/>
      <c r="D1779" s="284"/>
      <c r="E1779" s="44"/>
      <c r="F1779" s="44"/>
      <c r="G1779" s="49">
        <v>1</v>
      </c>
      <c r="H1779" s="73"/>
      <c r="I1779" s="44"/>
      <c r="J1779" s="48">
        <f t="shared" si="55"/>
        <v>1</v>
      </c>
      <c r="K1779" s="48">
        <f>IFERROR(INDEX(TarrifTable,MATCH(Elements!E1779,Constants!$V$4:$V$7,0),MATCH(Elements!F1779,Constants!$W$3:$AA$3,0)),0)</f>
        <v>0</v>
      </c>
      <c r="L1779" s="68">
        <f t="shared" si="56"/>
        <v>0</v>
      </c>
    </row>
    <row r="1780" spans="2:12" x14ac:dyDescent="0.85">
      <c r="B1780" s="46">
        <v>1773</v>
      </c>
      <c r="C1780" s="276"/>
      <c r="D1780" s="283"/>
      <c r="E1780" s="10"/>
      <c r="F1780" s="10"/>
      <c r="G1780" s="47">
        <v>1</v>
      </c>
      <c r="H1780" s="72"/>
      <c r="I1780" s="10"/>
      <c r="J1780" s="46">
        <f t="shared" si="55"/>
        <v>1</v>
      </c>
      <c r="K1780" s="46">
        <f>IFERROR(INDEX(TarrifTable,MATCH(Elements!E1780,Constants!$V$4:$V$7,0),MATCH(Elements!F1780,Constants!$W$3:$AA$3,0)),0)</f>
        <v>0</v>
      </c>
      <c r="L1780" s="69">
        <f t="shared" si="56"/>
        <v>0</v>
      </c>
    </row>
    <row r="1781" spans="2:12" x14ac:dyDescent="0.85">
      <c r="B1781" s="48">
        <v>1774</v>
      </c>
      <c r="C1781" s="277"/>
      <c r="D1781" s="284"/>
      <c r="E1781" s="44"/>
      <c r="F1781" s="44"/>
      <c r="G1781" s="49">
        <v>1</v>
      </c>
      <c r="H1781" s="73"/>
      <c r="I1781" s="44"/>
      <c r="J1781" s="48">
        <f t="shared" si="55"/>
        <v>1</v>
      </c>
      <c r="K1781" s="48">
        <f>IFERROR(INDEX(TarrifTable,MATCH(Elements!E1781,Constants!$V$4:$V$7,0),MATCH(Elements!F1781,Constants!$W$3:$AA$3,0)),0)</f>
        <v>0</v>
      </c>
      <c r="L1781" s="68">
        <f t="shared" si="56"/>
        <v>0</v>
      </c>
    </row>
    <row r="1782" spans="2:12" x14ac:dyDescent="0.85">
      <c r="B1782" s="46">
        <v>1775</v>
      </c>
      <c r="C1782" s="276"/>
      <c r="D1782" s="283"/>
      <c r="E1782" s="10"/>
      <c r="F1782" s="10"/>
      <c r="G1782" s="47">
        <v>1</v>
      </c>
      <c r="H1782" s="72"/>
      <c r="I1782" s="10"/>
      <c r="J1782" s="46">
        <f t="shared" si="55"/>
        <v>1</v>
      </c>
      <c r="K1782" s="46">
        <f>IFERROR(INDEX(TarrifTable,MATCH(Elements!E1782,Constants!$V$4:$V$7,0),MATCH(Elements!F1782,Constants!$W$3:$AA$3,0)),0)</f>
        <v>0</v>
      </c>
      <c r="L1782" s="69">
        <f t="shared" si="56"/>
        <v>0</v>
      </c>
    </row>
    <row r="1783" spans="2:12" x14ac:dyDescent="0.85">
      <c r="B1783" s="48">
        <v>1776</v>
      </c>
      <c r="C1783" s="277"/>
      <c r="D1783" s="284"/>
      <c r="E1783" s="44"/>
      <c r="F1783" s="44"/>
      <c r="G1783" s="49">
        <v>1</v>
      </c>
      <c r="H1783" s="73"/>
      <c r="I1783" s="44"/>
      <c r="J1783" s="48">
        <f t="shared" si="55"/>
        <v>1</v>
      </c>
      <c r="K1783" s="48">
        <f>IFERROR(INDEX(TarrifTable,MATCH(Elements!E1783,Constants!$V$4:$V$7,0),MATCH(Elements!F1783,Constants!$W$3:$AA$3,0)),0)</f>
        <v>0</v>
      </c>
      <c r="L1783" s="68">
        <f t="shared" si="56"/>
        <v>0</v>
      </c>
    </row>
    <row r="1784" spans="2:12" x14ac:dyDescent="0.85">
      <c r="B1784" s="46">
        <v>1777</v>
      </c>
      <c r="C1784" s="276"/>
      <c r="D1784" s="283"/>
      <c r="E1784" s="10"/>
      <c r="F1784" s="10"/>
      <c r="G1784" s="47">
        <v>1</v>
      </c>
      <c r="H1784" s="72"/>
      <c r="I1784" s="10"/>
      <c r="J1784" s="46">
        <f t="shared" si="55"/>
        <v>1</v>
      </c>
      <c r="K1784" s="46">
        <f>IFERROR(INDEX(TarrifTable,MATCH(Elements!E1784,Constants!$V$4:$V$7,0),MATCH(Elements!F1784,Constants!$W$3:$AA$3,0)),0)</f>
        <v>0</v>
      </c>
      <c r="L1784" s="69">
        <f t="shared" si="56"/>
        <v>0</v>
      </c>
    </row>
    <row r="1785" spans="2:12" x14ac:dyDescent="0.85">
      <c r="B1785" s="48">
        <v>1778</v>
      </c>
      <c r="C1785" s="277"/>
      <c r="D1785" s="284"/>
      <c r="E1785" s="44"/>
      <c r="F1785" s="44"/>
      <c r="G1785" s="49">
        <v>1</v>
      </c>
      <c r="H1785" s="73"/>
      <c r="I1785" s="44"/>
      <c r="J1785" s="48">
        <f t="shared" si="55"/>
        <v>1</v>
      </c>
      <c r="K1785" s="48">
        <f>IFERROR(INDEX(TarrifTable,MATCH(Elements!E1785,Constants!$V$4:$V$7,0),MATCH(Elements!F1785,Constants!$W$3:$AA$3,0)),0)</f>
        <v>0</v>
      </c>
      <c r="L1785" s="68">
        <f t="shared" si="56"/>
        <v>0</v>
      </c>
    </row>
    <row r="1786" spans="2:12" x14ac:dyDescent="0.85">
      <c r="B1786" s="46">
        <v>1779</v>
      </c>
      <c r="C1786" s="276"/>
      <c r="D1786" s="283"/>
      <c r="E1786" s="10"/>
      <c r="F1786" s="10"/>
      <c r="G1786" s="47">
        <v>1</v>
      </c>
      <c r="H1786" s="72"/>
      <c r="I1786" s="10"/>
      <c r="J1786" s="46">
        <f t="shared" si="55"/>
        <v>1</v>
      </c>
      <c r="K1786" s="46">
        <f>IFERROR(INDEX(TarrifTable,MATCH(Elements!E1786,Constants!$V$4:$V$7,0),MATCH(Elements!F1786,Constants!$W$3:$AA$3,0)),0)</f>
        <v>0</v>
      </c>
      <c r="L1786" s="69">
        <f t="shared" si="56"/>
        <v>0</v>
      </c>
    </row>
    <row r="1787" spans="2:12" x14ac:dyDescent="0.85">
      <c r="B1787" s="48">
        <v>1780</v>
      </c>
      <c r="C1787" s="277"/>
      <c r="D1787" s="284"/>
      <c r="E1787" s="44"/>
      <c r="F1787" s="44"/>
      <c r="G1787" s="49">
        <v>1</v>
      </c>
      <c r="H1787" s="73"/>
      <c r="I1787" s="44"/>
      <c r="J1787" s="48">
        <f t="shared" si="55"/>
        <v>1</v>
      </c>
      <c r="K1787" s="48">
        <f>IFERROR(INDEX(TarrifTable,MATCH(Elements!E1787,Constants!$V$4:$V$7,0),MATCH(Elements!F1787,Constants!$W$3:$AA$3,0)),0)</f>
        <v>0</v>
      </c>
      <c r="L1787" s="68">
        <f t="shared" si="56"/>
        <v>0</v>
      </c>
    </row>
    <row r="1788" spans="2:12" x14ac:dyDescent="0.85">
      <c r="B1788" s="46">
        <v>1781</v>
      </c>
      <c r="C1788" s="276"/>
      <c r="D1788" s="283"/>
      <c r="E1788" s="10"/>
      <c r="F1788" s="10"/>
      <c r="G1788" s="47">
        <v>1</v>
      </c>
      <c r="H1788" s="72"/>
      <c r="I1788" s="10"/>
      <c r="J1788" s="46">
        <f t="shared" si="55"/>
        <v>1</v>
      </c>
      <c r="K1788" s="46">
        <f>IFERROR(INDEX(TarrifTable,MATCH(Elements!E1788,Constants!$V$4:$V$7,0),MATCH(Elements!F1788,Constants!$W$3:$AA$3,0)),0)</f>
        <v>0</v>
      </c>
      <c r="L1788" s="69">
        <f t="shared" si="56"/>
        <v>0</v>
      </c>
    </row>
    <row r="1789" spans="2:12" x14ac:dyDescent="0.85">
      <c r="B1789" s="48">
        <v>1782</v>
      </c>
      <c r="C1789" s="277"/>
      <c r="D1789" s="284"/>
      <c r="E1789" s="44"/>
      <c r="F1789" s="44"/>
      <c r="G1789" s="49">
        <v>1</v>
      </c>
      <c r="H1789" s="73"/>
      <c r="I1789" s="44"/>
      <c r="J1789" s="48">
        <f t="shared" si="55"/>
        <v>1</v>
      </c>
      <c r="K1789" s="48">
        <f>IFERROR(INDEX(TarrifTable,MATCH(Elements!E1789,Constants!$V$4:$V$7,0),MATCH(Elements!F1789,Constants!$W$3:$AA$3,0)),0)</f>
        <v>0</v>
      </c>
      <c r="L1789" s="68">
        <f t="shared" si="56"/>
        <v>0</v>
      </c>
    </row>
    <row r="1790" spans="2:12" x14ac:dyDescent="0.85">
      <c r="B1790" s="46">
        <v>1783</v>
      </c>
      <c r="C1790" s="276"/>
      <c r="D1790" s="283"/>
      <c r="E1790" s="10"/>
      <c r="F1790" s="10"/>
      <c r="G1790" s="47">
        <v>1</v>
      </c>
      <c r="H1790" s="72"/>
      <c r="I1790" s="10"/>
      <c r="J1790" s="46">
        <f t="shared" si="55"/>
        <v>1</v>
      </c>
      <c r="K1790" s="46">
        <f>IFERROR(INDEX(TarrifTable,MATCH(Elements!E1790,Constants!$V$4:$V$7,0),MATCH(Elements!F1790,Constants!$W$3:$AA$3,0)),0)</f>
        <v>0</v>
      </c>
      <c r="L1790" s="69">
        <f t="shared" si="56"/>
        <v>0</v>
      </c>
    </row>
    <row r="1791" spans="2:12" x14ac:dyDescent="0.85">
      <c r="B1791" s="48">
        <v>1784</v>
      </c>
      <c r="C1791" s="277"/>
      <c r="D1791" s="284"/>
      <c r="E1791" s="44"/>
      <c r="F1791" s="44"/>
      <c r="G1791" s="49">
        <v>1</v>
      </c>
      <c r="H1791" s="73"/>
      <c r="I1791" s="44"/>
      <c r="J1791" s="48">
        <f t="shared" si="55"/>
        <v>1</v>
      </c>
      <c r="K1791" s="48">
        <f>IFERROR(INDEX(TarrifTable,MATCH(Elements!E1791,Constants!$V$4:$V$7,0),MATCH(Elements!F1791,Constants!$W$3:$AA$3,0)),0)</f>
        <v>0</v>
      </c>
      <c r="L1791" s="68">
        <f t="shared" si="56"/>
        <v>0</v>
      </c>
    </row>
    <row r="1792" spans="2:12" x14ac:dyDescent="0.85">
      <c r="B1792" s="46">
        <v>1785</v>
      </c>
      <c r="C1792" s="276"/>
      <c r="D1792" s="283"/>
      <c r="E1792" s="10"/>
      <c r="F1792" s="10"/>
      <c r="G1792" s="47">
        <v>1</v>
      </c>
      <c r="H1792" s="72"/>
      <c r="I1792" s="10"/>
      <c r="J1792" s="46">
        <f t="shared" si="55"/>
        <v>1</v>
      </c>
      <c r="K1792" s="46">
        <f>IFERROR(INDEX(TarrifTable,MATCH(Elements!E1792,Constants!$V$4:$V$7,0),MATCH(Elements!F1792,Constants!$W$3:$AA$3,0)),0)</f>
        <v>0</v>
      </c>
      <c r="L1792" s="69">
        <f t="shared" si="56"/>
        <v>0</v>
      </c>
    </row>
    <row r="1793" spans="2:12" x14ac:dyDescent="0.85">
      <c r="B1793" s="48">
        <v>1786</v>
      </c>
      <c r="C1793" s="277"/>
      <c r="D1793" s="284"/>
      <c r="E1793" s="44"/>
      <c r="F1793" s="44"/>
      <c r="G1793" s="49">
        <v>1</v>
      </c>
      <c r="H1793" s="73"/>
      <c r="I1793" s="44"/>
      <c r="J1793" s="48">
        <f t="shared" si="55"/>
        <v>1</v>
      </c>
      <c r="K1793" s="48">
        <f>IFERROR(INDEX(TarrifTable,MATCH(Elements!E1793,Constants!$V$4:$V$7,0),MATCH(Elements!F1793,Constants!$W$3:$AA$3,0)),0)</f>
        <v>0</v>
      </c>
      <c r="L1793" s="68">
        <f t="shared" si="56"/>
        <v>0</v>
      </c>
    </row>
    <row r="1794" spans="2:12" x14ac:dyDescent="0.85">
      <c r="B1794" s="46">
        <v>1787</v>
      </c>
      <c r="C1794" s="276"/>
      <c r="D1794" s="283"/>
      <c r="E1794" s="10"/>
      <c r="F1794" s="10"/>
      <c r="G1794" s="47">
        <v>1</v>
      </c>
      <c r="H1794" s="72"/>
      <c r="I1794" s="10"/>
      <c r="J1794" s="46">
        <f t="shared" si="55"/>
        <v>1</v>
      </c>
      <c r="K1794" s="46">
        <f>IFERROR(INDEX(TarrifTable,MATCH(Elements!E1794,Constants!$V$4:$V$7,0),MATCH(Elements!F1794,Constants!$W$3:$AA$3,0)),0)</f>
        <v>0</v>
      </c>
      <c r="L1794" s="69">
        <f t="shared" si="56"/>
        <v>0</v>
      </c>
    </row>
    <row r="1795" spans="2:12" x14ac:dyDescent="0.85">
      <c r="B1795" s="48">
        <v>1788</v>
      </c>
      <c r="C1795" s="277"/>
      <c r="D1795" s="284"/>
      <c r="E1795" s="44"/>
      <c r="F1795" s="44"/>
      <c r="G1795" s="49">
        <v>1</v>
      </c>
      <c r="H1795" s="73"/>
      <c r="I1795" s="44"/>
      <c r="J1795" s="48">
        <f t="shared" si="55"/>
        <v>1</v>
      </c>
      <c r="K1795" s="48">
        <f>IFERROR(INDEX(TarrifTable,MATCH(Elements!E1795,Constants!$V$4:$V$7,0),MATCH(Elements!F1795,Constants!$W$3:$AA$3,0)),0)</f>
        <v>0</v>
      </c>
      <c r="L1795" s="68">
        <f t="shared" si="56"/>
        <v>0</v>
      </c>
    </row>
    <row r="1796" spans="2:12" x14ac:dyDescent="0.85">
      <c r="B1796" s="46">
        <v>1789</v>
      </c>
      <c r="C1796" s="276"/>
      <c r="D1796" s="283"/>
      <c r="E1796" s="10"/>
      <c r="F1796" s="10"/>
      <c r="G1796" s="47">
        <v>1</v>
      </c>
      <c r="H1796" s="72"/>
      <c r="I1796" s="10"/>
      <c r="J1796" s="46">
        <f t="shared" si="55"/>
        <v>1</v>
      </c>
      <c r="K1796" s="46">
        <f>IFERROR(INDEX(TarrifTable,MATCH(Elements!E1796,Constants!$V$4:$V$7,0),MATCH(Elements!F1796,Constants!$W$3:$AA$3,0)),0)</f>
        <v>0</v>
      </c>
      <c r="L1796" s="69">
        <f t="shared" si="56"/>
        <v>0</v>
      </c>
    </row>
    <row r="1797" spans="2:12" x14ac:dyDescent="0.85">
      <c r="B1797" s="48">
        <v>1790</v>
      </c>
      <c r="C1797" s="277"/>
      <c r="D1797" s="284"/>
      <c r="E1797" s="44"/>
      <c r="F1797" s="44"/>
      <c r="G1797" s="49">
        <v>1</v>
      </c>
      <c r="H1797" s="73"/>
      <c r="I1797" s="44"/>
      <c r="J1797" s="48">
        <f t="shared" si="55"/>
        <v>1</v>
      </c>
      <c r="K1797" s="48">
        <f>IFERROR(INDEX(TarrifTable,MATCH(Elements!E1797,Constants!$V$4:$V$7,0),MATCH(Elements!F1797,Constants!$W$3:$AA$3,0)),0)</f>
        <v>0</v>
      </c>
      <c r="L1797" s="68">
        <f t="shared" si="56"/>
        <v>0</v>
      </c>
    </row>
    <row r="1798" spans="2:12" x14ac:dyDescent="0.85">
      <c r="B1798" s="46">
        <v>1791</v>
      </c>
      <c r="C1798" s="276"/>
      <c r="D1798" s="283"/>
      <c r="E1798" s="10"/>
      <c r="F1798" s="10"/>
      <c r="G1798" s="47">
        <v>1</v>
      </c>
      <c r="H1798" s="72"/>
      <c r="I1798" s="10"/>
      <c r="J1798" s="46">
        <f t="shared" si="55"/>
        <v>1</v>
      </c>
      <c r="K1798" s="46">
        <f>IFERROR(INDEX(TarrifTable,MATCH(Elements!E1798,Constants!$V$4:$V$7,0),MATCH(Elements!F1798,Constants!$W$3:$AA$3,0)),0)</f>
        <v>0</v>
      </c>
      <c r="L1798" s="69">
        <f t="shared" si="56"/>
        <v>0</v>
      </c>
    </row>
    <row r="1799" spans="2:12" x14ac:dyDescent="0.85">
      <c r="B1799" s="48">
        <v>1792</v>
      </c>
      <c r="C1799" s="277"/>
      <c r="D1799" s="284"/>
      <c r="E1799" s="44"/>
      <c r="F1799" s="44"/>
      <c r="G1799" s="49">
        <v>1</v>
      </c>
      <c r="H1799" s="73"/>
      <c r="I1799" s="44"/>
      <c r="J1799" s="48">
        <f t="shared" si="55"/>
        <v>1</v>
      </c>
      <c r="K1799" s="48">
        <f>IFERROR(INDEX(TarrifTable,MATCH(Elements!E1799,Constants!$V$4:$V$7,0),MATCH(Elements!F1799,Constants!$W$3:$AA$3,0)),0)</f>
        <v>0</v>
      </c>
      <c r="L1799" s="68">
        <f t="shared" si="56"/>
        <v>0</v>
      </c>
    </row>
    <row r="1800" spans="2:12" x14ac:dyDescent="0.85">
      <c r="B1800" s="46">
        <v>1793</v>
      </c>
      <c r="C1800" s="276"/>
      <c r="D1800" s="283"/>
      <c r="E1800" s="10"/>
      <c r="F1800" s="10"/>
      <c r="G1800" s="47">
        <v>1</v>
      </c>
      <c r="H1800" s="72"/>
      <c r="I1800" s="10"/>
      <c r="J1800" s="46">
        <f t="shared" ref="J1800:J1863" si="57">IF(ISBLANK(H1800),1,H1800)</f>
        <v>1</v>
      </c>
      <c r="K1800" s="46">
        <f>IFERROR(INDEX(TarrifTable,MATCH(Elements!E1800,Constants!$V$4:$V$7,0),MATCH(Elements!F1800,Constants!$W$3:$AA$3,0)),0)</f>
        <v>0</v>
      </c>
      <c r="L1800" s="69">
        <f t="shared" ref="L1800:L1863" si="58">J1800*G1800*K1800</f>
        <v>0</v>
      </c>
    </row>
    <row r="1801" spans="2:12" x14ac:dyDescent="0.85">
      <c r="B1801" s="48">
        <v>1794</v>
      </c>
      <c r="C1801" s="277"/>
      <c r="D1801" s="284"/>
      <c r="E1801" s="44"/>
      <c r="F1801" s="44"/>
      <c r="G1801" s="49">
        <v>1</v>
      </c>
      <c r="H1801" s="73"/>
      <c r="I1801" s="44"/>
      <c r="J1801" s="48">
        <f t="shared" si="57"/>
        <v>1</v>
      </c>
      <c r="K1801" s="48">
        <f>IFERROR(INDEX(TarrifTable,MATCH(Elements!E1801,Constants!$V$4:$V$7,0),MATCH(Elements!F1801,Constants!$W$3:$AA$3,0)),0)</f>
        <v>0</v>
      </c>
      <c r="L1801" s="68">
        <f t="shared" si="58"/>
        <v>0</v>
      </c>
    </row>
    <row r="1802" spans="2:12" x14ac:dyDescent="0.85">
      <c r="B1802" s="46">
        <v>1795</v>
      </c>
      <c r="C1802" s="276"/>
      <c r="D1802" s="283"/>
      <c r="E1802" s="10"/>
      <c r="F1802" s="10"/>
      <c r="G1802" s="47">
        <v>1</v>
      </c>
      <c r="H1802" s="72"/>
      <c r="I1802" s="10"/>
      <c r="J1802" s="46">
        <f t="shared" si="57"/>
        <v>1</v>
      </c>
      <c r="K1802" s="46">
        <f>IFERROR(INDEX(TarrifTable,MATCH(Elements!E1802,Constants!$V$4:$V$7,0),MATCH(Elements!F1802,Constants!$W$3:$AA$3,0)),0)</f>
        <v>0</v>
      </c>
      <c r="L1802" s="69">
        <f t="shared" si="58"/>
        <v>0</v>
      </c>
    </row>
    <row r="1803" spans="2:12" x14ac:dyDescent="0.85">
      <c r="B1803" s="48">
        <v>1796</v>
      </c>
      <c r="C1803" s="277"/>
      <c r="D1803" s="284"/>
      <c r="E1803" s="44"/>
      <c r="F1803" s="44"/>
      <c r="G1803" s="49">
        <v>1</v>
      </c>
      <c r="H1803" s="73"/>
      <c r="I1803" s="44"/>
      <c r="J1803" s="48">
        <f t="shared" si="57"/>
        <v>1</v>
      </c>
      <c r="K1803" s="48">
        <f>IFERROR(INDEX(TarrifTable,MATCH(Elements!E1803,Constants!$V$4:$V$7,0),MATCH(Elements!F1803,Constants!$W$3:$AA$3,0)),0)</f>
        <v>0</v>
      </c>
      <c r="L1803" s="68">
        <f t="shared" si="58"/>
        <v>0</v>
      </c>
    </row>
    <row r="1804" spans="2:12" x14ac:dyDescent="0.85">
      <c r="B1804" s="46">
        <v>1797</v>
      </c>
      <c r="C1804" s="276"/>
      <c r="D1804" s="283"/>
      <c r="E1804" s="10"/>
      <c r="F1804" s="10"/>
      <c r="G1804" s="47">
        <v>1</v>
      </c>
      <c r="H1804" s="72"/>
      <c r="I1804" s="10"/>
      <c r="J1804" s="46">
        <f t="shared" si="57"/>
        <v>1</v>
      </c>
      <c r="K1804" s="46">
        <f>IFERROR(INDEX(TarrifTable,MATCH(Elements!E1804,Constants!$V$4:$V$7,0),MATCH(Elements!F1804,Constants!$W$3:$AA$3,0)),0)</f>
        <v>0</v>
      </c>
      <c r="L1804" s="69">
        <f t="shared" si="58"/>
        <v>0</v>
      </c>
    </row>
    <row r="1805" spans="2:12" x14ac:dyDescent="0.85">
      <c r="B1805" s="48">
        <v>1798</v>
      </c>
      <c r="C1805" s="277"/>
      <c r="D1805" s="284"/>
      <c r="E1805" s="44"/>
      <c r="F1805" s="44"/>
      <c r="G1805" s="49">
        <v>1</v>
      </c>
      <c r="H1805" s="73"/>
      <c r="I1805" s="44"/>
      <c r="J1805" s="48">
        <f t="shared" si="57"/>
        <v>1</v>
      </c>
      <c r="K1805" s="48">
        <f>IFERROR(INDEX(TarrifTable,MATCH(Elements!E1805,Constants!$V$4:$V$7,0),MATCH(Elements!F1805,Constants!$W$3:$AA$3,0)),0)</f>
        <v>0</v>
      </c>
      <c r="L1805" s="68">
        <f t="shared" si="58"/>
        <v>0</v>
      </c>
    </row>
    <row r="1806" spans="2:12" x14ac:dyDescent="0.85">
      <c r="B1806" s="46">
        <v>1799</v>
      </c>
      <c r="C1806" s="276"/>
      <c r="D1806" s="283"/>
      <c r="E1806" s="10"/>
      <c r="F1806" s="10"/>
      <c r="G1806" s="47">
        <v>1</v>
      </c>
      <c r="H1806" s="72"/>
      <c r="I1806" s="10"/>
      <c r="J1806" s="46">
        <f t="shared" si="57"/>
        <v>1</v>
      </c>
      <c r="K1806" s="46">
        <f>IFERROR(INDEX(TarrifTable,MATCH(Elements!E1806,Constants!$V$4:$V$7,0),MATCH(Elements!F1806,Constants!$W$3:$AA$3,0)),0)</f>
        <v>0</v>
      </c>
      <c r="L1806" s="69">
        <f t="shared" si="58"/>
        <v>0</v>
      </c>
    </row>
    <row r="1807" spans="2:12" x14ac:dyDescent="0.85">
      <c r="B1807" s="48">
        <v>1800</v>
      </c>
      <c r="C1807" s="277"/>
      <c r="D1807" s="284"/>
      <c r="E1807" s="44"/>
      <c r="F1807" s="44"/>
      <c r="G1807" s="49">
        <v>1</v>
      </c>
      <c r="H1807" s="73"/>
      <c r="I1807" s="44"/>
      <c r="J1807" s="48">
        <f t="shared" si="57"/>
        <v>1</v>
      </c>
      <c r="K1807" s="48">
        <f>IFERROR(INDEX(TarrifTable,MATCH(Elements!E1807,Constants!$V$4:$V$7,0),MATCH(Elements!F1807,Constants!$W$3:$AA$3,0)),0)</f>
        <v>0</v>
      </c>
      <c r="L1807" s="68">
        <f t="shared" si="58"/>
        <v>0</v>
      </c>
    </row>
    <row r="1808" spans="2:12" x14ac:dyDescent="0.85">
      <c r="B1808" s="46">
        <v>1801</v>
      </c>
      <c r="C1808" s="276"/>
      <c r="D1808" s="283"/>
      <c r="E1808" s="10"/>
      <c r="F1808" s="10"/>
      <c r="G1808" s="47">
        <v>1</v>
      </c>
      <c r="H1808" s="72"/>
      <c r="I1808" s="10"/>
      <c r="J1808" s="46">
        <f t="shared" si="57"/>
        <v>1</v>
      </c>
      <c r="K1808" s="46">
        <f>IFERROR(INDEX(TarrifTable,MATCH(Elements!E1808,Constants!$V$4:$V$7,0),MATCH(Elements!F1808,Constants!$W$3:$AA$3,0)),0)</f>
        <v>0</v>
      </c>
      <c r="L1808" s="69">
        <f t="shared" si="58"/>
        <v>0</v>
      </c>
    </row>
    <row r="1809" spans="2:12" x14ac:dyDescent="0.85">
      <c r="B1809" s="48">
        <v>1802</v>
      </c>
      <c r="C1809" s="277"/>
      <c r="D1809" s="284"/>
      <c r="E1809" s="44"/>
      <c r="F1809" s="44"/>
      <c r="G1809" s="49">
        <v>1</v>
      </c>
      <c r="H1809" s="73"/>
      <c r="I1809" s="44"/>
      <c r="J1809" s="48">
        <f t="shared" si="57"/>
        <v>1</v>
      </c>
      <c r="K1809" s="48">
        <f>IFERROR(INDEX(TarrifTable,MATCH(Elements!E1809,Constants!$V$4:$V$7,0),MATCH(Elements!F1809,Constants!$W$3:$AA$3,0)),0)</f>
        <v>0</v>
      </c>
      <c r="L1809" s="68">
        <f t="shared" si="58"/>
        <v>0</v>
      </c>
    </row>
    <row r="1810" spans="2:12" x14ac:dyDescent="0.85">
      <c r="B1810" s="46">
        <v>1803</v>
      </c>
      <c r="C1810" s="276"/>
      <c r="D1810" s="283"/>
      <c r="E1810" s="10"/>
      <c r="F1810" s="10"/>
      <c r="G1810" s="47">
        <v>1</v>
      </c>
      <c r="H1810" s="72"/>
      <c r="I1810" s="10"/>
      <c r="J1810" s="46">
        <f t="shared" si="57"/>
        <v>1</v>
      </c>
      <c r="K1810" s="46">
        <f>IFERROR(INDEX(TarrifTable,MATCH(Elements!E1810,Constants!$V$4:$V$7,0),MATCH(Elements!F1810,Constants!$W$3:$AA$3,0)),0)</f>
        <v>0</v>
      </c>
      <c r="L1810" s="69">
        <f t="shared" si="58"/>
        <v>0</v>
      </c>
    </row>
    <row r="1811" spans="2:12" x14ac:dyDescent="0.85">
      <c r="B1811" s="48">
        <v>1804</v>
      </c>
      <c r="C1811" s="277"/>
      <c r="D1811" s="284"/>
      <c r="E1811" s="44"/>
      <c r="F1811" s="44"/>
      <c r="G1811" s="49">
        <v>1</v>
      </c>
      <c r="H1811" s="73"/>
      <c r="I1811" s="44"/>
      <c r="J1811" s="48">
        <f t="shared" si="57"/>
        <v>1</v>
      </c>
      <c r="K1811" s="48">
        <f>IFERROR(INDEX(TarrifTable,MATCH(Elements!E1811,Constants!$V$4:$V$7,0),MATCH(Elements!F1811,Constants!$W$3:$AA$3,0)),0)</f>
        <v>0</v>
      </c>
      <c r="L1811" s="68">
        <f t="shared" si="58"/>
        <v>0</v>
      </c>
    </row>
    <row r="1812" spans="2:12" x14ac:dyDescent="0.85">
      <c r="B1812" s="46">
        <v>1805</v>
      </c>
      <c r="C1812" s="276"/>
      <c r="D1812" s="283"/>
      <c r="E1812" s="10"/>
      <c r="F1812" s="10"/>
      <c r="G1812" s="47">
        <v>1</v>
      </c>
      <c r="H1812" s="72"/>
      <c r="I1812" s="10"/>
      <c r="J1812" s="46">
        <f t="shared" si="57"/>
        <v>1</v>
      </c>
      <c r="K1812" s="46">
        <f>IFERROR(INDEX(TarrifTable,MATCH(Elements!E1812,Constants!$V$4:$V$7,0),MATCH(Elements!F1812,Constants!$W$3:$AA$3,0)),0)</f>
        <v>0</v>
      </c>
      <c r="L1812" s="69">
        <f t="shared" si="58"/>
        <v>0</v>
      </c>
    </row>
    <row r="1813" spans="2:12" x14ac:dyDescent="0.85">
      <c r="B1813" s="48">
        <v>1806</v>
      </c>
      <c r="C1813" s="277"/>
      <c r="D1813" s="284"/>
      <c r="E1813" s="44"/>
      <c r="F1813" s="44"/>
      <c r="G1813" s="49">
        <v>1</v>
      </c>
      <c r="H1813" s="73"/>
      <c r="I1813" s="44"/>
      <c r="J1813" s="48">
        <f t="shared" si="57"/>
        <v>1</v>
      </c>
      <c r="K1813" s="48">
        <f>IFERROR(INDEX(TarrifTable,MATCH(Elements!E1813,Constants!$V$4:$V$7,0),MATCH(Elements!F1813,Constants!$W$3:$AA$3,0)),0)</f>
        <v>0</v>
      </c>
      <c r="L1813" s="68">
        <f t="shared" si="58"/>
        <v>0</v>
      </c>
    </row>
    <row r="1814" spans="2:12" x14ac:dyDescent="0.85">
      <c r="B1814" s="46">
        <v>1807</v>
      </c>
      <c r="C1814" s="276"/>
      <c r="D1814" s="283"/>
      <c r="E1814" s="10"/>
      <c r="F1814" s="10"/>
      <c r="G1814" s="47">
        <v>1</v>
      </c>
      <c r="H1814" s="72"/>
      <c r="I1814" s="10"/>
      <c r="J1814" s="46">
        <f t="shared" si="57"/>
        <v>1</v>
      </c>
      <c r="K1814" s="46">
        <f>IFERROR(INDEX(TarrifTable,MATCH(Elements!E1814,Constants!$V$4:$V$7,0),MATCH(Elements!F1814,Constants!$W$3:$AA$3,0)),0)</f>
        <v>0</v>
      </c>
      <c r="L1814" s="69">
        <f t="shared" si="58"/>
        <v>0</v>
      </c>
    </row>
    <row r="1815" spans="2:12" x14ac:dyDescent="0.85">
      <c r="B1815" s="48">
        <v>1808</v>
      </c>
      <c r="C1815" s="277"/>
      <c r="D1815" s="284"/>
      <c r="E1815" s="44"/>
      <c r="F1815" s="44"/>
      <c r="G1815" s="49">
        <v>1</v>
      </c>
      <c r="H1815" s="73"/>
      <c r="I1815" s="44"/>
      <c r="J1815" s="48">
        <f t="shared" si="57"/>
        <v>1</v>
      </c>
      <c r="K1815" s="48">
        <f>IFERROR(INDEX(TarrifTable,MATCH(Elements!E1815,Constants!$V$4:$V$7,0),MATCH(Elements!F1815,Constants!$W$3:$AA$3,0)),0)</f>
        <v>0</v>
      </c>
      <c r="L1815" s="68">
        <f t="shared" si="58"/>
        <v>0</v>
      </c>
    </row>
    <row r="1816" spans="2:12" x14ac:dyDescent="0.85">
      <c r="B1816" s="46">
        <v>1809</v>
      </c>
      <c r="C1816" s="276"/>
      <c r="D1816" s="283"/>
      <c r="E1816" s="10"/>
      <c r="F1816" s="10"/>
      <c r="G1816" s="47">
        <v>1</v>
      </c>
      <c r="H1816" s="72"/>
      <c r="I1816" s="10"/>
      <c r="J1816" s="46">
        <f t="shared" si="57"/>
        <v>1</v>
      </c>
      <c r="K1816" s="46">
        <f>IFERROR(INDEX(TarrifTable,MATCH(Elements!E1816,Constants!$V$4:$V$7,0),MATCH(Elements!F1816,Constants!$W$3:$AA$3,0)),0)</f>
        <v>0</v>
      </c>
      <c r="L1816" s="69">
        <f t="shared" si="58"/>
        <v>0</v>
      </c>
    </row>
    <row r="1817" spans="2:12" x14ac:dyDescent="0.85">
      <c r="B1817" s="48">
        <v>1810</v>
      </c>
      <c r="C1817" s="277"/>
      <c r="D1817" s="284"/>
      <c r="E1817" s="44"/>
      <c r="F1817" s="44"/>
      <c r="G1817" s="49">
        <v>1</v>
      </c>
      <c r="H1817" s="73"/>
      <c r="I1817" s="44"/>
      <c r="J1817" s="48">
        <f t="shared" si="57"/>
        <v>1</v>
      </c>
      <c r="K1817" s="48">
        <f>IFERROR(INDEX(TarrifTable,MATCH(Elements!E1817,Constants!$V$4:$V$7,0),MATCH(Elements!F1817,Constants!$W$3:$AA$3,0)),0)</f>
        <v>0</v>
      </c>
      <c r="L1817" s="68">
        <f t="shared" si="58"/>
        <v>0</v>
      </c>
    </row>
    <row r="1818" spans="2:12" x14ac:dyDescent="0.85">
      <c r="B1818" s="46">
        <v>1811</v>
      </c>
      <c r="C1818" s="276"/>
      <c r="D1818" s="283"/>
      <c r="E1818" s="10"/>
      <c r="F1818" s="10"/>
      <c r="G1818" s="47">
        <v>1</v>
      </c>
      <c r="H1818" s="72"/>
      <c r="I1818" s="10"/>
      <c r="J1818" s="46">
        <f t="shared" si="57"/>
        <v>1</v>
      </c>
      <c r="K1818" s="46">
        <f>IFERROR(INDEX(TarrifTable,MATCH(Elements!E1818,Constants!$V$4:$V$7,0),MATCH(Elements!F1818,Constants!$W$3:$AA$3,0)),0)</f>
        <v>0</v>
      </c>
      <c r="L1818" s="69">
        <f t="shared" si="58"/>
        <v>0</v>
      </c>
    </row>
    <row r="1819" spans="2:12" x14ac:dyDescent="0.85">
      <c r="B1819" s="48">
        <v>1812</v>
      </c>
      <c r="C1819" s="277"/>
      <c r="D1819" s="284"/>
      <c r="E1819" s="44"/>
      <c r="F1819" s="44"/>
      <c r="G1819" s="49">
        <v>1</v>
      </c>
      <c r="H1819" s="73"/>
      <c r="I1819" s="44"/>
      <c r="J1819" s="48">
        <f t="shared" si="57"/>
        <v>1</v>
      </c>
      <c r="K1819" s="48">
        <f>IFERROR(INDEX(TarrifTable,MATCH(Elements!E1819,Constants!$V$4:$V$7,0),MATCH(Elements!F1819,Constants!$W$3:$AA$3,0)),0)</f>
        <v>0</v>
      </c>
      <c r="L1819" s="68">
        <f t="shared" si="58"/>
        <v>0</v>
      </c>
    </row>
    <row r="1820" spans="2:12" x14ac:dyDescent="0.85">
      <c r="B1820" s="46">
        <v>1813</v>
      </c>
      <c r="C1820" s="276"/>
      <c r="D1820" s="283"/>
      <c r="E1820" s="10"/>
      <c r="F1820" s="10"/>
      <c r="G1820" s="47">
        <v>1</v>
      </c>
      <c r="H1820" s="72"/>
      <c r="I1820" s="10"/>
      <c r="J1820" s="46">
        <f t="shared" si="57"/>
        <v>1</v>
      </c>
      <c r="K1820" s="46">
        <f>IFERROR(INDEX(TarrifTable,MATCH(Elements!E1820,Constants!$V$4:$V$7,0),MATCH(Elements!F1820,Constants!$W$3:$AA$3,0)),0)</f>
        <v>0</v>
      </c>
      <c r="L1820" s="69">
        <f t="shared" si="58"/>
        <v>0</v>
      </c>
    </row>
    <row r="1821" spans="2:12" x14ac:dyDescent="0.85">
      <c r="B1821" s="48">
        <v>1814</v>
      </c>
      <c r="C1821" s="277"/>
      <c r="D1821" s="284"/>
      <c r="E1821" s="44"/>
      <c r="F1821" s="44"/>
      <c r="G1821" s="49">
        <v>1</v>
      </c>
      <c r="H1821" s="73"/>
      <c r="I1821" s="44"/>
      <c r="J1821" s="48">
        <f t="shared" si="57"/>
        <v>1</v>
      </c>
      <c r="K1821" s="48">
        <f>IFERROR(INDEX(TarrifTable,MATCH(Elements!E1821,Constants!$V$4:$V$7,0),MATCH(Elements!F1821,Constants!$W$3:$AA$3,0)),0)</f>
        <v>0</v>
      </c>
      <c r="L1821" s="68">
        <f t="shared" si="58"/>
        <v>0</v>
      </c>
    </row>
    <row r="1822" spans="2:12" x14ac:dyDescent="0.85">
      <c r="B1822" s="46">
        <v>1815</v>
      </c>
      <c r="C1822" s="276"/>
      <c r="D1822" s="283"/>
      <c r="E1822" s="10"/>
      <c r="F1822" s="10"/>
      <c r="G1822" s="47">
        <v>1</v>
      </c>
      <c r="H1822" s="72"/>
      <c r="I1822" s="10"/>
      <c r="J1822" s="46">
        <f t="shared" si="57"/>
        <v>1</v>
      </c>
      <c r="K1822" s="46">
        <f>IFERROR(INDEX(TarrifTable,MATCH(Elements!E1822,Constants!$V$4:$V$7,0),MATCH(Elements!F1822,Constants!$W$3:$AA$3,0)),0)</f>
        <v>0</v>
      </c>
      <c r="L1822" s="69">
        <f t="shared" si="58"/>
        <v>0</v>
      </c>
    </row>
    <row r="1823" spans="2:12" x14ac:dyDescent="0.85">
      <c r="B1823" s="48">
        <v>1816</v>
      </c>
      <c r="C1823" s="277"/>
      <c r="D1823" s="284"/>
      <c r="E1823" s="44"/>
      <c r="F1823" s="44"/>
      <c r="G1823" s="49">
        <v>1</v>
      </c>
      <c r="H1823" s="73"/>
      <c r="I1823" s="44"/>
      <c r="J1823" s="48">
        <f t="shared" si="57"/>
        <v>1</v>
      </c>
      <c r="K1823" s="48">
        <f>IFERROR(INDEX(TarrifTable,MATCH(Elements!E1823,Constants!$V$4:$V$7,0),MATCH(Elements!F1823,Constants!$W$3:$AA$3,0)),0)</f>
        <v>0</v>
      </c>
      <c r="L1823" s="68">
        <f t="shared" si="58"/>
        <v>0</v>
      </c>
    </row>
    <row r="1824" spans="2:12" x14ac:dyDescent="0.85">
      <c r="B1824" s="46">
        <v>1817</v>
      </c>
      <c r="C1824" s="276"/>
      <c r="D1824" s="283"/>
      <c r="E1824" s="10"/>
      <c r="F1824" s="10"/>
      <c r="G1824" s="47">
        <v>1</v>
      </c>
      <c r="H1824" s="72"/>
      <c r="I1824" s="10"/>
      <c r="J1824" s="46">
        <f t="shared" si="57"/>
        <v>1</v>
      </c>
      <c r="K1824" s="46">
        <f>IFERROR(INDEX(TarrifTable,MATCH(Elements!E1824,Constants!$V$4:$V$7,0),MATCH(Elements!F1824,Constants!$W$3:$AA$3,0)),0)</f>
        <v>0</v>
      </c>
      <c r="L1824" s="69">
        <f t="shared" si="58"/>
        <v>0</v>
      </c>
    </row>
    <row r="1825" spans="2:12" x14ac:dyDescent="0.85">
      <c r="B1825" s="48">
        <v>1818</v>
      </c>
      <c r="C1825" s="277"/>
      <c r="D1825" s="284"/>
      <c r="E1825" s="44"/>
      <c r="F1825" s="44"/>
      <c r="G1825" s="49">
        <v>1</v>
      </c>
      <c r="H1825" s="73"/>
      <c r="I1825" s="44"/>
      <c r="J1825" s="48">
        <f t="shared" si="57"/>
        <v>1</v>
      </c>
      <c r="K1825" s="48">
        <f>IFERROR(INDEX(TarrifTable,MATCH(Elements!E1825,Constants!$V$4:$V$7,0),MATCH(Elements!F1825,Constants!$W$3:$AA$3,0)),0)</f>
        <v>0</v>
      </c>
      <c r="L1825" s="68">
        <f t="shared" si="58"/>
        <v>0</v>
      </c>
    </row>
    <row r="1826" spans="2:12" x14ac:dyDescent="0.85">
      <c r="B1826" s="46">
        <v>1819</v>
      </c>
      <c r="C1826" s="276"/>
      <c r="D1826" s="283"/>
      <c r="E1826" s="10"/>
      <c r="F1826" s="10"/>
      <c r="G1826" s="47">
        <v>1</v>
      </c>
      <c r="H1826" s="72"/>
      <c r="I1826" s="10"/>
      <c r="J1826" s="46">
        <f t="shared" si="57"/>
        <v>1</v>
      </c>
      <c r="K1826" s="46">
        <f>IFERROR(INDEX(TarrifTable,MATCH(Elements!E1826,Constants!$V$4:$V$7,0),MATCH(Elements!F1826,Constants!$W$3:$AA$3,0)),0)</f>
        <v>0</v>
      </c>
      <c r="L1826" s="69">
        <f t="shared" si="58"/>
        <v>0</v>
      </c>
    </row>
    <row r="1827" spans="2:12" x14ac:dyDescent="0.85">
      <c r="B1827" s="48">
        <v>1820</v>
      </c>
      <c r="C1827" s="277"/>
      <c r="D1827" s="284"/>
      <c r="E1827" s="44"/>
      <c r="F1827" s="44"/>
      <c r="G1827" s="49">
        <v>1</v>
      </c>
      <c r="H1827" s="73"/>
      <c r="I1827" s="44"/>
      <c r="J1827" s="48">
        <f t="shared" si="57"/>
        <v>1</v>
      </c>
      <c r="K1827" s="48">
        <f>IFERROR(INDEX(TarrifTable,MATCH(Elements!E1827,Constants!$V$4:$V$7,0),MATCH(Elements!F1827,Constants!$W$3:$AA$3,0)),0)</f>
        <v>0</v>
      </c>
      <c r="L1827" s="68">
        <f t="shared" si="58"/>
        <v>0</v>
      </c>
    </row>
    <row r="1828" spans="2:12" x14ac:dyDescent="0.85">
      <c r="B1828" s="46">
        <v>1821</v>
      </c>
      <c r="C1828" s="276"/>
      <c r="D1828" s="283"/>
      <c r="E1828" s="10"/>
      <c r="F1828" s="10"/>
      <c r="G1828" s="47">
        <v>1</v>
      </c>
      <c r="H1828" s="72"/>
      <c r="I1828" s="10"/>
      <c r="J1828" s="46">
        <f t="shared" si="57"/>
        <v>1</v>
      </c>
      <c r="K1828" s="46">
        <f>IFERROR(INDEX(TarrifTable,MATCH(Elements!E1828,Constants!$V$4:$V$7,0),MATCH(Elements!F1828,Constants!$W$3:$AA$3,0)),0)</f>
        <v>0</v>
      </c>
      <c r="L1828" s="69">
        <f t="shared" si="58"/>
        <v>0</v>
      </c>
    </row>
    <row r="1829" spans="2:12" x14ac:dyDescent="0.85">
      <c r="B1829" s="48">
        <v>1822</v>
      </c>
      <c r="C1829" s="277"/>
      <c r="D1829" s="284"/>
      <c r="E1829" s="44"/>
      <c r="F1829" s="44"/>
      <c r="G1829" s="49">
        <v>1</v>
      </c>
      <c r="H1829" s="73"/>
      <c r="I1829" s="44"/>
      <c r="J1829" s="48">
        <f t="shared" si="57"/>
        <v>1</v>
      </c>
      <c r="K1829" s="48">
        <f>IFERROR(INDEX(TarrifTable,MATCH(Elements!E1829,Constants!$V$4:$V$7,0),MATCH(Elements!F1829,Constants!$W$3:$AA$3,0)),0)</f>
        <v>0</v>
      </c>
      <c r="L1829" s="68">
        <f t="shared" si="58"/>
        <v>0</v>
      </c>
    </row>
    <row r="1830" spans="2:12" x14ac:dyDescent="0.85">
      <c r="B1830" s="46">
        <v>1823</v>
      </c>
      <c r="C1830" s="276"/>
      <c r="D1830" s="283"/>
      <c r="E1830" s="10"/>
      <c r="F1830" s="10"/>
      <c r="G1830" s="47">
        <v>1</v>
      </c>
      <c r="H1830" s="72"/>
      <c r="I1830" s="10"/>
      <c r="J1830" s="46">
        <f t="shared" si="57"/>
        <v>1</v>
      </c>
      <c r="K1830" s="46">
        <f>IFERROR(INDEX(TarrifTable,MATCH(Elements!E1830,Constants!$V$4:$V$7,0),MATCH(Elements!F1830,Constants!$W$3:$AA$3,0)),0)</f>
        <v>0</v>
      </c>
      <c r="L1830" s="69">
        <f t="shared" si="58"/>
        <v>0</v>
      </c>
    </row>
    <row r="1831" spans="2:12" x14ac:dyDescent="0.85">
      <c r="B1831" s="48">
        <v>1824</v>
      </c>
      <c r="C1831" s="277"/>
      <c r="D1831" s="284"/>
      <c r="E1831" s="44"/>
      <c r="F1831" s="44"/>
      <c r="G1831" s="49">
        <v>1</v>
      </c>
      <c r="H1831" s="73"/>
      <c r="I1831" s="44"/>
      <c r="J1831" s="48">
        <f t="shared" si="57"/>
        <v>1</v>
      </c>
      <c r="K1831" s="48">
        <f>IFERROR(INDEX(TarrifTable,MATCH(Elements!E1831,Constants!$V$4:$V$7,0),MATCH(Elements!F1831,Constants!$W$3:$AA$3,0)),0)</f>
        <v>0</v>
      </c>
      <c r="L1831" s="68">
        <f t="shared" si="58"/>
        <v>0</v>
      </c>
    </row>
    <row r="1832" spans="2:12" x14ac:dyDescent="0.85">
      <c r="B1832" s="46">
        <v>1825</v>
      </c>
      <c r="C1832" s="276"/>
      <c r="D1832" s="283"/>
      <c r="E1832" s="10"/>
      <c r="F1832" s="10"/>
      <c r="G1832" s="47">
        <v>1</v>
      </c>
      <c r="H1832" s="72"/>
      <c r="I1832" s="10"/>
      <c r="J1832" s="46">
        <f t="shared" si="57"/>
        <v>1</v>
      </c>
      <c r="K1832" s="46">
        <f>IFERROR(INDEX(TarrifTable,MATCH(Elements!E1832,Constants!$V$4:$V$7,0),MATCH(Elements!F1832,Constants!$W$3:$AA$3,0)),0)</f>
        <v>0</v>
      </c>
      <c r="L1832" s="69">
        <f t="shared" si="58"/>
        <v>0</v>
      </c>
    </row>
    <row r="1833" spans="2:12" x14ac:dyDescent="0.85">
      <c r="B1833" s="48">
        <v>1826</v>
      </c>
      <c r="C1833" s="277"/>
      <c r="D1833" s="284"/>
      <c r="E1833" s="44"/>
      <c r="F1833" s="44"/>
      <c r="G1833" s="49">
        <v>1</v>
      </c>
      <c r="H1833" s="73"/>
      <c r="I1833" s="44"/>
      <c r="J1833" s="48">
        <f t="shared" si="57"/>
        <v>1</v>
      </c>
      <c r="K1833" s="48">
        <f>IFERROR(INDEX(TarrifTable,MATCH(Elements!E1833,Constants!$V$4:$V$7,0),MATCH(Elements!F1833,Constants!$W$3:$AA$3,0)),0)</f>
        <v>0</v>
      </c>
      <c r="L1833" s="68">
        <f t="shared" si="58"/>
        <v>0</v>
      </c>
    </row>
    <row r="1834" spans="2:12" x14ac:dyDescent="0.85">
      <c r="B1834" s="46">
        <v>1827</v>
      </c>
      <c r="C1834" s="276"/>
      <c r="D1834" s="283"/>
      <c r="E1834" s="10"/>
      <c r="F1834" s="10"/>
      <c r="G1834" s="47">
        <v>1</v>
      </c>
      <c r="H1834" s="72"/>
      <c r="I1834" s="10"/>
      <c r="J1834" s="46">
        <f t="shared" si="57"/>
        <v>1</v>
      </c>
      <c r="K1834" s="46">
        <f>IFERROR(INDEX(TarrifTable,MATCH(Elements!E1834,Constants!$V$4:$V$7,0),MATCH(Elements!F1834,Constants!$W$3:$AA$3,0)),0)</f>
        <v>0</v>
      </c>
      <c r="L1834" s="69">
        <f t="shared" si="58"/>
        <v>0</v>
      </c>
    </row>
    <row r="1835" spans="2:12" x14ac:dyDescent="0.85">
      <c r="B1835" s="48">
        <v>1828</v>
      </c>
      <c r="C1835" s="277"/>
      <c r="D1835" s="284"/>
      <c r="E1835" s="44"/>
      <c r="F1835" s="44"/>
      <c r="G1835" s="49">
        <v>1</v>
      </c>
      <c r="H1835" s="73"/>
      <c r="I1835" s="44"/>
      <c r="J1835" s="48">
        <f t="shared" si="57"/>
        <v>1</v>
      </c>
      <c r="K1835" s="48">
        <f>IFERROR(INDEX(TarrifTable,MATCH(Elements!E1835,Constants!$V$4:$V$7,0),MATCH(Elements!F1835,Constants!$W$3:$AA$3,0)),0)</f>
        <v>0</v>
      </c>
      <c r="L1835" s="68">
        <f t="shared" si="58"/>
        <v>0</v>
      </c>
    </row>
    <row r="1836" spans="2:12" x14ac:dyDescent="0.85">
      <c r="B1836" s="46">
        <v>1829</v>
      </c>
      <c r="C1836" s="276"/>
      <c r="D1836" s="283"/>
      <c r="E1836" s="10"/>
      <c r="F1836" s="10"/>
      <c r="G1836" s="47">
        <v>1</v>
      </c>
      <c r="H1836" s="72"/>
      <c r="I1836" s="10"/>
      <c r="J1836" s="46">
        <f t="shared" si="57"/>
        <v>1</v>
      </c>
      <c r="K1836" s="46">
        <f>IFERROR(INDEX(TarrifTable,MATCH(Elements!E1836,Constants!$V$4:$V$7,0),MATCH(Elements!F1836,Constants!$W$3:$AA$3,0)),0)</f>
        <v>0</v>
      </c>
      <c r="L1836" s="69">
        <f t="shared" si="58"/>
        <v>0</v>
      </c>
    </row>
    <row r="1837" spans="2:12" x14ac:dyDescent="0.85">
      <c r="B1837" s="48">
        <v>1830</v>
      </c>
      <c r="C1837" s="277"/>
      <c r="D1837" s="284"/>
      <c r="E1837" s="44"/>
      <c r="F1837" s="44"/>
      <c r="G1837" s="49">
        <v>1</v>
      </c>
      <c r="H1837" s="73"/>
      <c r="I1837" s="44"/>
      <c r="J1837" s="48">
        <f t="shared" si="57"/>
        <v>1</v>
      </c>
      <c r="K1837" s="48">
        <f>IFERROR(INDEX(TarrifTable,MATCH(Elements!E1837,Constants!$V$4:$V$7,0),MATCH(Elements!F1837,Constants!$W$3:$AA$3,0)),0)</f>
        <v>0</v>
      </c>
      <c r="L1837" s="68">
        <f t="shared" si="58"/>
        <v>0</v>
      </c>
    </row>
    <row r="1838" spans="2:12" x14ac:dyDescent="0.85">
      <c r="B1838" s="46">
        <v>1831</v>
      </c>
      <c r="C1838" s="276"/>
      <c r="D1838" s="283"/>
      <c r="E1838" s="10"/>
      <c r="F1838" s="10"/>
      <c r="G1838" s="47">
        <v>1</v>
      </c>
      <c r="H1838" s="72"/>
      <c r="I1838" s="10"/>
      <c r="J1838" s="46">
        <f t="shared" si="57"/>
        <v>1</v>
      </c>
      <c r="K1838" s="46">
        <f>IFERROR(INDEX(TarrifTable,MATCH(Elements!E1838,Constants!$V$4:$V$7,0),MATCH(Elements!F1838,Constants!$W$3:$AA$3,0)),0)</f>
        <v>0</v>
      </c>
      <c r="L1838" s="69">
        <f t="shared" si="58"/>
        <v>0</v>
      </c>
    </row>
    <row r="1839" spans="2:12" x14ac:dyDescent="0.85">
      <c r="B1839" s="48">
        <v>1832</v>
      </c>
      <c r="C1839" s="277"/>
      <c r="D1839" s="284"/>
      <c r="E1839" s="44"/>
      <c r="F1839" s="44"/>
      <c r="G1839" s="49">
        <v>1</v>
      </c>
      <c r="H1839" s="73"/>
      <c r="I1839" s="44"/>
      <c r="J1839" s="48">
        <f t="shared" si="57"/>
        <v>1</v>
      </c>
      <c r="K1839" s="48">
        <f>IFERROR(INDEX(TarrifTable,MATCH(Elements!E1839,Constants!$V$4:$V$7,0),MATCH(Elements!F1839,Constants!$W$3:$AA$3,0)),0)</f>
        <v>0</v>
      </c>
      <c r="L1839" s="68">
        <f t="shared" si="58"/>
        <v>0</v>
      </c>
    </row>
    <row r="1840" spans="2:12" x14ac:dyDescent="0.85">
      <c r="B1840" s="46">
        <v>1833</v>
      </c>
      <c r="C1840" s="276"/>
      <c r="D1840" s="283"/>
      <c r="E1840" s="10"/>
      <c r="F1840" s="10"/>
      <c r="G1840" s="47">
        <v>1</v>
      </c>
      <c r="H1840" s="72"/>
      <c r="I1840" s="10"/>
      <c r="J1840" s="46">
        <f t="shared" si="57"/>
        <v>1</v>
      </c>
      <c r="K1840" s="46">
        <f>IFERROR(INDEX(TarrifTable,MATCH(Elements!E1840,Constants!$V$4:$V$7,0),MATCH(Elements!F1840,Constants!$W$3:$AA$3,0)),0)</f>
        <v>0</v>
      </c>
      <c r="L1840" s="69">
        <f t="shared" si="58"/>
        <v>0</v>
      </c>
    </row>
    <row r="1841" spans="2:12" x14ac:dyDescent="0.85">
      <c r="B1841" s="48">
        <v>1834</v>
      </c>
      <c r="C1841" s="277"/>
      <c r="D1841" s="284"/>
      <c r="E1841" s="44"/>
      <c r="F1841" s="44"/>
      <c r="G1841" s="49">
        <v>1</v>
      </c>
      <c r="H1841" s="73"/>
      <c r="I1841" s="44"/>
      <c r="J1841" s="48">
        <f t="shared" si="57"/>
        <v>1</v>
      </c>
      <c r="K1841" s="48">
        <f>IFERROR(INDEX(TarrifTable,MATCH(Elements!E1841,Constants!$V$4:$V$7,0),MATCH(Elements!F1841,Constants!$W$3:$AA$3,0)),0)</f>
        <v>0</v>
      </c>
      <c r="L1841" s="68">
        <f t="shared" si="58"/>
        <v>0</v>
      </c>
    </row>
    <row r="1842" spans="2:12" x14ac:dyDescent="0.85">
      <c r="B1842" s="46">
        <v>1835</v>
      </c>
      <c r="C1842" s="276"/>
      <c r="D1842" s="283"/>
      <c r="E1842" s="10"/>
      <c r="F1842" s="10"/>
      <c r="G1842" s="47">
        <v>1</v>
      </c>
      <c r="H1842" s="72"/>
      <c r="I1842" s="10"/>
      <c r="J1842" s="46">
        <f t="shared" si="57"/>
        <v>1</v>
      </c>
      <c r="K1842" s="46">
        <f>IFERROR(INDEX(TarrifTable,MATCH(Elements!E1842,Constants!$V$4:$V$7,0),MATCH(Elements!F1842,Constants!$W$3:$AA$3,0)),0)</f>
        <v>0</v>
      </c>
      <c r="L1842" s="69">
        <f t="shared" si="58"/>
        <v>0</v>
      </c>
    </row>
    <row r="1843" spans="2:12" x14ac:dyDescent="0.85">
      <c r="B1843" s="48">
        <v>1836</v>
      </c>
      <c r="C1843" s="277"/>
      <c r="D1843" s="284"/>
      <c r="E1843" s="44"/>
      <c r="F1843" s="44"/>
      <c r="G1843" s="49">
        <v>1</v>
      </c>
      <c r="H1843" s="73"/>
      <c r="I1843" s="44"/>
      <c r="J1843" s="48">
        <f t="shared" si="57"/>
        <v>1</v>
      </c>
      <c r="K1843" s="48">
        <f>IFERROR(INDEX(TarrifTable,MATCH(Elements!E1843,Constants!$V$4:$V$7,0),MATCH(Elements!F1843,Constants!$W$3:$AA$3,0)),0)</f>
        <v>0</v>
      </c>
      <c r="L1843" s="68">
        <f t="shared" si="58"/>
        <v>0</v>
      </c>
    </row>
    <row r="1844" spans="2:12" x14ac:dyDescent="0.85">
      <c r="B1844" s="46">
        <v>1837</v>
      </c>
      <c r="C1844" s="276"/>
      <c r="D1844" s="283"/>
      <c r="E1844" s="10"/>
      <c r="F1844" s="10"/>
      <c r="G1844" s="47">
        <v>1</v>
      </c>
      <c r="H1844" s="72"/>
      <c r="I1844" s="10"/>
      <c r="J1844" s="46">
        <f t="shared" si="57"/>
        <v>1</v>
      </c>
      <c r="K1844" s="46">
        <f>IFERROR(INDEX(TarrifTable,MATCH(Elements!E1844,Constants!$V$4:$V$7,0),MATCH(Elements!F1844,Constants!$W$3:$AA$3,0)),0)</f>
        <v>0</v>
      </c>
      <c r="L1844" s="69">
        <f t="shared" si="58"/>
        <v>0</v>
      </c>
    </row>
    <row r="1845" spans="2:12" x14ac:dyDescent="0.85">
      <c r="B1845" s="48">
        <v>1838</v>
      </c>
      <c r="C1845" s="277"/>
      <c r="D1845" s="284"/>
      <c r="E1845" s="44"/>
      <c r="F1845" s="44"/>
      <c r="G1845" s="49">
        <v>1</v>
      </c>
      <c r="H1845" s="73"/>
      <c r="I1845" s="44"/>
      <c r="J1845" s="48">
        <f t="shared" si="57"/>
        <v>1</v>
      </c>
      <c r="K1845" s="48">
        <f>IFERROR(INDEX(TarrifTable,MATCH(Elements!E1845,Constants!$V$4:$V$7,0),MATCH(Elements!F1845,Constants!$W$3:$AA$3,0)),0)</f>
        <v>0</v>
      </c>
      <c r="L1845" s="68">
        <f t="shared" si="58"/>
        <v>0</v>
      </c>
    </row>
    <row r="1846" spans="2:12" x14ac:dyDescent="0.85">
      <c r="B1846" s="46">
        <v>1839</v>
      </c>
      <c r="C1846" s="276"/>
      <c r="D1846" s="283"/>
      <c r="E1846" s="10"/>
      <c r="F1846" s="10"/>
      <c r="G1846" s="47">
        <v>1</v>
      </c>
      <c r="H1846" s="72"/>
      <c r="I1846" s="10"/>
      <c r="J1846" s="46">
        <f t="shared" si="57"/>
        <v>1</v>
      </c>
      <c r="K1846" s="46">
        <f>IFERROR(INDEX(TarrifTable,MATCH(Elements!E1846,Constants!$V$4:$V$7,0),MATCH(Elements!F1846,Constants!$W$3:$AA$3,0)),0)</f>
        <v>0</v>
      </c>
      <c r="L1846" s="69">
        <f t="shared" si="58"/>
        <v>0</v>
      </c>
    </row>
    <row r="1847" spans="2:12" x14ac:dyDescent="0.85">
      <c r="B1847" s="48">
        <v>1840</v>
      </c>
      <c r="C1847" s="277"/>
      <c r="D1847" s="284"/>
      <c r="E1847" s="44"/>
      <c r="F1847" s="44"/>
      <c r="G1847" s="49">
        <v>1</v>
      </c>
      <c r="H1847" s="73"/>
      <c r="I1847" s="44"/>
      <c r="J1847" s="48">
        <f t="shared" si="57"/>
        <v>1</v>
      </c>
      <c r="K1847" s="48">
        <f>IFERROR(INDEX(TarrifTable,MATCH(Elements!E1847,Constants!$V$4:$V$7,0),MATCH(Elements!F1847,Constants!$W$3:$AA$3,0)),0)</f>
        <v>0</v>
      </c>
      <c r="L1847" s="68">
        <f t="shared" si="58"/>
        <v>0</v>
      </c>
    </row>
    <row r="1848" spans="2:12" x14ac:dyDescent="0.85">
      <c r="B1848" s="46">
        <v>1841</v>
      </c>
      <c r="C1848" s="276"/>
      <c r="D1848" s="283"/>
      <c r="E1848" s="10"/>
      <c r="F1848" s="10"/>
      <c r="G1848" s="47">
        <v>1</v>
      </c>
      <c r="H1848" s="72"/>
      <c r="I1848" s="10"/>
      <c r="J1848" s="46">
        <f t="shared" si="57"/>
        <v>1</v>
      </c>
      <c r="K1848" s="46">
        <f>IFERROR(INDEX(TarrifTable,MATCH(Elements!E1848,Constants!$V$4:$V$7,0),MATCH(Elements!F1848,Constants!$W$3:$AA$3,0)),0)</f>
        <v>0</v>
      </c>
      <c r="L1848" s="69">
        <f t="shared" si="58"/>
        <v>0</v>
      </c>
    </row>
    <row r="1849" spans="2:12" x14ac:dyDescent="0.85">
      <c r="B1849" s="48">
        <v>1842</v>
      </c>
      <c r="C1849" s="277"/>
      <c r="D1849" s="284"/>
      <c r="E1849" s="44"/>
      <c r="F1849" s="44"/>
      <c r="G1849" s="49">
        <v>1</v>
      </c>
      <c r="H1849" s="73"/>
      <c r="I1849" s="44"/>
      <c r="J1849" s="48">
        <f t="shared" si="57"/>
        <v>1</v>
      </c>
      <c r="K1849" s="48">
        <f>IFERROR(INDEX(TarrifTable,MATCH(Elements!E1849,Constants!$V$4:$V$7,0),MATCH(Elements!F1849,Constants!$W$3:$AA$3,0)),0)</f>
        <v>0</v>
      </c>
      <c r="L1849" s="68">
        <f t="shared" si="58"/>
        <v>0</v>
      </c>
    </row>
    <row r="1850" spans="2:12" x14ac:dyDescent="0.85">
      <c r="B1850" s="46">
        <v>1843</v>
      </c>
      <c r="C1850" s="276"/>
      <c r="D1850" s="283"/>
      <c r="E1850" s="10"/>
      <c r="F1850" s="10"/>
      <c r="G1850" s="47">
        <v>1</v>
      </c>
      <c r="H1850" s="72"/>
      <c r="I1850" s="10"/>
      <c r="J1850" s="46">
        <f t="shared" si="57"/>
        <v>1</v>
      </c>
      <c r="K1850" s="46">
        <f>IFERROR(INDEX(TarrifTable,MATCH(Elements!E1850,Constants!$V$4:$V$7,0),MATCH(Elements!F1850,Constants!$W$3:$AA$3,0)),0)</f>
        <v>0</v>
      </c>
      <c r="L1850" s="69">
        <f t="shared" si="58"/>
        <v>0</v>
      </c>
    </row>
    <row r="1851" spans="2:12" x14ac:dyDescent="0.85">
      <c r="B1851" s="48">
        <v>1844</v>
      </c>
      <c r="C1851" s="277"/>
      <c r="D1851" s="284"/>
      <c r="E1851" s="44"/>
      <c r="F1851" s="44"/>
      <c r="G1851" s="49">
        <v>1</v>
      </c>
      <c r="H1851" s="73"/>
      <c r="I1851" s="44"/>
      <c r="J1851" s="48">
        <f t="shared" si="57"/>
        <v>1</v>
      </c>
      <c r="K1851" s="48">
        <f>IFERROR(INDEX(TarrifTable,MATCH(Elements!E1851,Constants!$V$4:$V$7,0),MATCH(Elements!F1851,Constants!$W$3:$AA$3,0)),0)</f>
        <v>0</v>
      </c>
      <c r="L1851" s="68">
        <f t="shared" si="58"/>
        <v>0</v>
      </c>
    </row>
    <row r="1852" spans="2:12" x14ac:dyDescent="0.85">
      <c r="B1852" s="46">
        <v>1845</v>
      </c>
      <c r="C1852" s="276"/>
      <c r="D1852" s="283"/>
      <c r="E1852" s="10"/>
      <c r="F1852" s="10"/>
      <c r="G1852" s="47">
        <v>1</v>
      </c>
      <c r="H1852" s="72"/>
      <c r="I1852" s="10"/>
      <c r="J1852" s="46">
        <f t="shared" si="57"/>
        <v>1</v>
      </c>
      <c r="K1852" s="46">
        <f>IFERROR(INDEX(TarrifTable,MATCH(Elements!E1852,Constants!$V$4:$V$7,0),MATCH(Elements!F1852,Constants!$W$3:$AA$3,0)),0)</f>
        <v>0</v>
      </c>
      <c r="L1852" s="69">
        <f t="shared" si="58"/>
        <v>0</v>
      </c>
    </row>
    <row r="1853" spans="2:12" x14ac:dyDescent="0.85">
      <c r="B1853" s="48">
        <v>1846</v>
      </c>
      <c r="C1853" s="277"/>
      <c r="D1853" s="284"/>
      <c r="E1853" s="44"/>
      <c r="F1853" s="44"/>
      <c r="G1853" s="49">
        <v>1</v>
      </c>
      <c r="H1853" s="73"/>
      <c r="I1853" s="44"/>
      <c r="J1853" s="48">
        <f t="shared" si="57"/>
        <v>1</v>
      </c>
      <c r="K1853" s="48">
        <f>IFERROR(INDEX(TarrifTable,MATCH(Elements!E1853,Constants!$V$4:$V$7,0),MATCH(Elements!F1853,Constants!$W$3:$AA$3,0)),0)</f>
        <v>0</v>
      </c>
      <c r="L1853" s="68">
        <f t="shared" si="58"/>
        <v>0</v>
      </c>
    </row>
    <row r="1854" spans="2:12" x14ac:dyDescent="0.85">
      <c r="B1854" s="46">
        <v>1847</v>
      </c>
      <c r="C1854" s="276"/>
      <c r="D1854" s="283"/>
      <c r="E1854" s="10"/>
      <c r="F1854" s="10"/>
      <c r="G1854" s="47">
        <v>1</v>
      </c>
      <c r="H1854" s="72"/>
      <c r="I1854" s="10"/>
      <c r="J1854" s="46">
        <f t="shared" si="57"/>
        <v>1</v>
      </c>
      <c r="K1854" s="46">
        <f>IFERROR(INDEX(TarrifTable,MATCH(Elements!E1854,Constants!$V$4:$V$7,0),MATCH(Elements!F1854,Constants!$W$3:$AA$3,0)),0)</f>
        <v>0</v>
      </c>
      <c r="L1854" s="69">
        <f t="shared" si="58"/>
        <v>0</v>
      </c>
    </row>
    <row r="1855" spans="2:12" x14ac:dyDescent="0.85">
      <c r="B1855" s="48">
        <v>1848</v>
      </c>
      <c r="C1855" s="277"/>
      <c r="D1855" s="284"/>
      <c r="E1855" s="44"/>
      <c r="F1855" s="44"/>
      <c r="G1855" s="49">
        <v>1</v>
      </c>
      <c r="H1855" s="73"/>
      <c r="I1855" s="44"/>
      <c r="J1855" s="48">
        <f t="shared" si="57"/>
        <v>1</v>
      </c>
      <c r="K1855" s="48">
        <f>IFERROR(INDEX(TarrifTable,MATCH(Elements!E1855,Constants!$V$4:$V$7,0),MATCH(Elements!F1855,Constants!$W$3:$AA$3,0)),0)</f>
        <v>0</v>
      </c>
      <c r="L1855" s="68">
        <f t="shared" si="58"/>
        <v>0</v>
      </c>
    </row>
    <row r="1856" spans="2:12" x14ac:dyDescent="0.85">
      <c r="B1856" s="46">
        <v>1849</v>
      </c>
      <c r="C1856" s="276"/>
      <c r="D1856" s="283"/>
      <c r="E1856" s="10"/>
      <c r="F1856" s="10"/>
      <c r="G1856" s="47">
        <v>1</v>
      </c>
      <c r="H1856" s="72"/>
      <c r="I1856" s="10"/>
      <c r="J1856" s="46">
        <f t="shared" si="57"/>
        <v>1</v>
      </c>
      <c r="K1856" s="46">
        <f>IFERROR(INDEX(TarrifTable,MATCH(Elements!E1856,Constants!$V$4:$V$7,0),MATCH(Elements!F1856,Constants!$W$3:$AA$3,0)),0)</f>
        <v>0</v>
      </c>
      <c r="L1856" s="69">
        <f t="shared" si="58"/>
        <v>0</v>
      </c>
    </row>
    <row r="1857" spans="2:12" x14ac:dyDescent="0.85">
      <c r="B1857" s="48">
        <v>1850</v>
      </c>
      <c r="C1857" s="277"/>
      <c r="D1857" s="284"/>
      <c r="E1857" s="44"/>
      <c r="F1857" s="44"/>
      <c r="G1857" s="49">
        <v>1</v>
      </c>
      <c r="H1857" s="73"/>
      <c r="I1857" s="44"/>
      <c r="J1857" s="48">
        <f t="shared" si="57"/>
        <v>1</v>
      </c>
      <c r="K1857" s="48">
        <f>IFERROR(INDEX(TarrifTable,MATCH(Elements!E1857,Constants!$V$4:$V$7,0),MATCH(Elements!F1857,Constants!$W$3:$AA$3,0)),0)</f>
        <v>0</v>
      </c>
      <c r="L1857" s="68">
        <f t="shared" si="58"/>
        <v>0</v>
      </c>
    </row>
    <row r="1858" spans="2:12" x14ac:dyDescent="0.85">
      <c r="B1858" s="46">
        <v>1851</v>
      </c>
      <c r="C1858" s="276"/>
      <c r="D1858" s="283"/>
      <c r="E1858" s="10"/>
      <c r="F1858" s="10"/>
      <c r="G1858" s="47">
        <v>1</v>
      </c>
      <c r="H1858" s="72"/>
      <c r="I1858" s="10"/>
      <c r="J1858" s="46">
        <f t="shared" si="57"/>
        <v>1</v>
      </c>
      <c r="K1858" s="46">
        <f>IFERROR(INDEX(TarrifTable,MATCH(Elements!E1858,Constants!$V$4:$V$7,0),MATCH(Elements!F1858,Constants!$W$3:$AA$3,0)),0)</f>
        <v>0</v>
      </c>
      <c r="L1858" s="69">
        <f t="shared" si="58"/>
        <v>0</v>
      </c>
    </row>
    <row r="1859" spans="2:12" x14ac:dyDescent="0.85">
      <c r="B1859" s="48">
        <v>1852</v>
      </c>
      <c r="C1859" s="277"/>
      <c r="D1859" s="284"/>
      <c r="E1859" s="44"/>
      <c r="F1859" s="44"/>
      <c r="G1859" s="49">
        <v>1</v>
      </c>
      <c r="H1859" s="73"/>
      <c r="I1859" s="44"/>
      <c r="J1859" s="48">
        <f t="shared" si="57"/>
        <v>1</v>
      </c>
      <c r="K1859" s="48">
        <f>IFERROR(INDEX(TarrifTable,MATCH(Elements!E1859,Constants!$V$4:$V$7,0),MATCH(Elements!F1859,Constants!$W$3:$AA$3,0)),0)</f>
        <v>0</v>
      </c>
      <c r="L1859" s="68">
        <f t="shared" si="58"/>
        <v>0</v>
      </c>
    </row>
    <row r="1860" spans="2:12" x14ac:dyDescent="0.85">
      <c r="B1860" s="46">
        <v>1853</v>
      </c>
      <c r="C1860" s="276"/>
      <c r="D1860" s="283"/>
      <c r="E1860" s="10"/>
      <c r="F1860" s="10"/>
      <c r="G1860" s="47">
        <v>1</v>
      </c>
      <c r="H1860" s="72"/>
      <c r="I1860" s="10"/>
      <c r="J1860" s="46">
        <f t="shared" si="57"/>
        <v>1</v>
      </c>
      <c r="K1860" s="46">
        <f>IFERROR(INDEX(TarrifTable,MATCH(Elements!E1860,Constants!$V$4:$V$7,0),MATCH(Elements!F1860,Constants!$W$3:$AA$3,0)),0)</f>
        <v>0</v>
      </c>
      <c r="L1860" s="69">
        <f t="shared" si="58"/>
        <v>0</v>
      </c>
    </row>
    <row r="1861" spans="2:12" x14ac:dyDescent="0.85">
      <c r="B1861" s="48">
        <v>1854</v>
      </c>
      <c r="C1861" s="277"/>
      <c r="D1861" s="284"/>
      <c r="E1861" s="44"/>
      <c r="F1861" s="44"/>
      <c r="G1861" s="49">
        <v>1</v>
      </c>
      <c r="H1861" s="73"/>
      <c r="I1861" s="44"/>
      <c r="J1861" s="48">
        <f t="shared" si="57"/>
        <v>1</v>
      </c>
      <c r="K1861" s="48">
        <f>IFERROR(INDEX(TarrifTable,MATCH(Elements!E1861,Constants!$V$4:$V$7,0),MATCH(Elements!F1861,Constants!$W$3:$AA$3,0)),0)</f>
        <v>0</v>
      </c>
      <c r="L1861" s="68">
        <f t="shared" si="58"/>
        <v>0</v>
      </c>
    </row>
    <row r="1862" spans="2:12" x14ac:dyDescent="0.85">
      <c r="B1862" s="46">
        <v>1855</v>
      </c>
      <c r="C1862" s="276"/>
      <c r="D1862" s="283"/>
      <c r="E1862" s="10"/>
      <c r="F1862" s="10"/>
      <c r="G1862" s="47">
        <v>1</v>
      </c>
      <c r="H1862" s="72"/>
      <c r="I1862" s="10"/>
      <c r="J1862" s="46">
        <f t="shared" si="57"/>
        <v>1</v>
      </c>
      <c r="K1862" s="46">
        <f>IFERROR(INDEX(TarrifTable,MATCH(Elements!E1862,Constants!$V$4:$V$7,0),MATCH(Elements!F1862,Constants!$W$3:$AA$3,0)),0)</f>
        <v>0</v>
      </c>
      <c r="L1862" s="69">
        <f t="shared" si="58"/>
        <v>0</v>
      </c>
    </row>
    <row r="1863" spans="2:12" x14ac:dyDescent="0.85">
      <c r="B1863" s="48">
        <v>1856</v>
      </c>
      <c r="C1863" s="277"/>
      <c r="D1863" s="284"/>
      <c r="E1863" s="44"/>
      <c r="F1863" s="44"/>
      <c r="G1863" s="49">
        <v>1</v>
      </c>
      <c r="H1863" s="73"/>
      <c r="I1863" s="44"/>
      <c r="J1863" s="48">
        <f t="shared" si="57"/>
        <v>1</v>
      </c>
      <c r="K1863" s="48">
        <f>IFERROR(INDEX(TarrifTable,MATCH(Elements!E1863,Constants!$V$4:$V$7,0),MATCH(Elements!F1863,Constants!$W$3:$AA$3,0)),0)</f>
        <v>0</v>
      </c>
      <c r="L1863" s="68">
        <f t="shared" si="58"/>
        <v>0</v>
      </c>
    </row>
    <row r="1864" spans="2:12" x14ac:dyDescent="0.85">
      <c r="B1864" s="46">
        <v>1857</v>
      </c>
      <c r="C1864" s="276"/>
      <c r="D1864" s="283"/>
      <c r="E1864" s="10"/>
      <c r="F1864" s="10"/>
      <c r="G1864" s="47">
        <v>1</v>
      </c>
      <c r="H1864" s="72"/>
      <c r="I1864" s="10"/>
      <c r="J1864" s="46">
        <f t="shared" ref="J1864:J1927" si="59">IF(ISBLANK(H1864),1,H1864)</f>
        <v>1</v>
      </c>
      <c r="K1864" s="46">
        <f>IFERROR(INDEX(TarrifTable,MATCH(Elements!E1864,Constants!$V$4:$V$7,0),MATCH(Elements!F1864,Constants!$W$3:$AA$3,0)),0)</f>
        <v>0</v>
      </c>
      <c r="L1864" s="69">
        <f t="shared" ref="L1864:L1927" si="60">J1864*G1864*K1864</f>
        <v>0</v>
      </c>
    </row>
    <row r="1865" spans="2:12" x14ac:dyDescent="0.85">
      <c r="B1865" s="48">
        <v>1858</v>
      </c>
      <c r="C1865" s="277"/>
      <c r="D1865" s="284"/>
      <c r="E1865" s="44"/>
      <c r="F1865" s="44"/>
      <c r="G1865" s="49">
        <v>1</v>
      </c>
      <c r="H1865" s="73"/>
      <c r="I1865" s="44"/>
      <c r="J1865" s="48">
        <f t="shared" si="59"/>
        <v>1</v>
      </c>
      <c r="K1865" s="48">
        <f>IFERROR(INDEX(TarrifTable,MATCH(Elements!E1865,Constants!$V$4:$V$7,0),MATCH(Elements!F1865,Constants!$W$3:$AA$3,0)),0)</f>
        <v>0</v>
      </c>
      <c r="L1865" s="68">
        <f t="shared" si="60"/>
        <v>0</v>
      </c>
    </row>
    <row r="1866" spans="2:12" x14ac:dyDescent="0.85">
      <c r="B1866" s="46">
        <v>1859</v>
      </c>
      <c r="C1866" s="276"/>
      <c r="D1866" s="283"/>
      <c r="E1866" s="10"/>
      <c r="F1866" s="10"/>
      <c r="G1866" s="47">
        <v>1</v>
      </c>
      <c r="H1866" s="72"/>
      <c r="I1866" s="10"/>
      <c r="J1866" s="46">
        <f t="shared" si="59"/>
        <v>1</v>
      </c>
      <c r="K1866" s="46">
        <f>IFERROR(INDEX(TarrifTable,MATCH(Elements!E1866,Constants!$V$4:$V$7,0),MATCH(Elements!F1866,Constants!$W$3:$AA$3,0)),0)</f>
        <v>0</v>
      </c>
      <c r="L1866" s="69">
        <f t="shared" si="60"/>
        <v>0</v>
      </c>
    </row>
    <row r="1867" spans="2:12" x14ac:dyDescent="0.85">
      <c r="B1867" s="48">
        <v>1860</v>
      </c>
      <c r="C1867" s="277"/>
      <c r="D1867" s="284"/>
      <c r="E1867" s="44"/>
      <c r="F1867" s="44"/>
      <c r="G1867" s="49">
        <v>1</v>
      </c>
      <c r="H1867" s="73"/>
      <c r="I1867" s="44"/>
      <c r="J1867" s="48">
        <f t="shared" si="59"/>
        <v>1</v>
      </c>
      <c r="K1867" s="48">
        <f>IFERROR(INDEX(TarrifTable,MATCH(Elements!E1867,Constants!$V$4:$V$7,0),MATCH(Elements!F1867,Constants!$W$3:$AA$3,0)),0)</f>
        <v>0</v>
      </c>
      <c r="L1867" s="68">
        <f t="shared" si="60"/>
        <v>0</v>
      </c>
    </row>
    <row r="1868" spans="2:12" x14ac:dyDescent="0.85">
      <c r="B1868" s="46">
        <v>1861</v>
      </c>
      <c r="C1868" s="276"/>
      <c r="D1868" s="283"/>
      <c r="E1868" s="10"/>
      <c r="F1868" s="10"/>
      <c r="G1868" s="47">
        <v>1</v>
      </c>
      <c r="H1868" s="72"/>
      <c r="I1868" s="10"/>
      <c r="J1868" s="46">
        <f t="shared" si="59"/>
        <v>1</v>
      </c>
      <c r="K1868" s="46">
        <f>IFERROR(INDEX(TarrifTable,MATCH(Elements!E1868,Constants!$V$4:$V$7,0),MATCH(Elements!F1868,Constants!$W$3:$AA$3,0)),0)</f>
        <v>0</v>
      </c>
      <c r="L1868" s="69">
        <f t="shared" si="60"/>
        <v>0</v>
      </c>
    </row>
    <row r="1869" spans="2:12" x14ac:dyDescent="0.85">
      <c r="B1869" s="48">
        <v>1862</v>
      </c>
      <c r="C1869" s="277"/>
      <c r="D1869" s="284"/>
      <c r="E1869" s="44"/>
      <c r="F1869" s="44"/>
      <c r="G1869" s="49">
        <v>1</v>
      </c>
      <c r="H1869" s="73"/>
      <c r="I1869" s="44"/>
      <c r="J1869" s="48">
        <f t="shared" si="59"/>
        <v>1</v>
      </c>
      <c r="K1869" s="48">
        <f>IFERROR(INDEX(TarrifTable,MATCH(Elements!E1869,Constants!$V$4:$V$7,0),MATCH(Elements!F1869,Constants!$W$3:$AA$3,0)),0)</f>
        <v>0</v>
      </c>
      <c r="L1869" s="68">
        <f t="shared" si="60"/>
        <v>0</v>
      </c>
    </row>
    <row r="1870" spans="2:12" x14ac:dyDescent="0.85">
      <c r="B1870" s="46">
        <v>1863</v>
      </c>
      <c r="C1870" s="276"/>
      <c r="D1870" s="283"/>
      <c r="E1870" s="10"/>
      <c r="F1870" s="10"/>
      <c r="G1870" s="47">
        <v>1</v>
      </c>
      <c r="H1870" s="72"/>
      <c r="I1870" s="10"/>
      <c r="J1870" s="46">
        <f t="shared" si="59"/>
        <v>1</v>
      </c>
      <c r="K1870" s="46">
        <f>IFERROR(INDEX(TarrifTable,MATCH(Elements!E1870,Constants!$V$4:$V$7,0),MATCH(Elements!F1870,Constants!$W$3:$AA$3,0)),0)</f>
        <v>0</v>
      </c>
      <c r="L1870" s="69">
        <f t="shared" si="60"/>
        <v>0</v>
      </c>
    </row>
    <row r="1871" spans="2:12" x14ac:dyDescent="0.85">
      <c r="B1871" s="48">
        <v>1864</v>
      </c>
      <c r="C1871" s="277"/>
      <c r="D1871" s="284"/>
      <c r="E1871" s="44"/>
      <c r="F1871" s="44"/>
      <c r="G1871" s="49">
        <v>1</v>
      </c>
      <c r="H1871" s="73"/>
      <c r="I1871" s="44"/>
      <c r="J1871" s="48">
        <f t="shared" si="59"/>
        <v>1</v>
      </c>
      <c r="K1871" s="48">
        <f>IFERROR(INDEX(TarrifTable,MATCH(Elements!E1871,Constants!$V$4:$V$7,0),MATCH(Elements!F1871,Constants!$W$3:$AA$3,0)),0)</f>
        <v>0</v>
      </c>
      <c r="L1871" s="68">
        <f t="shared" si="60"/>
        <v>0</v>
      </c>
    </row>
    <row r="1872" spans="2:12" x14ac:dyDescent="0.85">
      <c r="B1872" s="46">
        <v>1865</v>
      </c>
      <c r="C1872" s="276"/>
      <c r="D1872" s="283"/>
      <c r="E1872" s="10"/>
      <c r="F1872" s="10"/>
      <c r="G1872" s="47">
        <v>1</v>
      </c>
      <c r="H1872" s="72"/>
      <c r="I1872" s="10"/>
      <c r="J1872" s="46">
        <f t="shared" si="59"/>
        <v>1</v>
      </c>
      <c r="K1872" s="46">
        <f>IFERROR(INDEX(TarrifTable,MATCH(Elements!E1872,Constants!$V$4:$V$7,0),MATCH(Elements!F1872,Constants!$W$3:$AA$3,0)),0)</f>
        <v>0</v>
      </c>
      <c r="L1872" s="69">
        <f t="shared" si="60"/>
        <v>0</v>
      </c>
    </row>
    <row r="1873" spans="2:12" x14ac:dyDescent="0.85">
      <c r="B1873" s="48">
        <v>1866</v>
      </c>
      <c r="C1873" s="277"/>
      <c r="D1873" s="284"/>
      <c r="E1873" s="44"/>
      <c r="F1873" s="44"/>
      <c r="G1873" s="49">
        <v>1</v>
      </c>
      <c r="H1873" s="73"/>
      <c r="I1873" s="44"/>
      <c r="J1873" s="48">
        <f t="shared" si="59"/>
        <v>1</v>
      </c>
      <c r="K1873" s="48">
        <f>IFERROR(INDEX(TarrifTable,MATCH(Elements!E1873,Constants!$V$4:$V$7,0),MATCH(Elements!F1873,Constants!$W$3:$AA$3,0)),0)</f>
        <v>0</v>
      </c>
      <c r="L1873" s="68">
        <f t="shared" si="60"/>
        <v>0</v>
      </c>
    </row>
    <row r="1874" spans="2:12" x14ac:dyDescent="0.85">
      <c r="B1874" s="46">
        <v>1867</v>
      </c>
      <c r="C1874" s="276"/>
      <c r="D1874" s="283"/>
      <c r="E1874" s="10"/>
      <c r="F1874" s="10"/>
      <c r="G1874" s="47">
        <v>1</v>
      </c>
      <c r="H1874" s="72"/>
      <c r="I1874" s="10"/>
      <c r="J1874" s="46">
        <f t="shared" si="59"/>
        <v>1</v>
      </c>
      <c r="K1874" s="46">
        <f>IFERROR(INDEX(TarrifTable,MATCH(Elements!E1874,Constants!$V$4:$V$7,0),MATCH(Elements!F1874,Constants!$W$3:$AA$3,0)),0)</f>
        <v>0</v>
      </c>
      <c r="L1874" s="69">
        <f t="shared" si="60"/>
        <v>0</v>
      </c>
    </row>
    <row r="1875" spans="2:12" x14ac:dyDescent="0.85">
      <c r="B1875" s="48">
        <v>1868</v>
      </c>
      <c r="C1875" s="277"/>
      <c r="D1875" s="284"/>
      <c r="E1875" s="44"/>
      <c r="F1875" s="44"/>
      <c r="G1875" s="49">
        <v>1</v>
      </c>
      <c r="H1875" s="73"/>
      <c r="I1875" s="44"/>
      <c r="J1875" s="48">
        <f t="shared" si="59"/>
        <v>1</v>
      </c>
      <c r="K1875" s="48">
        <f>IFERROR(INDEX(TarrifTable,MATCH(Elements!E1875,Constants!$V$4:$V$7,0),MATCH(Elements!F1875,Constants!$W$3:$AA$3,0)),0)</f>
        <v>0</v>
      </c>
      <c r="L1875" s="68">
        <f t="shared" si="60"/>
        <v>0</v>
      </c>
    </row>
    <row r="1876" spans="2:12" x14ac:dyDescent="0.85">
      <c r="B1876" s="46">
        <v>1869</v>
      </c>
      <c r="C1876" s="276"/>
      <c r="D1876" s="283"/>
      <c r="E1876" s="10"/>
      <c r="F1876" s="10"/>
      <c r="G1876" s="47">
        <v>1</v>
      </c>
      <c r="H1876" s="72"/>
      <c r="I1876" s="10"/>
      <c r="J1876" s="46">
        <f t="shared" si="59"/>
        <v>1</v>
      </c>
      <c r="K1876" s="46">
        <f>IFERROR(INDEX(TarrifTable,MATCH(Elements!E1876,Constants!$V$4:$V$7,0),MATCH(Elements!F1876,Constants!$W$3:$AA$3,0)),0)</f>
        <v>0</v>
      </c>
      <c r="L1876" s="69">
        <f t="shared" si="60"/>
        <v>0</v>
      </c>
    </row>
    <row r="1877" spans="2:12" x14ac:dyDescent="0.85">
      <c r="B1877" s="48">
        <v>1870</v>
      </c>
      <c r="C1877" s="277"/>
      <c r="D1877" s="284"/>
      <c r="E1877" s="44"/>
      <c r="F1877" s="44"/>
      <c r="G1877" s="49">
        <v>1</v>
      </c>
      <c r="H1877" s="73"/>
      <c r="I1877" s="44"/>
      <c r="J1877" s="48">
        <f t="shared" si="59"/>
        <v>1</v>
      </c>
      <c r="K1877" s="48">
        <f>IFERROR(INDEX(TarrifTable,MATCH(Elements!E1877,Constants!$V$4:$V$7,0),MATCH(Elements!F1877,Constants!$W$3:$AA$3,0)),0)</f>
        <v>0</v>
      </c>
      <c r="L1877" s="68">
        <f t="shared" si="60"/>
        <v>0</v>
      </c>
    </row>
    <row r="1878" spans="2:12" x14ac:dyDescent="0.85">
      <c r="B1878" s="46">
        <v>1871</v>
      </c>
      <c r="C1878" s="276"/>
      <c r="D1878" s="283"/>
      <c r="E1878" s="10"/>
      <c r="F1878" s="10"/>
      <c r="G1878" s="47">
        <v>1</v>
      </c>
      <c r="H1878" s="72"/>
      <c r="I1878" s="10"/>
      <c r="J1878" s="46">
        <f t="shared" si="59"/>
        <v>1</v>
      </c>
      <c r="K1878" s="46">
        <f>IFERROR(INDEX(TarrifTable,MATCH(Elements!E1878,Constants!$V$4:$V$7,0),MATCH(Elements!F1878,Constants!$W$3:$AA$3,0)),0)</f>
        <v>0</v>
      </c>
      <c r="L1878" s="69">
        <f t="shared" si="60"/>
        <v>0</v>
      </c>
    </row>
    <row r="1879" spans="2:12" x14ac:dyDescent="0.85">
      <c r="B1879" s="48">
        <v>1872</v>
      </c>
      <c r="C1879" s="277"/>
      <c r="D1879" s="284"/>
      <c r="E1879" s="44"/>
      <c r="F1879" s="44"/>
      <c r="G1879" s="49">
        <v>1</v>
      </c>
      <c r="H1879" s="73"/>
      <c r="I1879" s="44"/>
      <c r="J1879" s="48">
        <f t="shared" si="59"/>
        <v>1</v>
      </c>
      <c r="K1879" s="48">
        <f>IFERROR(INDEX(TarrifTable,MATCH(Elements!E1879,Constants!$V$4:$V$7,0),MATCH(Elements!F1879,Constants!$W$3:$AA$3,0)),0)</f>
        <v>0</v>
      </c>
      <c r="L1879" s="68">
        <f t="shared" si="60"/>
        <v>0</v>
      </c>
    </row>
    <row r="1880" spans="2:12" x14ac:dyDescent="0.85">
      <c r="B1880" s="46">
        <v>1873</v>
      </c>
      <c r="C1880" s="276"/>
      <c r="D1880" s="283"/>
      <c r="E1880" s="10"/>
      <c r="F1880" s="10"/>
      <c r="G1880" s="47">
        <v>1</v>
      </c>
      <c r="H1880" s="72"/>
      <c r="I1880" s="10"/>
      <c r="J1880" s="46">
        <f t="shared" si="59"/>
        <v>1</v>
      </c>
      <c r="K1880" s="46">
        <f>IFERROR(INDEX(TarrifTable,MATCH(Elements!E1880,Constants!$V$4:$V$7,0),MATCH(Elements!F1880,Constants!$W$3:$AA$3,0)),0)</f>
        <v>0</v>
      </c>
      <c r="L1880" s="69">
        <f t="shared" si="60"/>
        <v>0</v>
      </c>
    </row>
    <row r="1881" spans="2:12" x14ac:dyDescent="0.85">
      <c r="B1881" s="48">
        <v>1874</v>
      </c>
      <c r="C1881" s="277"/>
      <c r="D1881" s="284"/>
      <c r="E1881" s="44"/>
      <c r="F1881" s="44"/>
      <c r="G1881" s="49">
        <v>1</v>
      </c>
      <c r="H1881" s="73"/>
      <c r="I1881" s="44"/>
      <c r="J1881" s="48">
        <f t="shared" si="59"/>
        <v>1</v>
      </c>
      <c r="K1881" s="48">
        <f>IFERROR(INDEX(TarrifTable,MATCH(Elements!E1881,Constants!$V$4:$V$7,0),MATCH(Elements!F1881,Constants!$W$3:$AA$3,0)),0)</f>
        <v>0</v>
      </c>
      <c r="L1881" s="68">
        <f t="shared" si="60"/>
        <v>0</v>
      </c>
    </row>
    <row r="1882" spans="2:12" x14ac:dyDescent="0.85">
      <c r="B1882" s="46">
        <v>1875</v>
      </c>
      <c r="C1882" s="276"/>
      <c r="D1882" s="283"/>
      <c r="E1882" s="10"/>
      <c r="F1882" s="10"/>
      <c r="G1882" s="47">
        <v>1</v>
      </c>
      <c r="H1882" s="72"/>
      <c r="I1882" s="10"/>
      <c r="J1882" s="46">
        <f t="shared" si="59"/>
        <v>1</v>
      </c>
      <c r="K1882" s="46">
        <f>IFERROR(INDEX(TarrifTable,MATCH(Elements!E1882,Constants!$V$4:$V$7,0),MATCH(Elements!F1882,Constants!$W$3:$AA$3,0)),0)</f>
        <v>0</v>
      </c>
      <c r="L1882" s="69">
        <f t="shared" si="60"/>
        <v>0</v>
      </c>
    </row>
    <row r="1883" spans="2:12" x14ac:dyDescent="0.85">
      <c r="B1883" s="48">
        <v>1876</v>
      </c>
      <c r="C1883" s="277"/>
      <c r="D1883" s="284"/>
      <c r="E1883" s="44"/>
      <c r="F1883" s="44"/>
      <c r="G1883" s="49">
        <v>1</v>
      </c>
      <c r="H1883" s="73"/>
      <c r="I1883" s="44"/>
      <c r="J1883" s="48">
        <f t="shared" si="59"/>
        <v>1</v>
      </c>
      <c r="K1883" s="48">
        <f>IFERROR(INDEX(TarrifTable,MATCH(Elements!E1883,Constants!$V$4:$V$7,0),MATCH(Elements!F1883,Constants!$W$3:$AA$3,0)),0)</f>
        <v>0</v>
      </c>
      <c r="L1883" s="68">
        <f t="shared" si="60"/>
        <v>0</v>
      </c>
    </row>
    <row r="1884" spans="2:12" x14ac:dyDescent="0.85">
      <c r="B1884" s="46">
        <v>1877</v>
      </c>
      <c r="C1884" s="276"/>
      <c r="D1884" s="283"/>
      <c r="E1884" s="10"/>
      <c r="F1884" s="10"/>
      <c r="G1884" s="47">
        <v>1</v>
      </c>
      <c r="H1884" s="72"/>
      <c r="I1884" s="10"/>
      <c r="J1884" s="46">
        <f t="shared" si="59"/>
        <v>1</v>
      </c>
      <c r="K1884" s="46">
        <f>IFERROR(INDEX(TarrifTable,MATCH(Elements!E1884,Constants!$V$4:$V$7,0),MATCH(Elements!F1884,Constants!$W$3:$AA$3,0)),0)</f>
        <v>0</v>
      </c>
      <c r="L1884" s="69">
        <f t="shared" si="60"/>
        <v>0</v>
      </c>
    </row>
    <row r="1885" spans="2:12" x14ac:dyDescent="0.85">
      <c r="B1885" s="48">
        <v>1878</v>
      </c>
      <c r="C1885" s="277"/>
      <c r="D1885" s="284"/>
      <c r="E1885" s="44"/>
      <c r="F1885" s="44"/>
      <c r="G1885" s="49">
        <v>1</v>
      </c>
      <c r="H1885" s="73"/>
      <c r="I1885" s="44"/>
      <c r="J1885" s="48">
        <f t="shared" si="59"/>
        <v>1</v>
      </c>
      <c r="K1885" s="48">
        <f>IFERROR(INDEX(TarrifTable,MATCH(Elements!E1885,Constants!$V$4:$V$7,0),MATCH(Elements!F1885,Constants!$W$3:$AA$3,0)),0)</f>
        <v>0</v>
      </c>
      <c r="L1885" s="68">
        <f t="shared" si="60"/>
        <v>0</v>
      </c>
    </row>
    <row r="1886" spans="2:12" x14ac:dyDescent="0.85">
      <c r="B1886" s="46">
        <v>1879</v>
      </c>
      <c r="C1886" s="276"/>
      <c r="D1886" s="283"/>
      <c r="E1886" s="10"/>
      <c r="F1886" s="10"/>
      <c r="G1886" s="47">
        <v>1</v>
      </c>
      <c r="H1886" s="72"/>
      <c r="I1886" s="10"/>
      <c r="J1886" s="46">
        <f t="shared" si="59"/>
        <v>1</v>
      </c>
      <c r="K1886" s="46">
        <f>IFERROR(INDEX(TarrifTable,MATCH(Elements!E1886,Constants!$V$4:$V$7,0),MATCH(Elements!F1886,Constants!$W$3:$AA$3,0)),0)</f>
        <v>0</v>
      </c>
      <c r="L1886" s="69">
        <f t="shared" si="60"/>
        <v>0</v>
      </c>
    </row>
    <row r="1887" spans="2:12" x14ac:dyDescent="0.85">
      <c r="B1887" s="48">
        <v>1880</v>
      </c>
      <c r="C1887" s="277"/>
      <c r="D1887" s="284"/>
      <c r="E1887" s="44"/>
      <c r="F1887" s="44"/>
      <c r="G1887" s="49">
        <v>1</v>
      </c>
      <c r="H1887" s="73"/>
      <c r="I1887" s="44"/>
      <c r="J1887" s="48">
        <f t="shared" si="59"/>
        <v>1</v>
      </c>
      <c r="K1887" s="48">
        <f>IFERROR(INDEX(TarrifTable,MATCH(Elements!E1887,Constants!$V$4:$V$7,0),MATCH(Elements!F1887,Constants!$W$3:$AA$3,0)),0)</f>
        <v>0</v>
      </c>
      <c r="L1887" s="68">
        <f t="shared" si="60"/>
        <v>0</v>
      </c>
    </row>
    <row r="1888" spans="2:12" x14ac:dyDescent="0.85">
      <c r="B1888" s="46">
        <v>1881</v>
      </c>
      <c r="C1888" s="276"/>
      <c r="D1888" s="283"/>
      <c r="E1888" s="10"/>
      <c r="F1888" s="10"/>
      <c r="G1888" s="47">
        <v>1</v>
      </c>
      <c r="H1888" s="72"/>
      <c r="I1888" s="10"/>
      <c r="J1888" s="46">
        <f t="shared" si="59"/>
        <v>1</v>
      </c>
      <c r="K1888" s="46">
        <f>IFERROR(INDEX(TarrifTable,MATCH(Elements!E1888,Constants!$V$4:$V$7,0),MATCH(Elements!F1888,Constants!$W$3:$AA$3,0)),0)</f>
        <v>0</v>
      </c>
      <c r="L1888" s="69">
        <f t="shared" si="60"/>
        <v>0</v>
      </c>
    </row>
    <row r="1889" spans="2:12" x14ac:dyDescent="0.85">
      <c r="B1889" s="48">
        <v>1882</v>
      </c>
      <c r="C1889" s="277"/>
      <c r="D1889" s="284"/>
      <c r="E1889" s="44"/>
      <c r="F1889" s="44"/>
      <c r="G1889" s="49">
        <v>1</v>
      </c>
      <c r="H1889" s="73"/>
      <c r="I1889" s="44"/>
      <c r="J1889" s="48">
        <f t="shared" si="59"/>
        <v>1</v>
      </c>
      <c r="K1889" s="48">
        <f>IFERROR(INDEX(TarrifTable,MATCH(Elements!E1889,Constants!$V$4:$V$7,0),MATCH(Elements!F1889,Constants!$W$3:$AA$3,0)),0)</f>
        <v>0</v>
      </c>
      <c r="L1889" s="68">
        <f t="shared" si="60"/>
        <v>0</v>
      </c>
    </row>
    <row r="1890" spans="2:12" x14ac:dyDescent="0.85">
      <c r="B1890" s="46">
        <v>1883</v>
      </c>
      <c r="C1890" s="276"/>
      <c r="D1890" s="283"/>
      <c r="E1890" s="10"/>
      <c r="F1890" s="10"/>
      <c r="G1890" s="47">
        <v>1</v>
      </c>
      <c r="H1890" s="72"/>
      <c r="I1890" s="10"/>
      <c r="J1890" s="46">
        <f t="shared" si="59"/>
        <v>1</v>
      </c>
      <c r="K1890" s="46">
        <f>IFERROR(INDEX(TarrifTable,MATCH(Elements!E1890,Constants!$V$4:$V$7,0),MATCH(Elements!F1890,Constants!$W$3:$AA$3,0)),0)</f>
        <v>0</v>
      </c>
      <c r="L1890" s="69">
        <f t="shared" si="60"/>
        <v>0</v>
      </c>
    </row>
    <row r="1891" spans="2:12" x14ac:dyDescent="0.85">
      <c r="B1891" s="48">
        <v>1884</v>
      </c>
      <c r="C1891" s="277"/>
      <c r="D1891" s="284"/>
      <c r="E1891" s="44"/>
      <c r="F1891" s="44"/>
      <c r="G1891" s="49">
        <v>1</v>
      </c>
      <c r="H1891" s="73"/>
      <c r="I1891" s="44"/>
      <c r="J1891" s="48">
        <f t="shared" si="59"/>
        <v>1</v>
      </c>
      <c r="K1891" s="48">
        <f>IFERROR(INDEX(TarrifTable,MATCH(Elements!E1891,Constants!$V$4:$V$7,0),MATCH(Elements!F1891,Constants!$W$3:$AA$3,0)),0)</f>
        <v>0</v>
      </c>
      <c r="L1891" s="68">
        <f t="shared" si="60"/>
        <v>0</v>
      </c>
    </row>
    <row r="1892" spans="2:12" x14ac:dyDescent="0.85">
      <c r="B1892" s="46">
        <v>1885</v>
      </c>
      <c r="C1892" s="276"/>
      <c r="D1892" s="283"/>
      <c r="E1892" s="10"/>
      <c r="F1892" s="10"/>
      <c r="G1892" s="47">
        <v>1</v>
      </c>
      <c r="H1892" s="72"/>
      <c r="I1892" s="10"/>
      <c r="J1892" s="46">
        <f t="shared" si="59"/>
        <v>1</v>
      </c>
      <c r="K1892" s="46">
        <f>IFERROR(INDEX(TarrifTable,MATCH(Elements!E1892,Constants!$V$4:$V$7,0),MATCH(Elements!F1892,Constants!$W$3:$AA$3,0)),0)</f>
        <v>0</v>
      </c>
      <c r="L1892" s="69">
        <f t="shared" si="60"/>
        <v>0</v>
      </c>
    </row>
    <row r="1893" spans="2:12" x14ac:dyDescent="0.85">
      <c r="B1893" s="48">
        <v>1886</v>
      </c>
      <c r="C1893" s="277"/>
      <c r="D1893" s="284"/>
      <c r="E1893" s="44"/>
      <c r="F1893" s="44"/>
      <c r="G1893" s="49">
        <v>1</v>
      </c>
      <c r="H1893" s="73"/>
      <c r="I1893" s="44"/>
      <c r="J1893" s="48">
        <f t="shared" si="59"/>
        <v>1</v>
      </c>
      <c r="K1893" s="48">
        <f>IFERROR(INDEX(TarrifTable,MATCH(Elements!E1893,Constants!$V$4:$V$7,0),MATCH(Elements!F1893,Constants!$W$3:$AA$3,0)),0)</f>
        <v>0</v>
      </c>
      <c r="L1893" s="68">
        <f t="shared" si="60"/>
        <v>0</v>
      </c>
    </row>
    <row r="1894" spans="2:12" x14ac:dyDescent="0.85">
      <c r="B1894" s="46">
        <v>1887</v>
      </c>
      <c r="C1894" s="276"/>
      <c r="D1894" s="283"/>
      <c r="E1894" s="10"/>
      <c r="F1894" s="10"/>
      <c r="G1894" s="47">
        <v>1</v>
      </c>
      <c r="H1894" s="72"/>
      <c r="I1894" s="10"/>
      <c r="J1894" s="46">
        <f t="shared" si="59"/>
        <v>1</v>
      </c>
      <c r="K1894" s="46">
        <f>IFERROR(INDEX(TarrifTable,MATCH(Elements!E1894,Constants!$V$4:$V$7,0),MATCH(Elements!F1894,Constants!$W$3:$AA$3,0)),0)</f>
        <v>0</v>
      </c>
      <c r="L1894" s="69">
        <f t="shared" si="60"/>
        <v>0</v>
      </c>
    </row>
    <row r="1895" spans="2:12" x14ac:dyDescent="0.85">
      <c r="B1895" s="48">
        <v>1888</v>
      </c>
      <c r="C1895" s="277"/>
      <c r="D1895" s="284"/>
      <c r="E1895" s="44"/>
      <c r="F1895" s="44"/>
      <c r="G1895" s="49">
        <v>1</v>
      </c>
      <c r="H1895" s="73"/>
      <c r="I1895" s="44"/>
      <c r="J1895" s="48">
        <f t="shared" si="59"/>
        <v>1</v>
      </c>
      <c r="K1895" s="48">
        <f>IFERROR(INDEX(TarrifTable,MATCH(Elements!E1895,Constants!$V$4:$V$7,0),MATCH(Elements!F1895,Constants!$W$3:$AA$3,0)),0)</f>
        <v>0</v>
      </c>
      <c r="L1895" s="68">
        <f t="shared" si="60"/>
        <v>0</v>
      </c>
    </row>
    <row r="1896" spans="2:12" x14ac:dyDescent="0.85">
      <c r="B1896" s="46">
        <v>1889</v>
      </c>
      <c r="C1896" s="276"/>
      <c r="D1896" s="283"/>
      <c r="E1896" s="10"/>
      <c r="F1896" s="10"/>
      <c r="G1896" s="47">
        <v>1</v>
      </c>
      <c r="H1896" s="72"/>
      <c r="I1896" s="10"/>
      <c r="J1896" s="46">
        <f t="shared" si="59"/>
        <v>1</v>
      </c>
      <c r="K1896" s="46">
        <f>IFERROR(INDEX(TarrifTable,MATCH(Elements!E1896,Constants!$V$4:$V$7,0),MATCH(Elements!F1896,Constants!$W$3:$AA$3,0)),0)</f>
        <v>0</v>
      </c>
      <c r="L1896" s="69">
        <f t="shared" si="60"/>
        <v>0</v>
      </c>
    </row>
    <row r="1897" spans="2:12" x14ac:dyDescent="0.85">
      <c r="B1897" s="48">
        <v>1890</v>
      </c>
      <c r="C1897" s="277"/>
      <c r="D1897" s="284"/>
      <c r="E1897" s="44"/>
      <c r="F1897" s="44"/>
      <c r="G1897" s="49">
        <v>1</v>
      </c>
      <c r="H1897" s="73"/>
      <c r="I1897" s="44"/>
      <c r="J1897" s="48">
        <f t="shared" si="59"/>
        <v>1</v>
      </c>
      <c r="K1897" s="48">
        <f>IFERROR(INDEX(TarrifTable,MATCH(Elements!E1897,Constants!$V$4:$V$7,0),MATCH(Elements!F1897,Constants!$W$3:$AA$3,0)),0)</f>
        <v>0</v>
      </c>
      <c r="L1897" s="68">
        <f t="shared" si="60"/>
        <v>0</v>
      </c>
    </row>
    <row r="1898" spans="2:12" x14ac:dyDescent="0.85">
      <c r="B1898" s="46">
        <v>1891</v>
      </c>
      <c r="C1898" s="276"/>
      <c r="D1898" s="283"/>
      <c r="E1898" s="10"/>
      <c r="F1898" s="10"/>
      <c r="G1898" s="47">
        <v>1</v>
      </c>
      <c r="H1898" s="72"/>
      <c r="I1898" s="10"/>
      <c r="J1898" s="46">
        <f t="shared" si="59"/>
        <v>1</v>
      </c>
      <c r="K1898" s="46">
        <f>IFERROR(INDEX(TarrifTable,MATCH(Elements!E1898,Constants!$V$4:$V$7,0),MATCH(Elements!F1898,Constants!$W$3:$AA$3,0)),0)</f>
        <v>0</v>
      </c>
      <c r="L1898" s="69">
        <f t="shared" si="60"/>
        <v>0</v>
      </c>
    </row>
    <row r="1899" spans="2:12" x14ac:dyDescent="0.85">
      <c r="B1899" s="48">
        <v>1892</v>
      </c>
      <c r="C1899" s="277"/>
      <c r="D1899" s="284"/>
      <c r="E1899" s="44"/>
      <c r="F1899" s="44"/>
      <c r="G1899" s="49">
        <v>1</v>
      </c>
      <c r="H1899" s="73"/>
      <c r="I1899" s="44"/>
      <c r="J1899" s="48">
        <f t="shared" si="59"/>
        <v>1</v>
      </c>
      <c r="K1899" s="48">
        <f>IFERROR(INDEX(TarrifTable,MATCH(Elements!E1899,Constants!$V$4:$V$7,0),MATCH(Elements!F1899,Constants!$W$3:$AA$3,0)),0)</f>
        <v>0</v>
      </c>
      <c r="L1899" s="68">
        <f t="shared" si="60"/>
        <v>0</v>
      </c>
    </row>
    <row r="1900" spans="2:12" x14ac:dyDescent="0.85">
      <c r="B1900" s="46">
        <v>1893</v>
      </c>
      <c r="C1900" s="276"/>
      <c r="D1900" s="283"/>
      <c r="E1900" s="10"/>
      <c r="F1900" s="10"/>
      <c r="G1900" s="47">
        <v>1</v>
      </c>
      <c r="H1900" s="72"/>
      <c r="I1900" s="10"/>
      <c r="J1900" s="46">
        <f t="shared" si="59"/>
        <v>1</v>
      </c>
      <c r="K1900" s="46">
        <f>IFERROR(INDEX(TarrifTable,MATCH(Elements!E1900,Constants!$V$4:$V$7,0),MATCH(Elements!F1900,Constants!$W$3:$AA$3,0)),0)</f>
        <v>0</v>
      </c>
      <c r="L1900" s="69">
        <f t="shared" si="60"/>
        <v>0</v>
      </c>
    </row>
    <row r="1901" spans="2:12" x14ac:dyDescent="0.85">
      <c r="B1901" s="48">
        <v>1894</v>
      </c>
      <c r="C1901" s="277"/>
      <c r="D1901" s="284"/>
      <c r="E1901" s="44"/>
      <c r="F1901" s="44"/>
      <c r="G1901" s="49">
        <v>1</v>
      </c>
      <c r="H1901" s="73"/>
      <c r="I1901" s="44"/>
      <c r="J1901" s="48">
        <f t="shared" si="59"/>
        <v>1</v>
      </c>
      <c r="K1901" s="48">
        <f>IFERROR(INDEX(TarrifTable,MATCH(Elements!E1901,Constants!$V$4:$V$7,0),MATCH(Elements!F1901,Constants!$W$3:$AA$3,0)),0)</f>
        <v>0</v>
      </c>
      <c r="L1901" s="68">
        <f t="shared" si="60"/>
        <v>0</v>
      </c>
    </row>
    <row r="1902" spans="2:12" x14ac:dyDescent="0.85">
      <c r="B1902" s="46">
        <v>1895</v>
      </c>
      <c r="C1902" s="276"/>
      <c r="D1902" s="283"/>
      <c r="E1902" s="10"/>
      <c r="F1902" s="10"/>
      <c r="G1902" s="47">
        <v>1</v>
      </c>
      <c r="H1902" s="72"/>
      <c r="I1902" s="10"/>
      <c r="J1902" s="46">
        <f t="shared" si="59"/>
        <v>1</v>
      </c>
      <c r="K1902" s="46">
        <f>IFERROR(INDEX(TarrifTable,MATCH(Elements!E1902,Constants!$V$4:$V$7,0),MATCH(Elements!F1902,Constants!$W$3:$AA$3,0)),0)</f>
        <v>0</v>
      </c>
      <c r="L1902" s="69">
        <f t="shared" si="60"/>
        <v>0</v>
      </c>
    </row>
    <row r="1903" spans="2:12" x14ac:dyDescent="0.85">
      <c r="B1903" s="48">
        <v>1896</v>
      </c>
      <c r="C1903" s="277"/>
      <c r="D1903" s="284"/>
      <c r="E1903" s="44"/>
      <c r="F1903" s="44"/>
      <c r="G1903" s="49">
        <v>1</v>
      </c>
      <c r="H1903" s="73"/>
      <c r="I1903" s="44"/>
      <c r="J1903" s="48">
        <f t="shared" si="59"/>
        <v>1</v>
      </c>
      <c r="K1903" s="48">
        <f>IFERROR(INDEX(TarrifTable,MATCH(Elements!E1903,Constants!$V$4:$V$7,0),MATCH(Elements!F1903,Constants!$W$3:$AA$3,0)),0)</f>
        <v>0</v>
      </c>
      <c r="L1903" s="68">
        <f t="shared" si="60"/>
        <v>0</v>
      </c>
    </row>
    <row r="1904" spans="2:12" x14ac:dyDescent="0.85">
      <c r="B1904" s="46">
        <v>1897</v>
      </c>
      <c r="C1904" s="276"/>
      <c r="D1904" s="283"/>
      <c r="E1904" s="10"/>
      <c r="F1904" s="10"/>
      <c r="G1904" s="47">
        <v>1</v>
      </c>
      <c r="H1904" s="72"/>
      <c r="I1904" s="10"/>
      <c r="J1904" s="46">
        <f t="shared" si="59"/>
        <v>1</v>
      </c>
      <c r="K1904" s="46">
        <f>IFERROR(INDEX(TarrifTable,MATCH(Elements!E1904,Constants!$V$4:$V$7,0),MATCH(Elements!F1904,Constants!$W$3:$AA$3,0)),0)</f>
        <v>0</v>
      </c>
      <c r="L1904" s="69">
        <f t="shared" si="60"/>
        <v>0</v>
      </c>
    </row>
    <row r="1905" spans="2:12" x14ac:dyDescent="0.85">
      <c r="B1905" s="48">
        <v>1898</v>
      </c>
      <c r="C1905" s="277"/>
      <c r="D1905" s="284"/>
      <c r="E1905" s="44"/>
      <c r="F1905" s="44"/>
      <c r="G1905" s="49">
        <v>1</v>
      </c>
      <c r="H1905" s="73"/>
      <c r="I1905" s="44"/>
      <c r="J1905" s="48">
        <f t="shared" si="59"/>
        <v>1</v>
      </c>
      <c r="K1905" s="48">
        <f>IFERROR(INDEX(TarrifTable,MATCH(Elements!E1905,Constants!$V$4:$V$7,0),MATCH(Elements!F1905,Constants!$W$3:$AA$3,0)),0)</f>
        <v>0</v>
      </c>
      <c r="L1905" s="68">
        <f t="shared" si="60"/>
        <v>0</v>
      </c>
    </row>
    <row r="1906" spans="2:12" x14ac:dyDescent="0.85">
      <c r="B1906" s="46">
        <v>1899</v>
      </c>
      <c r="C1906" s="276"/>
      <c r="D1906" s="283"/>
      <c r="E1906" s="10"/>
      <c r="F1906" s="10"/>
      <c r="G1906" s="47">
        <v>1</v>
      </c>
      <c r="H1906" s="72"/>
      <c r="I1906" s="10"/>
      <c r="J1906" s="46">
        <f t="shared" si="59"/>
        <v>1</v>
      </c>
      <c r="K1906" s="46">
        <f>IFERROR(INDEX(TarrifTable,MATCH(Elements!E1906,Constants!$V$4:$V$7,0),MATCH(Elements!F1906,Constants!$W$3:$AA$3,0)),0)</f>
        <v>0</v>
      </c>
      <c r="L1906" s="69">
        <f t="shared" si="60"/>
        <v>0</v>
      </c>
    </row>
    <row r="1907" spans="2:12" x14ac:dyDescent="0.85">
      <c r="B1907" s="48">
        <v>1900</v>
      </c>
      <c r="C1907" s="277"/>
      <c r="D1907" s="284"/>
      <c r="E1907" s="44"/>
      <c r="F1907" s="44"/>
      <c r="G1907" s="49">
        <v>1</v>
      </c>
      <c r="H1907" s="73"/>
      <c r="I1907" s="44"/>
      <c r="J1907" s="48">
        <f t="shared" si="59"/>
        <v>1</v>
      </c>
      <c r="K1907" s="48">
        <f>IFERROR(INDEX(TarrifTable,MATCH(Elements!E1907,Constants!$V$4:$V$7,0),MATCH(Elements!F1907,Constants!$W$3:$AA$3,0)),0)</f>
        <v>0</v>
      </c>
      <c r="L1907" s="68">
        <f t="shared" si="60"/>
        <v>0</v>
      </c>
    </row>
    <row r="1908" spans="2:12" x14ac:dyDescent="0.85">
      <c r="B1908" s="46">
        <v>1901</v>
      </c>
      <c r="C1908" s="276"/>
      <c r="D1908" s="283"/>
      <c r="E1908" s="10"/>
      <c r="F1908" s="10"/>
      <c r="G1908" s="47">
        <v>1</v>
      </c>
      <c r="H1908" s="72"/>
      <c r="I1908" s="10"/>
      <c r="J1908" s="46">
        <f t="shared" si="59"/>
        <v>1</v>
      </c>
      <c r="K1908" s="46">
        <f>IFERROR(INDEX(TarrifTable,MATCH(Elements!E1908,Constants!$V$4:$V$7,0),MATCH(Elements!F1908,Constants!$W$3:$AA$3,0)),0)</f>
        <v>0</v>
      </c>
      <c r="L1908" s="69">
        <f t="shared" si="60"/>
        <v>0</v>
      </c>
    </row>
    <row r="1909" spans="2:12" x14ac:dyDescent="0.85">
      <c r="B1909" s="48">
        <v>1902</v>
      </c>
      <c r="C1909" s="277"/>
      <c r="D1909" s="284"/>
      <c r="E1909" s="44"/>
      <c r="F1909" s="44"/>
      <c r="G1909" s="49">
        <v>1</v>
      </c>
      <c r="H1909" s="73"/>
      <c r="I1909" s="44"/>
      <c r="J1909" s="48">
        <f t="shared" si="59"/>
        <v>1</v>
      </c>
      <c r="K1909" s="48">
        <f>IFERROR(INDEX(TarrifTable,MATCH(Elements!E1909,Constants!$V$4:$V$7,0),MATCH(Elements!F1909,Constants!$W$3:$AA$3,0)),0)</f>
        <v>0</v>
      </c>
      <c r="L1909" s="68">
        <f t="shared" si="60"/>
        <v>0</v>
      </c>
    </row>
    <row r="1910" spans="2:12" x14ac:dyDescent="0.85">
      <c r="B1910" s="46">
        <v>1903</v>
      </c>
      <c r="C1910" s="276"/>
      <c r="D1910" s="283"/>
      <c r="E1910" s="10"/>
      <c r="F1910" s="10"/>
      <c r="G1910" s="47">
        <v>1</v>
      </c>
      <c r="H1910" s="72"/>
      <c r="I1910" s="10"/>
      <c r="J1910" s="46">
        <f t="shared" si="59"/>
        <v>1</v>
      </c>
      <c r="K1910" s="46">
        <f>IFERROR(INDEX(TarrifTable,MATCH(Elements!E1910,Constants!$V$4:$V$7,0),MATCH(Elements!F1910,Constants!$W$3:$AA$3,0)),0)</f>
        <v>0</v>
      </c>
      <c r="L1910" s="69">
        <f t="shared" si="60"/>
        <v>0</v>
      </c>
    </row>
    <row r="1911" spans="2:12" x14ac:dyDescent="0.85">
      <c r="B1911" s="48">
        <v>1904</v>
      </c>
      <c r="C1911" s="277"/>
      <c r="D1911" s="284"/>
      <c r="E1911" s="44"/>
      <c r="F1911" s="44"/>
      <c r="G1911" s="49">
        <v>1</v>
      </c>
      <c r="H1911" s="73"/>
      <c r="I1911" s="44"/>
      <c r="J1911" s="48">
        <f t="shared" si="59"/>
        <v>1</v>
      </c>
      <c r="K1911" s="48">
        <f>IFERROR(INDEX(TarrifTable,MATCH(Elements!E1911,Constants!$V$4:$V$7,0),MATCH(Elements!F1911,Constants!$W$3:$AA$3,0)),0)</f>
        <v>0</v>
      </c>
      <c r="L1911" s="68">
        <f t="shared" si="60"/>
        <v>0</v>
      </c>
    </row>
    <row r="1912" spans="2:12" x14ac:dyDescent="0.85">
      <c r="B1912" s="46">
        <v>1905</v>
      </c>
      <c r="C1912" s="276"/>
      <c r="D1912" s="283"/>
      <c r="E1912" s="10"/>
      <c r="F1912" s="10"/>
      <c r="G1912" s="47">
        <v>1</v>
      </c>
      <c r="H1912" s="72"/>
      <c r="I1912" s="10"/>
      <c r="J1912" s="46">
        <f t="shared" si="59"/>
        <v>1</v>
      </c>
      <c r="K1912" s="46">
        <f>IFERROR(INDEX(TarrifTable,MATCH(Elements!E1912,Constants!$V$4:$V$7,0),MATCH(Elements!F1912,Constants!$W$3:$AA$3,0)),0)</f>
        <v>0</v>
      </c>
      <c r="L1912" s="69">
        <f t="shared" si="60"/>
        <v>0</v>
      </c>
    </row>
    <row r="1913" spans="2:12" x14ac:dyDescent="0.85">
      <c r="B1913" s="48">
        <v>1906</v>
      </c>
      <c r="C1913" s="277"/>
      <c r="D1913" s="284"/>
      <c r="E1913" s="44"/>
      <c r="F1913" s="44"/>
      <c r="G1913" s="49">
        <v>1</v>
      </c>
      <c r="H1913" s="73"/>
      <c r="I1913" s="44"/>
      <c r="J1913" s="48">
        <f t="shared" si="59"/>
        <v>1</v>
      </c>
      <c r="K1913" s="48">
        <f>IFERROR(INDEX(TarrifTable,MATCH(Elements!E1913,Constants!$V$4:$V$7,0),MATCH(Elements!F1913,Constants!$W$3:$AA$3,0)),0)</f>
        <v>0</v>
      </c>
      <c r="L1913" s="68">
        <f t="shared" si="60"/>
        <v>0</v>
      </c>
    </row>
    <row r="1914" spans="2:12" x14ac:dyDescent="0.85">
      <c r="B1914" s="46">
        <v>1907</v>
      </c>
      <c r="C1914" s="276"/>
      <c r="D1914" s="283"/>
      <c r="E1914" s="10"/>
      <c r="F1914" s="10"/>
      <c r="G1914" s="47">
        <v>1</v>
      </c>
      <c r="H1914" s="72"/>
      <c r="I1914" s="10"/>
      <c r="J1914" s="46">
        <f t="shared" si="59"/>
        <v>1</v>
      </c>
      <c r="K1914" s="46">
        <f>IFERROR(INDEX(TarrifTable,MATCH(Elements!E1914,Constants!$V$4:$V$7,0),MATCH(Elements!F1914,Constants!$W$3:$AA$3,0)),0)</f>
        <v>0</v>
      </c>
      <c r="L1914" s="69">
        <f t="shared" si="60"/>
        <v>0</v>
      </c>
    </row>
    <row r="1915" spans="2:12" x14ac:dyDescent="0.85">
      <c r="B1915" s="48">
        <v>1908</v>
      </c>
      <c r="C1915" s="277"/>
      <c r="D1915" s="284"/>
      <c r="E1915" s="44"/>
      <c r="F1915" s="44"/>
      <c r="G1915" s="49">
        <v>1</v>
      </c>
      <c r="H1915" s="73"/>
      <c r="I1915" s="44"/>
      <c r="J1915" s="48">
        <f t="shared" si="59"/>
        <v>1</v>
      </c>
      <c r="K1915" s="48">
        <f>IFERROR(INDEX(TarrifTable,MATCH(Elements!E1915,Constants!$V$4:$V$7,0),MATCH(Elements!F1915,Constants!$W$3:$AA$3,0)),0)</f>
        <v>0</v>
      </c>
      <c r="L1915" s="68">
        <f t="shared" si="60"/>
        <v>0</v>
      </c>
    </row>
    <row r="1916" spans="2:12" x14ac:dyDescent="0.85">
      <c r="B1916" s="46">
        <v>1909</v>
      </c>
      <c r="C1916" s="276"/>
      <c r="D1916" s="283"/>
      <c r="E1916" s="10"/>
      <c r="F1916" s="10"/>
      <c r="G1916" s="47">
        <v>1</v>
      </c>
      <c r="H1916" s="72"/>
      <c r="I1916" s="10"/>
      <c r="J1916" s="46">
        <f t="shared" si="59"/>
        <v>1</v>
      </c>
      <c r="K1916" s="46">
        <f>IFERROR(INDEX(TarrifTable,MATCH(Elements!E1916,Constants!$V$4:$V$7,0),MATCH(Elements!F1916,Constants!$W$3:$AA$3,0)),0)</f>
        <v>0</v>
      </c>
      <c r="L1916" s="69">
        <f t="shared" si="60"/>
        <v>0</v>
      </c>
    </row>
    <row r="1917" spans="2:12" x14ac:dyDescent="0.85">
      <c r="B1917" s="48">
        <v>1910</v>
      </c>
      <c r="C1917" s="277"/>
      <c r="D1917" s="284"/>
      <c r="E1917" s="44"/>
      <c r="F1917" s="44"/>
      <c r="G1917" s="49">
        <v>1</v>
      </c>
      <c r="H1917" s="73"/>
      <c r="I1917" s="44"/>
      <c r="J1917" s="48">
        <f t="shared" si="59"/>
        <v>1</v>
      </c>
      <c r="K1917" s="48">
        <f>IFERROR(INDEX(TarrifTable,MATCH(Elements!E1917,Constants!$V$4:$V$7,0),MATCH(Elements!F1917,Constants!$W$3:$AA$3,0)),0)</f>
        <v>0</v>
      </c>
      <c r="L1917" s="68">
        <f t="shared" si="60"/>
        <v>0</v>
      </c>
    </row>
    <row r="1918" spans="2:12" x14ac:dyDescent="0.85">
      <c r="B1918" s="46">
        <v>1911</v>
      </c>
      <c r="C1918" s="276"/>
      <c r="D1918" s="283"/>
      <c r="E1918" s="10"/>
      <c r="F1918" s="10"/>
      <c r="G1918" s="47">
        <v>1</v>
      </c>
      <c r="H1918" s="72"/>
      <c r="I1918" s="10"/>
      <c r="J1918" s="46">
        <f t="shared" si="59"/>
        <v>1</v>
      </c>
      <c r="K1918" s="46">
        <f>IFERROR(INDEX(TarrifTable,MATCH(Elements!E1918,Constants!$V$4:$V$7,0),MATCH(Elements!F1918,Constants!$W$3:$AA$3,0)),0)</f>
        <v>0</v>
      </c>
      <c r="L1918" s="69">
        <f t="shared" si="60"/>
        <v>0</v>
      </c>
    </row>
    <row r="1919" spans="2:12" x14ac:dyDescent="0.85">
      <c r="B1919" s="48">
        <v>1912</v>
      </c>
      <c r="C1919" s="277"/>
      <c r="D1919" s="284"/>
      <c r="E1919" s="44"/>
      <c r="F1919" s="44"/>
      <c r="G1919" s="49">
        <v>1</v>
      </c>
      <c r="H1919" s="73"/>
      <c r="I1919" s="44"/>
      <c r="J1919" s="48">
        <f t="shared" si="59"/>
        <v>1</v>
      </c>
      <c r="K1919" s="48">
        <f>IFERROR(INDEX(TarrifTable,MATCH(Elements!E1919,Constants!$V$4:$V$7,0),MATCH(Elements!F1919,Constants!$W$3:$AA$3,0)),0)</f>
        <v>0</v>
      </c>
      <c r="L1919" s="68">
        <f t="shared" si="60"/>
        <v>0</v>
      </c>
    </row>
    <row r="1920" spans="2:12" x14ac:dyDescent="0.85">
      <c r="B1920" s="46">
        <v>1913</v>
      </c>
      <c r="C1920" s="276"/>
      <c r="D1920" s="283"/>
      <c r="E1920" s="10"/>
      <c r="F1920" s="10"/>
      <c r="G1920" s="47">
        <v>1</v>
      </c>
      <c r="H1920" s="72"/>
      <c r="I1920" s="10"/>
      <c r="J1920" s="46">
        <f t="shared" si="59"/>
        <v>1</v>
      </c>
      <c r="K1920" s="46">
        <f>IFERROR(INDEX(TarrifTable,MATCH(Elements!E1920,Constants!$V$4:$V$7,0),MATCH(Elements!F1920,Constants!$W$3:$AA$3,0)),0)</f>
        <v>0</v>
      </c>
      <c r="L1920" s="69">
        <f t="shared" si="60"/>
        <v>0</v>
      </c>
    </row>
    <row r="1921" spans="2:12" x14ac:dyDescent="0.85">
      <c r="B1921" s="48">
        <v>1914</v>
      </c>
      <c r="C1921" s="277"/>
      <c r="D1921" s="284"/>
      <c r="E1921" s="44"/>
      <c r="F1921" s="44"/>
      <c r="G1921" s="49">
        <v>1</v>
      </c>
      <c r="H1921" s="73"/>
      <c r="I1921" s="44"/>
      <c r="J1921" s="48">
        <f t="shared" si="59"/>
        <v>1</v>
      </c>
      <c r="K1921" s="48">
        <f>IFERROR(INDEX(TarrifTable,MATCH(Elements!E1921,Constants!$V$4:$V$7,0),MATCH(Elements!F1921,Constants!$W$3:$AA$3,0)),0)</f>
        <v>0</v>
      </c>
      <c r="L1921" s="68">
        <f t="shared" si="60"/>
        <v>0</v>
      </c>
    </row>
    <row r="1922" spans="2:12" x14ac:dyDescent="0.85">
      <c r="B1922" s="46">
        <v>1915</v>
      </c>
      <c r="C1922" s="276"/>
      <c r="D1922" s="283"/>
      <c r="E1922" s="10"/>
      <c r="F1922" s="10"/>
      <c r="G1922" s="47">
        <v>1</v>
      </c>
      <c r="H1922" s="72"/>
      <c r="I1922" s="10"/>
      <c r="J1922" s="46">
        <f t="shared" si="59"/>
        <v>1</v>
      </c>
      <c r="K1922" s="46">
        <f>IFERROR(INDEX(TarrifTable,MATCH(Elements!E1922,Constants!$V$4:$V$7,0),MATCH(Elements!F1922,Constants!$W$3:$AA$3,0)),0)</f>
        <v>0</v>
      </c>
      <c r="L1922" s="69">
        <f t="shared" si="60"/>
        <v>0</v>
      </c>
    </row>
    <row r="1923" spans="2:12" x14ac:dyDescent="0.85">
      <c r="B1923" s="48">
        <v>1916</v>
      </c>
      <c r="C1923" s="277"/>
      <c r="D1923" s="284"/>
      <c r="E1923" s="44"/>
      <c r="F1923" s="44"/>
      <c r="G1923" s="49">
        <v>1</v>
      </c>
      <c r="H1923" s="73"/>
      <c r="I1923" s="44"/>
      <c r="J1923" s="48">
        <f t="shared" si="59"/>
        <v>1</v>
      </c>
      <c r="K1923" s="48">
        <f>IFERROR(INDEX(TarrifTable,MATCH(Elements!E1923,Constants!$V$4:$V$7,0),MATCH(Elements!F1923,Constants!$W$3:$AA$3,0)),0)</f>
        <v>0</v>
      </c>
      <c r="L1923" s="68">
        <f t="shared" si="60"/>
        <v>0</v>
      </c>
    </row>
    <row r="1924" spans="2:12" x14ac:dyDescent="0.85">
      <c r="B1924" s="46">
        <v>1917</v>
      </c>
      <c r="C1924" s="276"/>
      <c r="D1924" s="283"/>
      <c r="E1924" s="10"/>
      <c r="F1924" s="10"/>
      <c r="G1924" s="47">
        <v>1</v>
      </c>
      <c r="H1924" s="72"/>
      <c r="I1924" s="10"/>
      <c r="J1924" s="46">
        <f t="shared" si="59"/>
        <v>1</v>
      </c>
      <c r="K1924" s="46">
        <f>IFERROR(INDEX(TarrifTable,MATCH(Elements!E1924,Constants!$V$4:$V$7,0),MATCH(Elements!F1924,Constants!$W$3:$AA$3,0)),0)</f>
        <v>0</v>
      </c>
      <c r="L1924" s="69">
        <f t="shared" si="60"/>
        <v>0</v>
      </c>
    </row>
    <row r="1925" spans="2:12" x14ac:dyDescent="0.85">
      <c r="B1925" s="48">
        <v>1918</v>
      </c>
      <c r="C1925" s="277"/>
      <c r="D1925" s="284"/>
      <c r="E1925" s="44"/>
      <c r="F1925" s="44"/>
      <c r="G1925" s="49">
        <v>1</v>
      </c>
      <c r="H1925" s="73"/>
      <c r="I1925" s="44"/>
      <c r="J1925" s="48">
        <f t="shared" si="59"/>
        <v>1</v>
      </c>
      <c r="K1925" s="48">
        <f>IFERROR(INDEX(TarrifTable,MATCH(Elements!E1925,Constants!$V$4:$V$7,0),MATCH(Elements!F1925,Constants!$W$3:$AA$3,0)),0)</f>
        <v>0</v>
      </c>
      <c r="L1925" s="68">
        <f t="shared" si="60"/>
        <v>0</v>
      </c>
    </row>
    <row r="1926" spans="2:12" x14ac:dyDescent="0.85">
      <c r="B1926" s="46">
        <v>1919</v>
      </c>
      <c r="C1926" s="276"/>
      <c r="D1926" s="283"/>
      <c r="E1926" s="10"/>
      <c r="F1926" s="10"/>
      <c r="G1926" s="47">
        <v>1</v>
      </c>
      <c r="H1926" s="72"/>
      <c r="I1926" s="10"/>
      <c r="J1926" s="46">
        <f t="shared" si="59"/>
        <v>1</v>
      </c>
      <c r="K1926" s="46">
        <f>IFERROR(INDEX(TarrifTable,MATCH(Elements!E1926,Constants!$V$4:$V$7,0),MATCH(Elements!F1926,Constants!$W$3:$AA$3,0)),0)</f>
        <v>0</v>
      </c>
      <c r="L1926" s="69">
        <f t="shared" si="60"/>
        <v>0</v>
      </c>
    </row>
    <row r="1927" spans="2:12" x14ac:dyDescent="0.85">
      <c r="B1927" s="48">
        <v>1920</v>
      </c>
      <c r="C1927" s="277"/>
      <c r="D1927" s="284"/>
      <c r="E1927" s="44"/>
      <c r="F1927" s="44"/>
      <c r="G1927" s="49">
        <v>1</v>
      </c>
      <c r="H1927" s="73"/>
      <c r="I1927" s="44"/>
      <c r="J1927" s="48">
        <f t="shared" si="59"/>
        <v>1</v>
      </c>
      <c r="K1927" s="48">
        <f>IFERROR(INDEX(TarrifTable,MATCH(Elements!E1927,Constants!$V$4:$V$7,0),MATCH(Elements!F1927,Constants!$W$3:$AA$3,0)),0)</f>
        <v>0</v>
      </c>
      <c r="L1927" s="68">
        <f t="shared" si="60"/>
        <v>0</v>
      </c>
    </row>
    <row r="1928" spans="2:12" x14ac:dyDescent="0.85">
      <c r="B1928" s="46">
        <v>1921</v>
      </c>
      <c r="C1928" s="276"/>
      <c r="D1928" s="283"/>
      <c r="E1928" s="10"/>
      <c r="F1928" s="10"/>
      <c r="G1928" s="47">
        <v>1</v>
      </c>
      <c r="H1928" s="72"/>
      <c r="I1928" s="10"/>
      <c r="J1928" s="46">
        <f t="shared" ref="J1928:J1991" si="61">IF(ISBLANK(H1928),1,H1928)</f>
        <v>1</v>
      </c>
      <c r="K1928" s="46">
        <f>IFERROR(INDEX(TarrifTable,MATCH(Elements!E1928,Constants!$V$4:$V$7,0),MATCH(Elements!F1928,Constants!$W$3:$AA$3,0)),0)</f>
        <v>0</v>
      </c>
      <c r="L1928" s="69">
        <f t="shared" ref="L1928:L1991" si="62">J1928*G1928*K1928</f>
        <v>0</v>
      </c>
    </row>
    <row r="1929" spans="2:12" x14ac:dyDescent="0.85">
      <c r="B1929" s="48">
        <v>1922</v>
      </c>
      <c r="C1929" s="277"/>
      <c r="D1929" s="284"/>
      <c r="E1929" s="44"/>
      <c r="F1929" s="44"/>
      <c r="G1929" s="49">
        <v>1</v>
      </c>
      <c r="H1929" s="73"/>
      <c r="I1929" s="44"/>
      <c r="J1929" s="48">
        <f t="shared" si="61"/>
        <v>1</v>
      </c>
      <c r="K1929" s="48">
        <f>IFERROR(INDEX(TarrifTable,MATCH(Elements!E1929,Constants!$V$4:$V$7,0),MATCH(Elements!F1929,Constants!$W$3:$AA$3,0)),0)</f>
        <v>0</v>
      </c>
      <c r="L1929" s="68">
        <f t="shared" si="62"/>
        <v>0</v>
      </c>
    </row>
    <row r="1930" spans="2:12" x14ac:dyDescent="0.85">
      <c r="B1930" s="46">
        <v>1923</v>
      </c>
      <c r="C1930" s="276"/>
      <c r="D1930" s="283"/>
      <c r="E1930" s="10"/>
      <c r="F1930" s="10"/>
      <c r="G1930" s="47">
        <v>1</v>
      </c>
      <c r="H1930" s="72"/>
      <c r="I1930" s="10"/>
      <c r="J1930" s="46">
        <f t="shared" si="61"/>
        <v>1</v>
      </c>
      <c r="K1930" s="46">
        <f>IFERROR(INDEX(TarrifTable,MATCH(Elements!E1930,Constants!$V$4:$V$7,0),MATCH(Elements!F1930,Constants!$W$3:$AA$3,0)),0)</f>
        <v>0</v>
      </c>
      <c r="L1930" s="69">
        <f t="shared" si="62"/>
        <v>0</v>
      </c>
    </row>
    <row r="1931" spans="2:12" x14ac:dyDescent="0.85">
      <c r="B1931" s="48">
        <v>1924</v>
      </c>
      <c r="C1931" s="277"/>
      <c r="D1931" s="284"/>
      <c r="E1931" s="44"/>
      <c r="F1931" s="44"/>
      <c r="G1931" s="49">
        <v>1</v>
      </c>
      <c r="H1931" s="73"/>
      <c r="I1931" s="44"/>
      <c r="J1931" s="48">
        <f t="shared" si="61"/>
        <v>1</v>
      </c>
      <c r="K1931" s="48">
        <f>IFERROR(INDEX(TarrifTable,MATCH(Elements!E1931,Constants!$V$4:$V$7,0),MATCH(Elements!F1931,Constants!$W$3:$AA$3,0)),0)</f>
        <v>0</v>
      </c>
      <c r="L1931" s="68">
        <f t="shared" si="62"/>
        <v>0</v>
      </c>
    </row>
    <row r="1932" spans="2:12" x14ac:dyDescent="0.85">
      <c r="B1932" s="46">
        <v>1925</v>
      </c>
      <c r="C1932" s="276"/>
      <c r="D1932" s="283"/>
      <c r="E1932" s="10"/>
      <c r="F1932" s="10"/>
      <c r="G1932" s="47">
        <v>1</v>
      </c>
      <c r="H1932" s="72"/>
      <c r="I1932" s="10"/>
      <c r="J1932" s="46">
        <f t="shared" si="61"/>
        <v>1</v>
      </c>
      <c r="K1932" s="46">
        <f>IFERROR(INDEX(TarrifTable,MATCH(Elements!E1932,Constants!$V$4:$V$7,0),MATCH(Elements!F1932,Constants!$W$3:$AA$3,0)),0)</f>
        <v>0</v>
      </c>
      <c r="L1932" s="69">
        <f t="shared" si="62"/>
        <v>0</v>
      </c>
    </row>
    <row r="1933" spans="2:12" x14ac:dyDescent="0.85">
      <c r="B1933" s="48">
        <v>1926</v>
      </c>
      <c r="C1933" s="277"/>
      <c r="D1933" s="284"/>
      <c r="E1933" s="44"/>
      <c r="F1933" s="44"/>
      <c r="G1933" s="49">
        <v>1</v>
      </c>
      <c r="H1933" s="73"/>
      <c r="I1933" s="44"/>
      <c r="J1933" s="48">
        <f t="shared" si="61"/>
        <v>1</v>
      </c>
      <c r="K1933" s="48">
        <f>IFERROR(INDEX(TarrifTable,MATCH(Elements!E1933,Constants!$V$4:$V$7,0),MATCH(Elements!F1933,Constants!$W$3:$AA$3,0)),0)</f>
        <v>0</v>
      </c>
      <c r="L1933" s="68">
        <f t="shared" si="62"/>
        <v>0</v>
      </c>
    </row>
    <row r="1934" spans="2:12" x14ac:dyDescent="0.85">
      <c r="B1934" s="46">
        <v>1927</v>
      </c>
      <c r="C1934" s="276"/>
      <c r="D1934" s="283"/>
      <c r="E1934" s="10"/>
      <c r="F1934" s="10"/>
      <c r="G1934" s="47">
        <v>1</v>
      </c>
      <c r="H1934" s="72"/>
      <c r="I1934" s="10"/>
      <c r="J1934" s="46">
        <f t="shared" si="61"/>
        <v>1</v>
      </c>
      <c r="K1934" s="46">
        <f>IFERROR(INDEX(TarrifTable,MATCH(Elements!E1934,Constants!$V$4:$V$7,0),MATCH(Elements!F1934,Constants!$W$3:$AA$3,0)),0)</f>
        <v>0</v>
      </c>
      <c r="L1934" s="69">
        <f t="shared" si="62"/>
        <v>0</v>
      </c>
    </row>
    <row r="1935" spans="2:12" x14ac:dyDescent="0.85">
      <c r="B1935" s="48">
        <v>1928</v>
      </c>
      <c r="C1935" s="277"/>
      <c r="D1935" s="284"/>
      <c r="E1935" s="44"/>
      <c r="F1935" s="44"/>
      <c r="G1935" s="49">
        <v>1</v>
      </c>
      <c r="H1935" s="73"/>
      <c r="I1935" s="44"/>
      <c r="J1935" s="48">
        <f t="shared" si="61"/>
        <v>1</v>
      </c>
      <c r="K1935" s="48">
        <f>IFERROR(INDEX(TarrifTable,MATCH(Elements!E1935,Constants!$V$4:$V$7,0),MATCH(Elements!F1935,Constants!$W$3:$AA$3,0)),0)</f>
        <v>0</v>
      </c>
      <c r="L1935" s="68">
        <f t="shared" si="62"/>
        <v>0</v>
      </c>
    </row>
    <row r="1936" spans="2:12" x14ac:dyDescent="0.85">
      <c r="B1936" s="46">
        <v>1929</v>
      </c>
      <c r="C1936" s="276"/>
      <c r="D1936" s="283"/>
      <c r="E1936" s="10"/>
      <c r="F1936" s="10"/>
      <c r="G1936" s="47">
        <v>1</v>
      </c>
      <c r="H1936" s="72"/>
      <c r="I1936" s="10"/>
      <c r="J1936" s="46">
        <f t="shared" si="61"/>
        <v>1</v>
      </c>
      <c r="K1936" s="46">
        <f>IFERROR(INDEX(TarrifTable,MATCH(Elements!E1936,Constants!$V$4:$V$7,0),MATCH(Elements!F1936,Constants!$W$3:$AA$3,0)),0)</f>
        <v>0</v>
      </c>
      <c r="L1936" s="69">
        <f t="shared" si="62"/>
        <v>0</v>
      </c>
    </row>
    <row r="1937" spans="2:12" x14ac:dyDescent="0.85">
      <c r="B1937" s="48">
        <v>1930</v>
      </c>
      <c r="C1937" s="277"/>
      <c r="D1937" s="284"/>
      <c r="E1937" s="44"/>
      <c r="F1937" s="44"/>
      <c r="G1937" s="49">
        <v>1</v>
      </c>
      <c r="H1937" s="73"/>
      <c r="I1937" s="44"/>
      <c r="J1937" s="48">
        <f t="shared" si="61"/>
        <v>1</v>
      </c>
      <c r="K1937" s="48">
        <f>IFERROR(INDEX(TarrifTable,MATCH(Elements!E1937,Constants!$V$4:$V$7,0),MATCH(Elements!F1937,Constants!$W$3:$AA$3,0)),0)</f>
        <v>0</v>
      </c>
      <c r="L1937" s="68">
        <f t="shared" si="62"/>
        <v>0</v>
      </c>
    </row>
    <row r="1938" spans="2:12" x14ac:dyDescent="0.85">
      <c r="B1938" s="46">
        <v>1931</v>
      </c>
      <c r="C1938" s="276"/>
      <c r="D1938" s="283"/>
      <c r="E1938" s="10"/>
      <c r="F1938" s="10"/>
      <c r="G1938" s="47">
        <v>1</v>
      </c>
      <c r="H1938" s="72"/>
      <c r="I1938" s="10"/>
      <c r="J1938" s="46">
        <f t="shared" si="61"/>
        <v>1</v>
      </c>
      <c r="K1938" s="46">
        <f>IFERROR(INDEX(TarrifTable,MATCH(Elements!E1938,Constants!$V$4:$V$7,0),MATCH(Elements!F1938,Constants!$W$3:$AA$3,0)),0)</f>
        <v>0</v>
      </c>
      <c r="L1938" s="69">
        <f t="shared" si="62"/>
        <v>0</v>
      </c>
    </row>
    <row r="1939" spans="2:12" x14ac:dyDescent="0.85">
      <c r="B1939" s="48">
        <v>1932</v>
      </c>
      <c r="C1939" s="277"/>
      <c r="D1939" s="284"/>
      <c r="E1939" s="44"/>
      <c r="F1939" s="44"/>
      <c r="G1939" s="49">
        <v>1</v>
      </c>
      <c r="H1939" s="73"/>
      <c r="I1939" s="44"/>
      <c r="J1939" s="48">
        <f t="shared" si="61"/>
        <v>1</v>
      </c>
      <c r="K1939" s="48">
        <f>IFERROR(INDEX(TarrifTable,MATCH(Elements!E1939,Constants!$V$4:$V$7,0),MATCH(Elements!F1939,Constants!$W$3:$AA$3,0)),0)</f>
        <v>0</v>
      </c>
      <c r="L1939" s="68">
        <f t="shared" si="62"/>
        <v>0</v>
      </c>
    </row>
    <row r="1940" spans="2:12" x14ac:dyDescent="0.85">
      <c r="B1940" s="46">
        <v>1933</v>
      </c>
      <c r="C1940" s="276"/>
      <c r="D1940" s="283"/>
      <c r="E1940" s="10"/>
      <c r="F1940" s="10"/>
      <c r="G1940" s="47">
        <v>1</v>
      </c>
      <c r="H1940" s="72"/>
      <c r="I1940" s="10"/>
      <c r="J1940" s="46">
        <f t="shared" si="61"/>
        <v>1</v>
      </c>
      <c r="K1940" s="46">
        <f>IFERROR(INDEX(TarrifTable,MATCH(Elements!E1940,Constants!$V$4:$V$7,0),MATCH(Elements!F1940,Constants!$W$3:$AA$3,0)),0)</f>
        <v>0</v>
      </c>
      <c r="L1940" s="69">
        <f t="shared" si="62"/>
        <v>0</v>
      </c>
    </row>
    <row r="1941" spans="2:12" x14ac:dyDescent="0.85">
      <c r="B1941" s="48">
        <v>1934</v>
      </c>
      <c r="C1941" s="277"/>
      <c r="D1941" s="284"/>
      <c r="E1941" s="44"/>
      <c r="F1941" s="44"/>
      <c r="G1941" s="49">
        <v>1</v>
      </c>
      <c r="H1941" s="73"/>
      <c r="I1941" s="44"/>
      <c r="J1941" s="48">
        <f t="shared" si="61"/>
        <v>1</v>
      </c>
      <c r="K1941" s="48">
        <f>IFERROR(INDEX(TarrifTable,MATCH(Elements!E1941,Constants!$V$4:$V$7,0),MATCH(Elements!F1941,Constants!$W$3:$AA$3,0)),0)</f>
        <v>0</v>
      </c>
      <c r="L1941" s="68">
        <f t="shared" si="62"/>
        <v>0</v>
      </c>
    </row>
    <row r="1942" spans="2:12" x14ac:dyDescent="0.85">
      <c r="B1942" s="46">
        <v>1935</v>
      </c>
      <c r="C1942" s="276"/>
      <c r="D1942" s="283"/>
      <c r="E1942" s="10"/>
      <c r="F1942" s="10"/>
      <c r="G1942" s="47">
        <v>1</v>
      </c>
      <c r="H1942" s="72"/>
      <c r="I1942" s="10"/>
      <c r="J1942" s="46">
        <f t="shared" si="61"/>
        <v>1</v>
      </c>
      <c r="K1942" s="46">
        <f>IFERROR(INDEX(TarrifTable,MATCH(Elements!E1942,Constants!$V$4:$V$7,0),MATCH(Elements!F1942,Constants!$W$3:$AA$3,0)),0)</f>
        <v>0</v>
      </c>
      <c r="L1942" s="69">
        <f t="shared" si="62"/>
        <v>0</v>
      </c>
    </row>
    <row r="1943" spans="2:12" x14ac:dyDescent="0.85">
      <c r="B1943" s="48">
        <v>1936</v>
      </c>
      <c r="C1943" s="277"/>
      <c r="D1943" s="284"/>
      <c r="E1943" s="44"/>
      <c r="F1943" s="44"/>
      <c r="G1943" s="49">
        <v>1</v>
      </c>
      <c r="H1943" s="73"/>
      <c r="I1943" s="44"/>
      <c r="J1943" s="48">
        <f t="shared" si="61"/>
        <v>1</v>
      </c>
      <c r="K1943" s="48">
        <f>IFERROR(INDEX(TarrifTable,MATCH(Elements!E1943,Constants!$V$4:$V$7,0),MATCH(Elements!F1943,Constants!$W$3:$AA$3,0)),0)</f>
        <v>0</v>
      </c>
      <c r="L1943" s="68">
        <f t="shared" si="62"/>
        <v>0</v>
      </c>
    </row>
    <row r="1944" spans="2:12" x14ac:dyDescent="0.85">
      <c r="B1944" s="46">
        <v>1937</v>
      </c>
      <c r="C1944" s="276"/>
      <c r="D1944" s="283"/>
      <c r="E1944" s="10"/>
      <c r="F1944" s="10"/>
      <c r="G1944" s="47">
        <v>1</v>
      </c>
      <c r="H1944" s="72"/>
      <c r="I1944" s="10"/>
      <c r="J1944" s="46">
        <f t="shared" si="61"/>
        <v>1</v>
      </c>
      <c r="K1944" s="46">
        <f>IFERROR(INDEX(TarrifTable,MATCH(Elements!E1944,Constants!$V$4:$V$7,0),MATCH(Elements!F1944,Constants!$W$3:$AA$3,0)),0)</f>
        <v>0</v>
      </c>
      <c r="L1944" s="69">
        <f t="shared" si="62"/>
        <v>0</v>
      </c>
    </row>
    <row r="1945" spans="2:12" x14ac:dyDescent="0.85">
      <c r="B1945" s="48">
        <v>1938</v>
      </c>
      <c r="C1945" s="277"/>
      <c r="D1945" s="284"/>
      <c r="E1945" s="44"/>
      <c r="F1945" s="44"/>
      <c r="G1945" s="49">
        <v>1</v>
      </c>
      <c r="H1945" s="73"/>
      <c r="I1945" s="44"/>
      <c r="J1945" s="48">
        <f t="shared" si="61"/>
        <v>1</v>
      </c>
      <c r="K1945" s="48">
        <f>IFERROR(INDEX(TarrifTable,MATCH(Elements!E1945,Constants!$V$4:$V$7,0),MATCH(Elements!F1945,Constants!$W$3:$AA$3,0)),0)</f>
        <v>0</v>
      </c>
      <c r="L1945" s="68">
        <f t="shared" si="62"/>
        <v>0</v>
      </c>
    </row>
    <row r="1946" spans="2:12" x14ac:dyDescent="0.85">
      <c r="B1946" s="46">
        <v>1939</v>
      </c>
      <c r="C1946" s="276"/>
      <c r="D1946" s="283"/>
      <c r="E1946" s="10"/>
      <c r="F1946" s="10"/>
      <c r="G1946" s="47">
        <v>1</v>
      </c>
      <c r="H1946" s="72"/>
      <c r="I1946" s="10"/>
      <c r="J1946" s="46">
        <f t="shared" si="61"/>
        <v>1</v>
      </c>
      <c r="K1946" s="46">
        <f>IFERROR(INDEX(TarrifTable,MATCH(Elements!E1946,Constants!$V$4:$V$7,0),MATCH(Elements!F1946,Constants!$W$3:$AA$3,0)),0)</f>
        <v>0</v>
      </c>
      <c r="L1946" s="69">
        <f t="shared" si="62"/>
        <v>0</v>
      </c>
    </row>
    <row r="1947" spans="2:12" x14ac:dyDescent="0.85">
      <c r="B1947" s="48">
        <v>1940</v>
      </c>
      <c r="C1947" s="277"/>
      <c r="D1947" s="284"/>
      <c r="E1947" s="44"/>
      <c r="F1947" s="44"/>
      <c r="G1947" s="49">
        <v>1</v>
      </c>
      <c r="H1947" s="73"/>
      <c r="I1947" s="44"/>
      <c r="J1947" s="48">
        <f t="shared" si="61"/>
        <v>1</v>
      </c>
      <c r="K1947" s="48">
        <f>IFERROR(INDEX(TarrifTable,MATCH(Elements!E1947,Constants!$V$4:$V$7,0),MATCH(Elements!F1947,Constants!$W$3:$AA$3,0)),0)</f>
        <v>0</v>
      </c>
      <c r="L1947" s="68">
        <f t="shared" si="62"/>
        <v>0</v>
      </c>
    </row>
    <row r="1948" spans="2:12" x14ac:dyDescent="0.85">
      <c r="B1948" s="46">
        <v>1941</v>
      </c>
      <c r="C1948" s="276"/>
      <c r="D1948" s="283"/>
      <c r="E1948" s="10"/>
      <c r="F1948" s="10"/>
      <c r="G1948" s="47">
        <v>1</v>
      </c>
      <c r="H1948" s="72"/>
      <c r="I1948" s="10"/>
      <c r="J1948" s="46">
        <f t="shared" si="61"/>
        <v>1</v>
      </c>
      <c r="K1948" s="46">
        <f>IFERROR(INDEX(TarrifTable,MATCH(Elements!E1948,Constants!$V$4:$V$7,0),MATCH(Elements!F1948,Constants!$W$3:$AA$3,0)),0)</f>
        <v>0</v>
      </c>
      <c r="L1948" s="69">
        <f t="shared" si="62"/>
        <v>0</v>
      </c>
    </row>
    <row r="1949" spans="2:12" x14ac:dyDescent="0.85">
      <c r="B1949" s="48">
        <v>1942</v>
      </c>
      <c r="C1949" s="277"/>
      <c r="D1949" s="284"/>
      <c r="E1949" s="44"/>
      <c r="F1949" s="44"/>
      <c r="G1949" s="49">
        <v>1</v>
      </c>
      <c r="H1949" s="73"/>
      <c r="I1949" s="44"/>
      <c r="J1949" s="48">
        <f t="shared" si="61"/>
        <v>1</v>
      </c>
      <c r="K1949" s="48">
        <f>IFERROR(INDEX(TarrifTable,MATCH(Elements!E1949,Constants!$V$4:$V$7,0),MATCH(Elements!F1949,Constants!$W$3:$AA$3,0)),0)</f>
        <v>0</v>
      </c>
      <c r="L1949" s="68">
        <f t="shared" si="62"/>
        <v>0</v>
      </c>
    </row>
    <row r="1950" spans="2:12" x14ac:dyDescent="0.85">
      <c r="B1950" s="46">
        <v>1943</v>
      </c>
      <c r="C1950" s="276"/>
      <c r="D1950" s="283"/>
      <c r="E1950" s="10"/>
      <c r="F1950" s="10"/>
      <c r="G1950" s="47">
        <v>1</v>
      </c>
      <c r="H1950" s="72"/>
      <c r="I1950" s="10"/>
      <c r="J1950" s="46">
        <f t="shared" si="61"/>
        <v>1</v>
      </c>
      <c r="K1950" s="46">
        <f>IFERROR(INDEX(TarrifTable,MATCH(Elements!E1950,Constants!$V$4:$V$7,0),MATCH(Elements!F1950,Constants!$W$3:$AA$3,0)),0)</f>
        <v>0</v>
      </c>
      <c r="L1950" s="69">
        <f t="shared" si="62"/>
        <v>0</v>
      </c>
    </row>
    <row r="1951" spans="2:12" x14ac:dyDescent="0.85">
      <c r="B1951" s="48">
        <v>1944</v>
      </c>
      <c r="C1951" s="277"/>
      <c r="D1951" s="284"/>
      <c r="E1951" s="44"/>
      <c r="F1951" s="44"/>
      <c r="G1951" s="49">
        <v>1</v>
      </c>
      <c r="H1951" s="73"/>
      <c r="I1951" s="44"/>
      <c r="J1951" s="48">
        <f t="shared" si="61"/>
        <v>1</v>
      </c>
      <c r="K1951" s="48">
        <f>IFERROR(INDEX(TarrifTable,MATCH(Elements!E1951,Constants!$V$4:$V$7,0),MATCH(Elements!F1951,Constants!$W$3:$AA$3,0)),0)</f>
        <v>0</v>
      </c>
      <c r="L1951" s="68">
        <f t="shared" si="62"/>
        <v>0</v>
      </c>
    </row>
    <row r="1952" spans="2:12" x14ac:dyDescent="0.85">
      <c r="B1952" s="46">
        <v>1945</v>
      </c>
      <c r="C1952" s="276"/>
      <c r="D1952" s="283"/>
      <c r="E1952" s="10"/>
      <c r="F1952" s="10"/>
      <c r="G1952" s="47">
        <v>1</v>
      </c>
      <c r="H1952" s="72"/>
      <c r="I1952" s="10"/>
      <c r="J1952" s="46">
        <f t="shared" si="61"/>
        <v>1</v>
      </c>
      <c r="K1952" s="46">
        <f>IFERROR(INDEX(TarrifTable,MATCH(Elements!E1952,Constants!$V$4:$V$7,0),MATCH(Elements!F1952,Constants!$W$3:$AA$3,0)),0)</f>
        <v>0</v>
      </c>
      <c r="L1952" s="69">
        <f t="shared" si="62"/>
        <v>0</v>
      </c>
    </row>
    <row r="1953" spans="2:12" x14ac:dyDescent="0.85">
      <c r="B1953" s="48">
        <v>1946</v>
      </c>
      <c r="C1953" s="277"/>
      <c r="D1953" s="284"/>
      <c r="E1953" s="44"/>
      <c r="F1953" s="44"/>
      <c r="G1953" s="49">
        <v>1</v>
      </c>
      <c r="H1953" s="73"/>
      <c r="I1953" s="44"/>
      <c r="J1953" s="48">
        <f t="shared" si="61"/>
        <v>1</v>
      </c>
      <c r="K1953" s="48">
        <f>IFERROR(INDEX(TarrifTable,MATCH(Elements!E1953,Constants!$V$4:$V$7,0),MATCH(Elements!F1953,Constants!$W$3:$AA$3,0)),0)</f>
        <v>0</v>
      </c>
      <c r="L1953" s="68">
        <f t="shared" si="62"/>
        <v>0</v>
      </c>
    </row>
    <row r="1954" spans="2:12" x14ac:dyDescent="0.85">
      <c r="B1954" s="46">
        <v>1947</v>
      </c>
      <c r="C1954" s="276"/>
      <c r="D1954" s="283"/>
      <c r="E1954" s="10"/>
      <c r="F1954" s="10"/>
      <c r="G1954" s="47">
        <v>1</v>
      </c>
      <c r="H1954" s="72"/>
      <c r="I1954" s="10"/>
      <c r="J1954" s="46">
        <f t="shared" si="61"/>
        <v>1</v>
      </c>
      <c r="K1954" s="46">
        <f>IFERROR(INDEX(TarrifTable,MATCH(Elements!E1954,Constants!$V$4:$V$7,0),MATCH(Elements!F1954,Constants!$W$3:$AA$3,0)),0)</f>
        <v>0</v>
      </c>
      <c r="L1954" s="69">
        <f t="shared" si="62"/>
        <v>0</v>
      </c>
    </row>
    <row r="1955" spans="2:12" x14ac:dyDescent="0.85">
      <c r="B1955" s="48">
        <v>1948</v>
      </c>
      <c r="C1955" s="277"/>
      <c r="D1955" s="284"/>
      <c r="E1955" s="44"/>
      <c r="F1955" s="44"/>
      <c r="G1955" s="49">
        <v>1</v>
      </c>
      <c r="H1955" s="73"/>
      <c r="I1955" s="44"/>
      <c r="J1955" s="48">
        <f t="shared" si="61"/>
        <v>1</v>
      </c>
      <c r="K1955" s="48">
        <f>IFERROR(INDEX(TarrifTable,MATCH(Elements!E1955,Constants!$V$4:$V$7,0),MATCH(Elements!F1955,Constants!$W$3:$AA$3,0)),0)</f>
        <v>0</v>
      </c>
      <c r="L1955" s="68">
        <f t="shared" si="62"/>
        <v>0</v>
      </c>
    </row>
    <row r="1956" spans="2:12" x14ac:dyDescent="0.85">
      <c r="B1956" s="46">
        <v>1949</v>
      </c>
      <c r="C1956" s="276"/>
      <c r="D1956" s="283"/>
      <c r="E1956" s="10"/>
      <c r="F1956" s="10"/>
      <c r="G1956" s="47">
        <v>1</v>
      </c>
      <c r="H1956" s="72"/>
      <c r="I1956" s="10"/>
      <c r="J1956" s="46">
        <f t="shared" si="61"/>
        <v>1</v>
      </c>
      <c r="K1956" s="46">
        <f>IFERROR(INDEX(TarrifTable,MATCH(Elements!E1956,Constants!$V$4:$V$7,0),MATCH(Elements!F1956,Constants!$W$3:$AA$3,0)),0)</f>
        <v>0</v>
      </c>
      <c r="L1956" s="69">
        <f t="shared" si="62"/>
        <v>0</v>
      </c>
    </row>
    <row r="1957" spans="2:12" x14ac:dyDescent="0.85">
      <c r="B1957" s="48">
        <v>1950</v>
      </c>
      <c r="C1957" s="277"/>
      <c r="D1957" s="284"/>
      <c r="E1957" s="44"/>
      <c r="F1957" s="44"/>
      <c r="G1957" s="49">
        <v>1</v>
      </c>
      <c r="H1957" s="73"/>
      <c r="I1957" s="44"/>
      <c r="J1957" s="48">
        <f t="shared" si="61"/>
        <v>1</v>
      </c>
      <c r="K1957" s="48">
        <f>IFERROR(INDEX(TarrifTable,MATCH(Elements!E1957,Constants!$V$4:$V$7,0),MATCH(Elements!F1957,Constants!$W$3:$AA$3,0)),0)</f>
        <v>0</v>
      </c>
      <c r="L1957" s="68">
        <f t="shared" si="62"/>
        <v>0</v>
      </c>
    </row>
    <row r="1958" spans="2:12" x14ac:dyDescent="0.85">
      <c r="B1958" s="46">
        <v>1951</v>
      </c>
      <c r="C1958" s="276"/>
      <c r="D1958" s="283"/>
      <c r="E1958" s="10"/>
      <c r="F1958" s="10"/>
      <c r="G1958" s="47">
        <v>1</v>
      </c>
      <c r="H1958" s="72"/>
      <c r="I1958" s="10"/>
      <c r="J1958" s="46">
        <f t="shared" si="61"/>
        <v>1</v>
      </c>
      <c r="K1958" s="46">
        <f>IFERROR(INDEX(TarrifTable,MATCH(Elements!E1958,Constants!$V$4:$V$7,0),MATCH(Elements!F1958,Constants!$W$3:$AA$3,0)),0)</f>
        <v>0</v>
      </c>
      <c r="L1958" s="69">
        <f t="shared" si="62"/>
        <v>0</v>
      </c>
    </row>
    <row r="1959" spans="2:12" x14ac:dyDescent="0.85">
      <c r="B1959" s="48">
        <v>1952</v>
      </c>
      <c r="C1959" s="277"/>
      <c r="D1959" s="284"/>
      <c r="E1959" s="44"/>
      <c r="F1959" s="44"/>
      <c r="G1959" s="49">
        <v>1</v>
      </c>
      <c r="H1959" s="73"/>
      <c r="I1959" s="44"/>
      <c r="J1959" s="48">
        <f t="shared" si="61"/>
        <v>1</v>
      </c>
      <c r="K1959" s="48">
        <f>IFERROR(INDEX(TarrifTable,MATCH(Elements!E1959,Constants!$V$4:$V$7,0),MATCH(Elements!F1959,Constants!$W$3:$AA$3,0)),0)</f>
        <v>0</v>
      </c>
      <c r="L1959" s="68">
        <f t="shared" si="62"/>
        <v>0</v>
      </c>
    </row>
    <row r="1960" spans="2:12" x14ac:dyDescent="0.85">
      <c r="B1960" s="46">
        <v>1953</v>
      </c>
      <c r="C1960" s="276"/>
      <c r="D1960" s="283"/>
      <c r="E1960" s="10"/>
      <c r="F1960" s="10"/>
      <c r="G1960" s="47">
        <v>1</v>
      </c>
      <c r="H1960" s="72"/>
      <c r="I1960" s="10"/>
      <c r="J1960" s="46">
        <f t="shared" si="61"/>
        <v>1</v>
      </c>
      <c r="K1960" s="46">
        <f>IFERROR(INDEX(TarrifTable,MATCH(Elements!E1960,Constants!$V$4:$V$7,0),MATCH(Elements!F1960,Constants!$W$3:$AA$3,0)),0)</f>
        <v>0</v>
      </c>
      <c r="L1960" s="69">
        <f t="shared" si="62"/>
        <v>0</v>
      </c>
    </row>
    <row r="1961" spans="2:12" x14ac:dyDescent="0.85">
      <c r="B1961" s="48">
        <v>1954</v>
      </c>
      <c r="C1961" s="277"/>
      <c r="D1961" s="284"/>
      <c r="E1961" s="44"/>
      <c r="F1961" s="44"/>
      <c r="G1961" s="49">
        <v>1</v>
      </c>
      <c r="H1961" s="73"/>
      <c r="I1961" s="44"/>
      <c r="J1961" s="48">
        <f t="shared" si="61"/>
        <v>1</v>
      </c>
      <c r="K1961" s="48">
        <f>IFERROR(INDEX(TarrifTable,MATCH(Elements!E1961,Constants!$V$4:$V$7,0),MATCH(Elements!F1961,Constants!$W$3:$AA$3,0)),0)</f>
        <v>0</v>
      </c>
      <c r="L1961" s="68">
        <f t="shared" si="62"/>
        <v>0</v>
      </c>
    </row>
    <row r="1962" spans="2:12" x14ac:dyDescent="0.85">
      <c r="B1962" s="46">
        <v>1955</v>
      </c>
      <c r="C1962" s="276"/>
      <c r="D1962" s="283"/>
      <c r="E1962" s="10"/>
      <c r="F1962" s="10"/>
      <c r="G1962" s="47">
        <v>1</v>
      </c>
      <c r="H1962" s="72"/>
      <c r="I1962" s="10"/>
      <c r="J1962" s="46">
        <f t="shared" si="61"/>
        <v>1</v>
      </c>
      <c r="K1962" s="46">
        <f>IFERROR(INDEX(TarrifTable,MATCH(Elements!E1962,Constants!$V$4:$V$7,0),MATCH(Elements!F1962,Constants!$W$3:$AA$3,0)),0)</f>
        <v>0</v>
      </c>
      <c r="L1962" s="69">
        <f t="shared" si="62"/>
        <v>0</v>
      </c>
    </row>
    <row r="1963" spans="2:12" x14ac:dyDescent="0.85">
      <c r="B1963" s="48">
        <v>1956</v>
      </c>
      <c r="C1963" s="277"/>
      <c r="D1963" s="284"/>
      <c r="E1963" s="44"/>
      <c r="F1963" s="44"/>
      <c r="G1963" s="49">
        <v>1</v>
      </c>
      <c r="H1963" s="73"/>
      <c r="I1963" s="44"/>
      <c r="J1963" s="48">
        <f t="shared" si="61"/>
        <v>1</v>
      </c>
      <c r="K1963" s="48">
        <f>IFERROR(INDEX(TarrifTable,MATCH(Elements!E1963,Constants!$V$4:$V$7,0),MATCH(Elements!F1963,Constants!$W$3:$AA$3,0)),0)</f>
        <v>0</v>
      </c>
      <c r="L1963" s="68">
        <f t="shared" si="62"/>
        <v>0</v>
      </c>
    </row>
    <row r="1964" spans="2:12" x14ac:dyDescent="0.85">
      <c r="B1964" s="46">
        <v>1957</v>
      </c>
      <c r="C1964" s="276"/>
      <c r="D1964" s="283"/>
      <c r="E1964" s="10"/>
      <c r="F1964" s="10"/>
      <c r="G1964" s="47">
        <v>1</v>
      </c>
      <c r="H1964" s="72"/>
      <c r="I1964" s="10"/>
      <c r="J1964" s="46">
        <f t="shared" si="61"/>
        <v>1</v>
      </c>
      <c r="K1964" s="46">
        <f>IFERROR(INDEX(TarrifTable,MATCH(Elements!E1964,Constants!$V$4:$V$7,0),MATCH(Elements!F1964,Constants!$W$3:$AA$3,0)),0)</f>
        <v>0</v>
      </c>
      <c r="L1964" s="69">
        <f t="shared" si="62"/>
        <v>0</v>
      </c>
    </row>
    <row r="1965" spans="2:12" x14ac:dyDescent="0.85">
      <c r="B1965" s="48">
        <v>1958</v>
      </c>
      <c r="C1965" s="277"/>
      <c r="D1965" s="284"/>
      <c r="E1965" s="44"/>
      <c r="F1965" s="44"/>
      <c r="G1965" s="49">
        <v>1</v>
      </c>
      <c r="H1965" s="73"/>
      <c r="I1965" s="44"/>
      <c r="J1965" s="48">
        <f t="shared" si="61"/>
        <v>1</v>
      </c>
      <c r="K1965" s="48">
        <f>IFERROR(INDEX(TarrifTable,MATCH(Elements!E1965,Constants!$V$4:$V$7,0),MATCH(Elements!F1965,Constants!$W$3:$AA$3,0)),0)</f>
        <v>0</v>
      </c>
      <c r="L1965" s="68">
        <f t="shared" si="62"/>
        <v>0</v>
      </c>
    </row>
    <row r="1966" spans="2:12" x14ac:dyDescent="0.85">
      <c r="B1966" s="46">
        <v>1959</v>
      </c>
      <c r="C1966" s="276"/>
      <c r="D1966" s="283"/>
      <c r="E1966" s="10"/>
      <c r="F1966" s="10"/>
      <c r="G1966" s="47">
        <v>1</v>
      </c>
      <c r="H1966" s="72"/>
      <c r="I1966" s="10"/>
      <c r="J1966" s="46">
        <f t="shared" si="61"/>
        <v>1</v>
      </c>
      <c r="K1966" s="46">
        <f>IFERROR(INDEX(TarrifTable,MATCH(Elements!E1966,Constants!$V$4:$V$7,0),MATCH(Elements!F1966,Constants!$W$3:$AA$3,0)),0)</f>
        <v>0</v>
      </c>
      <c r="L1966" s="69">
        <f t="shared" si="62"/>
        <v>0</v>
      </c>
    </row>
    <row r="1967" spans="2:12" x14ac:dyDescent="0.85">
      <c r="B1967" s="48">
        <v>1960</v>
      </c>
      <c r="C1967" s="277"/>
      <c r="D1967" s="284"/>
      <c r="E1967" s="44"/>
      <c r="F1967" s="44"/>
      <c r="G1967" s="49">
        <v>1</v>
      </c>
      <c r="H1967" s="73"/>
      <c r="I1967" s="44"/>
      <c r="J1967" s="48">
        <f t="shared" si="61"/>
        <v>1</v>
      </c>
      <c r="K1967" s="48">
        <f>IFERROR(INDEX(TarrifTable,MATCH(Elements!E1967,Constants!$V$4:$V$7,0),MATCH(Elements!F1967,Constants!$W$3:$AA$3,0)),0)</f>
        <v>0</v>
      </c>
      <c r="L1967" s="68">
        <f t="shared" si="62"/>
        <v>0</v>
      </c>
    </row>
    <row r="1968" spans="2:12" x14ac:dyDescent="0.85">
      <c r="B1968" s="46">
        <v>1961</v>
      </c>
      <c r="C1968" s="276"/>
      <c r="D1968" s="283"/>
      <c r="E1968" s="10"/>
      <c r="F1968" s="10"/>
      <c r="G1968" s="47">
        <v>1</v>
      </c>
      <c r="H1968" s="72"/>
      <c r="I1968" s="10"/>
      <c r="J1968" s="46">
        <f t="shared" si="61"/>
        <v>1</v>
      </c>
      <c r="K1968" s="46">
        <f>IFERROR(INDEX(TarrifTable,MATCH(Elements!E1968,Constants!$V$4:$V$7,0),MATCH(Elements!F1968,Constants!$W$3:$AA$3,0)),0)</f>
        <v>0</v>
      </c>
      <c r="L1968" s="69">
        <f t="shared" si="62"/>
        <v>0</v>
      </c>
    </row>
    <row r="1969" spans="2:12" x14ac:dyDescent="0.85">
      <c r="B1969" s="48">
        <v>1962</v>
      </c>
      <c r="C1969" s="277"/>
      <c r="D1969" s="284"/>
      <c r="E1969" s="44"/>
      <c r="F1969" s="44"/>
      <c r="G1969" s="49">
        <v>1</v>
      </c>
      <c r="H1969" s="73"/>
      <c r="I1969" s="44"/>
      <c r="J1969" s="48">
        <f t="shared" si="61"/>
        <v>1</v>
      </c>
      <c r="K1969" s="48">
        <f>IFERROR(INDEX(TarrifTable,MATCH(Elements!E1969,Constants!$V$4:$V$7,0),MATCH(Elements!F1969,Constants!$W$3:$AA$3,0)),0)</f>
        <v>0</v>
      </c>
      <c r="L1969" s="68">
        <f t="shared" si="62"/>
        <v>0</v>
      </c>
    </row>
    <row r="1970" spans="2:12" x14ac:dyDescent="0.85">
      <c r="B1970" s="46">
        <v>1963</v>
      </c>
      <c r="C1970" s="276"/>
      <c r="D1970" s="283"/>
      <c r="E1970" s="10"/>
      <c r="F1970" s="10"/>
      <c r="G1970" s="47">
        <v>1</v>
      </c>
      <c r="H1970" s="72"/>
      <c r="I1970" s="10"/>
      <c r="J1970" s="46">
        <f t="shared" si="61"/>
        <v>1</v>
      </c>
      <c r="K1970" s="46">
        <f>IFERROR(INDEX(TarrifTable,MATCH(Elements!E1970,Constants!$V$4:$V$7,0),MATCH(Elements!F1970,Constants!$W$3:$AA$3,0)),0)</f>
        <v>0</v>
      </c>
      <c r="L1970" s="69">
        <f t="shared" si="62"/>
        <v>0</v>
      </c>
    </row>
    <row r="1971" spans="2:12" x14ac:dyDescent="0.85">
      <c r="B1971" s="48">
        <v>1964</v>
      </c>
      <c r="C1971" s="277"/>
      <c r="D1971" s="284"/>
      <c r="E1971" s="44"/>
      <c r="F1971" s="44"/>
      <c r="G1971" s="49">
        <v>1</v>
      </c>
      <c r="H1971" s="73"/>
      <c r="I1971" s="44"/>
      <c r="J1971" s="48">
        <f t="shared" si="61"/>
        <v>1</v>
      </c>
      <c r="K1971" s="48">
        <f>IFERROR(INDEX(TarrifTable,MATCH(Elements!E1971,Constants!$V$4:$V$7,0),MATCH(Elements!F1971,Constants!$W$3:$AA$3,0)),0)</f>
        <v>0</v>
      </c>
      <c r="L1971" s="68">
        <f t="shared" si="62"/>
        <v>0</v>
      </c>
    </row>
    <row r="1972" spans="2:12" x14ac:dyDescent="0.85">
      <c r="B1972" s="46">
        <v>1965</v>
      </c>
      <c r="C1972" s="276"/>
      <c r="D1972" s="283"/>
      <c r="E1972" s="10"/>
      <c r="F1972" s="10"/>
      <c r="G1972" s="47">
        <v>1</v>
      </c>
      <c r="H1972" s="72"/>
      <c r="I1972" s="10"/>
      <c r="J1972" s="46">
        <f t="shared" si="61"/>
        <v>1</v>
      </c>
      <c r="K1972" s="46">
        <f>IFERROR(INDEX(TarrifTable,MATCH(Elements!E1972,Constants!$V$4:$V$7,0),MATCH(Elements!F1972,Constants!$W$3:$AA$3,0)),0)</f>
        <v>0</v>
      </c>
      <c r="L1972" s="69">
        <f t="shared" si="62"/>
        <v>0</v>
      </c>
    </row>
    <row r="1973" spans="2:12" x14ac:dyDescent="0.85">
      <c r="B1973" s="48">
        <v>1966</v>
      </c>
      <c r="C1973" s="277"/>
      <c r="D1973" s="284"/>
      <c r="E1973" s="44"/>
      <c r="F1973" s="44"/>
      <c r="G1973" s="49">
        <v>1</v>
      </c>
      <c r="H1973" s="73"/>
      <c r="I1973" s="44"/>
      <c r="J1973" s="48">
        <f t="shared" si="61"/>
        <v>1</v>
      </c>
      <c r="K1973" s="48">
        <f>IFERROR(INDEX(TarrifTable,MATCH(Elements!E1973,Constants!$V$4:$V$7,0),MATCH(Elements!F1973,Constants!$W$3:$AA$3,0)),0)</f>
        <v>0</v>
      </c>
      <c r="L1973" s="68">
        <f t="shared" si="62"/>
        <v>0</v>
      </c>
    </row>
    <row r="1974" spans="2:12" x14ac:dyDescent="0.85">
      <c r="B1974" s="46">
        <v>1967</v>
      </c>
      <c r="C1974" s="276"/>
      <c r="D1974" s="283"/>
      <c r="E1974" s="10"/>
      <c r="F1974" s="10"/>
      <c r="G1974" s="47">
        <v>1</v>
      </c>
      <c r="H1974" s="72"/>
      <c r="I1974" s="10"/>
      <c r="J1974" s="46">
        <f t="shared" si="61"/>
        <v>1</v>
      </c>
      <c r="K1974" s="46">
        <f>IFERROR(INDEX(TarrifTable,MATCH(Elements!E1974,Constants!$V$4:$V$7,0),MATCH(Elements!F1974,Constants!$W$3:$AA$3,0)),0)</f>
        <v>0</v>
      </c>
      <c r="L1974" s="69">
        <f t="shared" si="62"/>
        <v>0</v>
      </c>
    </row>
    <row r="1975" spans="2:12" x14ac:dyDescent="0.85">
      <c r="B1975" s="48">
        <v>1968</v>
      </c>
      <c r="C1975" s="277"/>
      <c r="D1975" s="284"/>
      <c r="E1975" s="44"/>
      <c r="F1975" s="44"/>
      <c r="G1975" s="49">
        <v>1</v>
      </c>
      <c r="H1975" s="73"/>
      <c r="I1975" s="44"/>
      <c r="J1975" s="48">
        <f t="shared" si="61"/>
        <v>1</v>
      </c>
      <c r="K1975" s="48">
        <f>IFERROR(INDEX(TarrifTable,MATCH(Elements!E1975,Constants!$V$4:$V$7,0),MATCH(Elements!F1975,Constants!$W$3:$AA$3,0)),0)</f>
        <v>0</v>
      </c>
      <c r="L1975" s="68">
        <f t="shared" si="62"/>
        <v>0</v>
      </c>
    </row>
    <row r="1976" spans="2:12" x14ac:dyDescent="0.85">
      <c r="B1976" s="46">
        <v>1969</v>
      </c>
      <c r="C1976" s="276"/>
      <c r="D1976" s="283"/>
      <c r="E1976" s="10"/>
      <c r="F1976" s="10"/>
      <c r="G1976" s="47">
        <v>1</v>
      </c>
      <c r="H1976" s="72"/>
      <c r="I1976" s="10"/>
      <c r="J1976" s="46">
        <f t="shared" si="61"/>
        <v>1</v>
      </c>
      <c r="K1976" s="46">
        <f>IFERROR(INDEX(TarrifTable,MATCH(Elements!E1976,Constants!$V$4:$V$7,0),MATCH(Elements!F1976,Constants!$W$3:$AA$3,0)),0)</f>
        <v>0</v>
      </c>
      <c r="L1976" s="69">
        <f t="shared" si="62"/>
        <v>0</v>
      </c>
    </row>
    <row r="1977" spans="2:12" x14ac:dyDescent="0.85">
      <c r="B1977" s="48">
        <v>1970</v>
      </c>
      <c r="C1977" s="277"/>
      <c r="D1977" s="284"/>
      <c r="E1977" s="44"/>
      <c r="F1977" s="44"/>
      <c r="G1977" s="49">
        <v>1</v>
      </c>
      <c r="H1977" s="73"/>
      <c r="I1977" s="44"/>
      <c r="J1977" s="48">
        <f t="shared" si="61"/>
        <v>1</v>
      </c>
      <c r="K1977" s="48">
        <f>IFERROR(INDEX(TarrifTable,MATCH(Elements!E1977,Constants!$V$4:$V$7,0),MATCH(Elements!F1977,Constants!$W$3:$AA$3,0)),0)</f>
        <v>0</v>
      </c>
      <c r="L1977" s="68">
        <f t="shared" si="62"/>
        <v>0</v>
      </c>
    </row>
    <row r="1978" spans="2:12" x14ac:dyDescent="0.85">
      <c r="B1978" s="46">
        <v>1971</v>
      </c>
      <c r="C1978" s="276"/>
      <c r="D1978" s="283"/>
      <c r="E1978" s="10"/>
      <c r="F1978" s="10"/>
      <c r="G1978" s="47">
        <v>1</v>
      </c>
      <c r="H1978" s="72"/>
      <c r="I1978" s="10"/>
      <c r="J1978" s="46">
        <f t="shared" si="61"/>
        <v>1</v>
      </c>
      <c r="K1978" s="46">
        <f>IFERROR(INDEX(TarrifTable,MATCH(Elements!E1978,Constants!$V$4:$V$7,0),MATCH(Elements!F1978,Constants!$W$3:$AA$3,0)),0)</f>
        <v>0</v>
      </c>
      <c r="L1978" s="69">
        <f t="shared" si="62"/>
        <v>0</v>
      </c>
    </row>
    <row r="1979" spans="2:12" x14ac:dyDescent="0.85">
      <c r="B1979" s="48">
        <v>1972</v>
      </c>
      <c r="C1979" s="277"/>
      <c r="D1979" s="284"/>
      <c r="E1979" s="44"/>
      <c r="F1979" s="44"/>
      <c r="G1979" s="49">
        <v>1</v>
      </c>
      <c r="H1979" s="73"/>
      <c r="I1979" s="44"/>
      <c r="J1979" s="48">
        <f t="shared" si="61"/>
        <v>1</v>
      </c>
      <c r="K1979" s="48">
        <f>IFERROR(INDEX(TarrifTable,MATCH(Elements!E1979,Constants!$V$4:$V$7,0),MATCH(Elements!F1979,Constants!$W$3:$AA$3,0)),0)</f>
        <v>0</v>
      </c>
      <c r="L1979" s="68">
        <f t="shared" si="62"/>
        <v>0</v>
      </c>
    </row>
    <row r="1980" spans="2:12" x14ac:dyDescent="0.85">
      <c r="B1980" s="46">
        <v>1973</v>
      </c>
      <c r="C1980" s="276"/>
      <c r="D1980" s="283"/>
      <c r="E1980" s="10"/>
      <c r="F1980" s="10"/>
      <c r="G1980" s="47">
        <v>1</v>
      </c>
      <c r="H1980" s="72"/>
      <c r="I1980" s="10"/>
      <c r="J1980" s="46">
        <f t="shared" si="61"/>
        <v>1</v>
      </c>
      <c r="K1980" s="46">
        <f>IFERROR(INDEX(TarrifTable,MATCH(Elements!E1980,Constants!$V$4:$V$7,0),MATCH(Elements!F1980,Constants!$W$3:$AA$3,0)),0)</f>
        <v>0</v>
      </c>
      <c r="L1980" s="69">
        <f t="shared" si="62"/>
        <v>0</v>
      </c>
    </row>
    <row r="1981" spans="2:12" x14ac:dyDescent="0.85">
      <c r="B1981" s="48">
        <v>1974</v>
      </c>
      <c r="C1981" s="277"/>
      <c r="D1981" s="284"/>
      <c r="E1981" s="44"/>
      <c r="F1981" s="44"/>
      <c r="G1981" s="49">
        <v>1</v>
      </c>
      <c r="H1981" s="73"/>
      <c r="I1981" s="44"/>
      <c r="J1981" s="48">
        <f t="shared" si="61"/>
        <v>1</v>
      </c>
      <c r="K1981" s="48">
        <f>IFERROR(INDEX(TarrifTable,MATCH(Elements!E1981,Constants!$V$4:$V$7,0),MATCH(Elements!F1981,Constants!$W$3:$AA$3,0)),0)</f>
        <v>0</v>
      </c>
      <c r="L1981" s="68">
        <f t="shared" si="62"/>
        <v>0</v>
      </c>
    </row>
    <row r="1982" spans="2:12" x14ac:dyDescent="0.85">
      <c r="B1982" s="46">
        <v>1975</v>
      </c>
      <c r="C1982" s="276"/>
      <c r="D1982" s="283"/>
      <c r="E1982" s="10"/>
      <c r="F1982" s="10"/>
      <c r="G1982" s="47">
        <v>1</v>
      </c>
      <c r="H1982" s="72"/>
      <c r="I1982" s="10"/>
      <c r="J1982" s="46">
        <f t="shared" si="61"/>
        <v>1</v>
      </c>
      <c r="K1982" s="46">
        <f>IFERROR(INDEX(TarrifTable,MATCH(Elements!E1982,Constants!$V$4:$V$7,0),MATCH(Elements!F1982,Constants!$W$3:$AA$3,0)),0)</f>
        <v>0</v>
      </c>
      <c r="L1982" s="69">
        <f t="shared" si="62"/>
        <v>0</v>
      </c>
    </row>
    <row r="1983" spans="2:12" x14ac:dyDescent="0.85">
      <c r="B1983" s="48">
        <v>1976</v>
      </c>
      <c r="C1983" s="277"/>
      <c r="D1983" s="284"/>
      <c r="E1983" s="44"/>
      <c r="F1983" s="44"/>
      <c r="G1983" s="49">
        <v>1</v>
      </c>
      <c r="H1983" s="73"/>
      <c r="I1983" s="44"/>
      <c r="J1983" s="48">
        <f t="shared" si="61"/>
        <v>1</v>
      </c>
      <c r="K1983" s="48">
        <f>IFERROR(INDEX(TarrifTable,MATCH(Elements!E1983,Constants!$V$4:$V$7,0),MATCH(Elements!F1983,Constants!$W$3:$AA$3,0)),0)</f>
        <v>0</v>
      </c>
      <c r="L1983" s="68">
        <f t="shared" si="62"/>
        <v>0</v>
      </c>
    </row>
    <row r="1984" spans="2:12" x14ac:dyDescent="0.85">
      <c r="B1984" s="46">
        <v>1977</v>
      </c>
      <c r="C1984" s="276"/>
      <c r="D1984" s="283"/>
      <c r="E1984" s="10"/>
      <c r="F1984" s="10"/>
      <c r="G1984" s="47">
        <v>1</v>
      </c>
      <c r="H1984" s="72"/>
      <c r="I1984" s="10"/>
      <c r="J1984" s="46">
        <f t="shared" si="61"/>
        <v>1</v>
      </c>
      <c r="K1984" s="46">
        <f>IFERROR(INDEX(TarrifTable,MATCH(Elements!E1984,Constants!$V$4:$V$7,0),MATCH(Elements!F1984,Constants!$W$3:$AA$3,0)),0)</f>
        <v>0</v>
      </c>
      <c r="L1984" s="69">
        <f t="shared" si="62"/>
        <v>0</v>
      </c>
    </row>
    <row r="1985" spans="2:12" x14ac:dyDescent="0.85">
      <c r="B1985" s="48">
        <v>1978</v>
      </c>
      <c r="C1985" s="277"/>
      <c r="D1985" s="284"/>
      <c r="E1985" s="44"/>
      <c r="F1985" s="44"/>
      <c r="G1985" s="49">
        <v>1</v>
      </c>
      <c r="H1985" s="73"/>
      <c r="I1985" s="44"/>
      <c r="J1985" s="48">
        <f t="shared" si="61"/>
        <v>1</v>
      </c>
      <c r="K1985" s="48">
        <f>IFERROR(INDEX(TarrifTable,MATCH(Elements!E1985,Constants!$V$4:$V$7,0),MATCH(Elements!F1985,Constants!$W$3:$AA$3,0)),0)</f>
        <v>0</v>
      </c>
      <c r="L1985" s="68">
        <f t="shared" si="62"/>
        <v>0</v>
      </c>
    </row>
    <row r="1986" spans="2:12" x14ac:dyDescent="0.85">
      <c r="B1986" s="46">
        <v>1979</v>
      </c>
      <c r="C1986" s="276"/>
      <c r="D1986" s="283"/>
      <c r="E1986" s="10"/>
      <c r="F1986" s="10"/>
      <c r="G1986" s="47">
        <v>1</v>
      </c>
      <c r="H1986" s="72"/>
      <c r="I1986" s="10"/>
      <c r="J1986" s="46">
        <f t="shared" si="61"/>
        <v>1</v>
      </c>
      <c r="K1986" s="46">
        <f>IFERROR(INDEX(TarrifTable,MATCH(Elements!E1986,Constants!$V$4:$V$7,0),MATCH(Elements!F1986,Constants!$W$3:$AA$3,0)),0)</f>
        <v>0</v>
      </c>
      <c r="L1986" s="69">
        <f t="shared" si="62"/>
        <v>0</v>
      </c>
    </row>
    <row r="1987" spans="2:12" x14ac:dyDescent="0.85">
      <c r="B1987" s="48">
        <v>1980</v>
      </c>
      <c r="C1987" s="277"/>
      <c r="D1987" s="284"/>
      <c r="E1987" s="44"/>
      <c r="F1987" s="44"/>
      <c r="G1987" s="49">
        <v>1</v>
      </c>
      <c r="H1987" s="73"/>
      <c r="I1987" s="44"/>
      <c r="J1987" s="48">
        <f t="shared" si="61"/>
        <v>1</v>
      </c>
      <c r="K1987" s="48">
        <f>IFERROR(INDEX(TarrifTable,MATCH(Elements!E1987,Constants!$V$4:$V$7,0),MATCH(Elements!F1987,Constants!$W$3:$AA$3,0)),0)</f>
        <v>0</v>
      </c>
      <c r="L1987" s="68">
        <f t="shared" si="62"/>
        <v>0</v>
      </c>
    </row>
    <row r="1988" spans="2:12" x14ac:dyDescent="0.85">
      <c r="B1988" s="46">
        <v>1981</v>
      </c>
      <c r="C1988" s="276"/>
      <c r="D1988" s="283"/>
      <c r="E1988" s="10"/>
      <c r="F1988" s="10"/>
      <c r="G1988" s="47">
        <v>1</v>
      </c>
      <c r="H1988" s="72"/>
      <c r="I1988" s="10"/>
      <c r="J1988" s="46">
        <f t="shared" si="61"/>
        <v>1</v>
      </c>
      <c r="K1988" s="46">
        <f>IFERROR(INDEX(TarrifTable,MATCH(Elements!E1988,Constants!$V$4:$V$7,0),MATCH(Elements!F1988,Constants!$W$3:$AA$3,0)),0)</f>
        <v>0</v>
      </c>
      <c r="L1988" s="69">
        <f t="shared" si="62"/>
        <v>0</v>
      </c>
    </row>
    <row r="1989" spans="2:12" x14ac:dyDescent="0.85">
      <c r="B1989" s="48">
        <v>1982</v>
      </c>
      <c r="C1989" s="277"/>
      <c r="D1989" s="284"/>
      <c r="E1989" s="44"/>
      <c r="F1989" s="44"/>
      <c r="G1989" s="49">
        <v>1</v>
      </c>
      <c r="H1989" s="73"/>
      <c r="I1989" s="44"/>
      <c r="J1989" s="48">
        <f t="shared" si="61"/>
        <v>1</v>
      </c>
      <c r="K1989" s="48">
        <f>IFERROR(INDEX(TarrifTable,MATCH(Elements!E1989,Constants!$V$4:$V$7,0),MATCH(Elements!F1989,Constants!$W$3:$AA$3,0)),0)</f>
        <v>0</v>
      </c>
      <c r="L1989" s="68">
        <f t="shared" si="62"/>
        <v>0</v>
      </c>
    </row>
    <row r="1990" spans="2:12" x14ac:dyDescent="0.85">
      <c r="B1990" s="46">
        <v>1983</v>
      </c>
      <c r="C1990" s="276"/>
      <c r="D1990" s="283"/>
      <c r="E1990" s="10"/>
      <c r="F1990" s="10"/>
      <c r="G1990" s="47">
        <v>1</v>
      </c>
      <c r="H1990" s="72"/>
      <c r="I1990" s="10"/>
      <c r="J1990" s="46">
        <f t="shared" si="61"/>
        <v>1</v>
      </c>
      <c r="K1990" s="46">
        <f>IFERROR(INDEX(TarrifTable,MATCH(Elements!E1990,Constants!$V$4:$V$7,0),MATCH(Elements!F1990,Constants!$W$3:$AA$3,0)),0)</f>
        <v>0</v>
      </c>
      <c r="L1990" s="69">
        <f t="shared" si="62"/>
        <v>0</v>
      </c>
    </row>
    <row r="1991" spans="2:12" x14ac:dyDescent="0.85">
      <c r="B1991" s="48">
        <v>1984</v>
      </c>
      <c r="C1991" s="277"/>
      <c r="D1991" s="284"/>
      <c r="E1991" s="44"/>
      <c r="F1991" s="44"/>
      <c r="G1991" s="49">
        <v>1</v>
      </c>
      <c r="H1991" s="73"/>
      <c r="I1991" s="44"/>
      <c r="J1991" s="48">
        <f t="shared" si="61"/>
        <v>1</v>
      </c>
      <c r="K1991" s="48">
        <f>IFERROR(INDEX(TarrifTable,MATCH(Elements!E1991,Constants!$V$4:$V$7,0),MATCH(Elements!F1991,Constants!$W$3:$AA$3,0)),0)</f>
        <v>0</v>
      </c>
      <c r="L1991" s="68">
        <f t="shared" si="62"/>
        <v>0</v>
      </c>
    </row>
    <row r="1992" spans="2:12" x14ac:dyDescent="0.85">
      <c r="B1992" s="46">
        <v>1985</v>
      </c>
      <c r="C1992" s="276"/>
      <c r="D1992" s="283"/>
      <c r="E1992" s="10"/>
      <c r="F1992" s="10"/>
      <c r="G1992" s="47">
        <v>1</v>
      </c>
      <c r="H1992" s="72"/>
      <c r="I1992" s="10"/>
      <c r="J1992" s="46">
        <f t="shared" ref="J1992:J2007" si="63">IF(ISBLANK(H1992),1,H1992)</f>
        <v>1</v>
      </c>
      <c r="K1992" s="46">
        <f>IFERROR(INDEX(TarrifTable,MATCH(Elements!E1992,Constants!$V$4:$V$7,0),MATCH(Elements!F1992,Constants!$W$3:$AA$3,0)),0)</f>
        <v>0</v>
      </c>
      <c r="L1992" s="69">
        <f t="shared" ref="L1992:L2007" si="64">J1992*G1992*K1992</f>
        <v>0</v>
      </c>
    </row>
    <row r="1993" spans="2:12" x14ac:dyDescent="0.85">
      <c r="B1993" s="48">
        <v>1986</v>
      </c>
      <c r="C1993" s="277"/>
      <c r="D1993" s="284"/>
      <c r="E1993" s="44"/>
      <c r="F1993" s="44"/>
      <c r="G1993" s="49">
        <v>1</v>
      </c>
      <c r="H1993" s="73"/>
      <c r="I1993" s="44"/>
      <c r="J1993" s="48">
        <f t="shared" si="63"/>
        <v>1</v>
      </c>
      <c r="K1993" s="48">
        <f>IFERROR(INDEX(TarrifTable,MATCH(Elements!E1993,Constants!$V$4:$V$7,0),MATCH(Elements!F1993,Constants!$W$3:$AA$3,0)),0)</f>
        <v>0</v>
      </c>
      <c r="L1993" s="68">
        <f t="shared" si="64"/>
        <v>0</v>
      </c>
    </row>
    <row r="1994" spans="2:12" x14ac:dyDescent="0.85">
      <c r="B1994" s="46">
        <v>1987</v>
      </c>
      <c r="C1994" s="276"/>
      <c r="D1994" s="283"/>
      <c r="E1994" s="10"/>
      <c r="F1994" s="10"/>
      <c r="G1994" s="47">
        <v>1</v>
      </c>
      <c r="H1994" s="72"/>
      <c r="I1994" s="10"/>
      <c r="J1994" s="46">
        <f t="shared" si="63"/>
        <v>1</v>
      </c>
      <c r="K1994" s="46">
        <f>IFERROR(INDEX(TarrifTable,MATCH(Elements!E1994,Constants!$V$4:$V$7,0),MATCH(Elements!F1994,Constants!$W$3:$AA$3,0)),0)</f>
        <v>0</v>
      </c>
      <c r="L1994" s="69">
        <f t="shared" si="64"/>
        <v>0</v>
      </c>
    </row>
    <row r="1995" spans="2:12" x14ac:dyDescent="0.85">
      <c r="B1995" s="48">
        <v>1988</v>
      </c>
      <c r="C1995" s="277"/>
      <c r="D1995" s="284"/>
      <c r="E1995" s="44"/>
      <c r="F1995" s="44"/>
      <c r="G1995" s="49">
        <v>1</v>
      </c>
      <c r="H1995" s="73"/>
      <c r="I1995" s="44"/>
      <c r="J1995" s="48">
        <f t="shared" si="63"/>
        <v>1</v>
      </c>
      <c r="K1995" s="48">
        <f>IFERROR(INDEX(TarrifTable,MATCH(Elements!E1995,Constants!$V$4:$V$7,0),MATCH(Elements!F1995,Constants!$W$3:$AA$3,0)),0)</f>
        <v>0</v>
      </c>
      <c r="L1995" s="68">
        <f t="shared" si="64"/>
        <v>0</v>
      </c>
    </row>
    <row r="1996" spans="2:12" x14ac:dyDescent="0.85">
      <c r="B1996" s="46">
        <v>1989</v>
      </c>
      <c r="C1996" s="276"/>
      <c r="D1996" s="283"/>
      <c r="E1996" s="10"/>
      <c r="F1996" s="10"/>
      <c r="G1996" s="47">
        <v>1</v>
      </c>
      <c r="H1996" s="72"/>
      <c r="I1996" s="10"/>
      <c r="J1996" s="46">
        <f t="shared" si="63"/>
        <v>1</v>
      </c>
      <c r="K1996" s="46">
        <f>IFERROR(INDEX(TarrifTable,MATCH(Elements!E1996,Constants!$V$4:$V$7,0),MATCH(Elements!F1996,Constants!$W$3:$AA$3,0)),0)</f>
        <v>0</v>
      </c>
      <c r="L1996" s="69">
        <f t="shared" si="64"/>
        <v>0</v>
      </c>
    </row>
    <row r="1997" spans="2:12" x14ac:dyDescent="0.85">
      <c r="B1997" s="48">
        <v>1990</v>
      </c>
      <c r="C1997" s="277"/>
      <c r="D1997" s="284"/>
      <c r="E1997" s="44"/>
      <c r="F1997" s="44"/>
      <c r="G1997" s="49">
        <v>1</v>
      </c>
      <c r="H1997" s="73"/>
      <c r="I1997" s="44"/>
      <c r="J1997" s="48">
        <f t="shared" si="63"/>
        <v>1</v>
      </c>
      <c r="K1997" s="48">
        <f>IFERROR(INDEX(TarrifTable,MATCH(Elements!E1997,Constants!$V$4:$V$7,0),MATCH(Elements!F1997,Constants!$W$3:$AA$3,0)),0)</f>
        <v>0</v>
      </c>
      <c r="L1997" s="68">
        <f t="shared" si="64"/>
        <v>0</v>
      </c>
    </row>
    <row r="1998" spans="2:12" x14ac:dyDescent="0.85">
      <c r="B1998" s="46">
        <v>1991</v>
      </c>
      <c r="C1998" s="276"/>
      <c r="D1998" s="283"/>
      <c r="E1998" s="10"/>
      <c r="F1998" s="10"/>
      <c r="G1998" s="47">
        <v>1</v>
      </c>
      <c r="H1998" s="72"/>
      <c r="I1998" s="10"/>
      <c r="J1998" s="46">
        <f t="shared" si="63"/>
        <v>1</v>
      </c>
      <c r="K1998" s="46">
        <f>IFERROR(INDEX(TarrifTable,MATCH(Elements!E1998,Constants!$V$4:$V$7,0),MATCH(Elements!F1998,Constants!$W$3:$AA$3,0)),0)</f>
        <v>0</v>
      </c>
      <c r="L1998" s="69">
        <f t="shared" si="64"/>
        <v>0</v>
      </c>
    </row>
    <row r="1999" spans="2:12" x14ac:dyDescent="0.85">
      <c r="B1999" s="48">
        <v>1992</v>
      </c>
      <c r="C1999" s="277"/>
      <c r="D1999" s="284"/>
      <c r="E1999" s="44"/>
      <c r="F1999" s="44"/>
      <c r="G1999" s="49">
        <v>1</v>
      </c>
      <c r="H1999" s="73"/>
      <c r="I1999" s="44"/>
      <c r="J1999" s="48">
        <f t="shared" si="63"/>
        <v>1</v>
      </c>
      <c r="K1999" s="48">
        <f>IFERROR(INDEX(TarrifTable,MATCH(Elements!E1999,Constants!$V$4:$V$7,0),MATCH(Elements!F1999,Constants!$W$3:$AA$3,0)),0)</f>
        <v>0</v>
      </c>
      <c r="L1999" s="68">
        <f t="shared" si="64"/>
        <v>0</v>
      </c>
    </row>
    <row r="2000" spans="2:12" x14ac:dyDescent="0.85">
      <c r="B2000" s="46">
        <v>1993</v>
      </c>
      <c r="C2000" s="276"/>
      <c r="D2000" s="283"/>
      <c r="E2000" s="10"/>
      <c r="F2000" s="10"/>
      <c r="G2000" s="47">
        <v>1</v>
      </c>
      <c r="H2000" s="72"/>
      <c r="I2000" s="10"/>
      <c r="J2000" s="46">
        <f t="shared" si="63"/>
        <v>1</v>
      </c>
      <c r="K2000" s="46">
        <f>IFERROR(INDEX(TarrifTable,MATCH(Elements!E2000,Constants!$V$4:$V$7,0),MATCH(Elements!F2000,Constants!$W$3:$AA$3,0)),0)</f>
        <v>0</v>
      </c>
      <c r="L2000" s="69">
        <f t="shared" si="64"/>
        <v>0</v>
      </c>
    </row>
    <row r="2001" spans="2:12" x14ac:dyDescent="0.85">
      <c r="B2001" s="48">
        <v>1994</v>
      </c>
      <c r="C2001" s="277"/>
      <c r="D2001" s="284"/>
      <c r="E2001" s="44"/>
      <c r="F2001" s="44"/>
      <c r="G2001" s="49">
        <v>1</v>
      </c>
      <c r="H2001" s="73"/>
      <c r="I2001" s="44"/>
      <c r="J2001" s="48">
        <f t="shared" si="63"/>
        <v>1</v>
      </c>
      <c r="K2001" s="48">
        <f>IFERROR(INDEX(TarrifTable,MATCH(Elements!E2001,Constants!$V$4:$V$7,0),MATCH(Elements!F2001,Constants!$W$3:$AA$3,0)),0)</f>
        <v>0</v>
      </c>
      <c r="L2001" s="68">
        <f t="shared" si="64"/>
        <v>0</v>
      </c>
    </row>
    <row r="2002" spans="2:12" x14ac:dyDescent="0.85">
      <c r="B2002" s="46">
        <v>1995</v>
      </c>
      <c r="C2002" s="276"/>
      <c r="D2002" s="283"/>
      <c r="E2002" s="10"/>
      <c r="F2002" s="10"/>
      <c r="G2002" s="47">
        <v>1</v>
      </c>
      <c r="H2002" s="72"/>
      <c r="I2002" s="10"/>
      <c r="J2002" s="46">
        <f t="shared" si="63"/>
        <v>1</v>
      </c>
      <c r="K2002" s="46">
        <f>IFERROR(INDEX(TarrifTable,MATCH(Elements!E2002,Constants!$V$4:$V$7,0),MATCH(Elements!F2002,Constants!$W$3:$AA$3,0)),0)</f>
        <v>0</v>
      </c>
      <c r="L2002" s="69">
        <f t="shared" si="64"/>
        <v>0</v>
      </c>
    </row>
    <row r="2003" spans="2:12" x14ac:dyDescent="0.85">
      <c r="B2003" s="48">
        <v>1996</v>
      </c>
      <c r="C2003" s="277"/>
      <c r="D2003" s="284"/>
      <c r="E2003" s="44"/>
      <c r="F2003" s="44"/>
      <c r="G2003" s="49">
        <v>1</v>
      </c>
      <c r="H2003" s="73"/>
      <c r="I2003" s="44"/>
      <c r="J2003" s="48">
        <f t="shared" si="63"/>
        <v>1</v>
      </c>
      <c r="K2003" s="48">
        <f>IFERROR(INDEX(TarrifTable,MATCH(Elements!E2003,Constants!$V$4:$V$7,0),MATCH(Elements!F2003,Constants!$W$3:$AA$3,0)),0)</f>
        <v>0</v>
      </c>
      <c r="L2003" s="68">
        <f t="shared" si="64"/>
        <v>0</v>
      </c>
    </row>
    <row r="2004" spans="2:12" x14ac:dyDescent="0.85">
      <c r="B2004" s="46">
        <v>1997</v>
      </c>
      <c r="C2004" s="276"/>
      <c r="D2004" s="283"/>
      <c r="E2004" s="10"/>
      <c r="F2004" s="10"/>
      <c r="G2004" s="47">
        <v>1</v>
      </c>
      <c r="H2004" s="72"/>
      <c r="I2004" s="10"/>
      <c r="J2004" s="46">
        <f t="shared" si="63"/>
        <v>1</v>
      </c>
      <c r="K2004" s="46">
        <f>IFERROR(INDEX(TarrifTable,MATCH(Elements!E2004,Constants!$V$4:$V$7,0),MATCH(Elements!F2004,Constants!$W$3:$AA$3,0)),0)</f>
        <v>0</v>
      </c>
      <c r="L2004" s="69">
        <f t="shared" si="64"/>
        <v>0</v>
      </c>
    </row>
    <row r="2005" spans="2:12" x14ac:dyDescent="0.85">
      <c r="B2005" s="48">
        <v>1998</v>
      </c>
      <c r="C2005" s="277"/>
      <c r="D2005" s="284"/>
      <c r="E2005" s="44"/>
      <c r="F2005" s="44"/>
      <c r="G2005" s="49">
        <v>1</v>
      </c>
      <c r="H2005" s="73"/>
      <c r="I2005" s="44"/>
      <c r="J2005" s="48">
        <f t="shared" si="63"/>
        <v>1</v>
      </c>
      <c r="K2005" s="48">
        <f>IFERROR(INDEX(TarrifTable,MATCH(Elements!E2005,Constants!$V$4:$V$7,0),MATCH(Elements!F2005,Constants!$W$3:$AA$3,0)),0)</f>
        <v>0</v>
      </c>
      <c r="L2005" s="68">
        <f t="shared" si="64"/>
        <v>0</v>
      </c>
    </row>
    <row r="2006" spans="2:12" x14ac:dyDescent="0.85">
      <c r="B2006" s="46">
        <v>1999</v>
      </c>
      <c r="C2006" s="276"/>
      <c r="D2006" s="283"/>
      <c r="E2006" s="10"/>
      <c r="F2006" s="10"/>
      <c r="G2006" s="47">
        <v>1</v>
      </c>
      <c r="H2006" s="72"/>
      <c r="I2006" s="10"/>
      <c r="J2006" s="46">
        <f t="shared" si="63"/>
        <v>1</v>
      </c>
      <c r="K2006" s="46">
        <f>IFERROR(INDEX(TarrifTable,MATCH(Elements!E2006,Constants!$V$4:$V$7,0),MATCH(Elements!F2006,Constants!$W$3:$AA$3,0)),0)</f>
        <v>0</v>
      </c>
      <c r="L2006" s="69">
        <f t="shared" si="64"/>
        <v>0</v>
      </c>
    </row>
    <row r="2007" spans="2:12" x14ac:dyDescent="0.85">
      <c r="B2007" s="48">
        <v>2000</v>
      </c>
      <c r="C2007" s="277"/>
      <c r="D2007" s="284"/>
      <c r="E2007" s="44"/>
      <c r="F2007" s="44"/>
      <c r="G2007" s="49">
        <v>1</v>
      </c>
      <c r="H2007" s="73"/>
      <c r="I2007" s="44"/>
      <c r="J2007" s="48">
        <f t="shared" si="63"/>
        <v>1</v>
      </c>
      <c r="K2007" s="48">
        <f>IFERROR(INDEX(TarrifTable,MATCH(Elements!E2007,Constants!$V$4:$V$7,0),MATCH(Elements!F2007,Constants!$W$3:$AA$3,0)),0)</f>
        <v>0</v>
      </c>
      <c r="L2007" s="68">
        <f t="shared" si="64"/>
        <v>0</v>
      </c>
    </row>
    <row r="2008" spans="2:12" ht="9" customHeight="1" x14ac:dyDescent="0.85"/>
    <row r="2009" spans="2:12" ht="26.25" hidden="1" customHeight="1" x14ac:dyDescent="0.85">
      <c r="D2009" s="285" t="s">
        <v>33</v>
      </c>
      <c r="E2009" s="252"/>
      <c r="F2009" s="252"/>
      <c r="G2009" s="317">
        <f>SUM(L2011:L2014)</f>
        <v>33</v>
      </c>
      <c r="H2009" s="317"/>
      <c r="I2009" s="318"/>
      <c r="J2009" s="60"/>
      <c r="L2009" s="60"/>
    </row>
    <row r="2010" spans="2:12" ht="22.5" hidden="1" customHeight="1" x14ac:dyDescent="1">
      <c r="D2010" s="286" t="s">
        <v>34</v>
      </c>
      <c r="E2010" s="64" t="str">
        <f>Constants!W3</f>
        <v>ساده</v>
      </c>
      <c r="F2010" s="64" t="str">
        <f>Constants!X3</f>
        <v>معمولی</v>
      </c>
      <c r="G2010" s="64" t="str">
        <f>Constants!Y3</f>
        <v>پیچیده</v>
      </c>
      <c r="H2010" s="64" t="str">
        <f>Constants!Z3</f>
        <v>بسیار پیچیده</v>
      </c>
      <c r="I2010" s="64" t="str">
        <f>Constants!AA3</f>
        <v>فوق العاده پیچیده</v>
      </c>
      <c r="J2010" s="65"/>
      <c r="L2010" s="64" t="s">
        <v>35</v>
      </c>
    </row>
    <row r="2011" spans="2:12" ht="26.25" hidden="1" customHeight="1" x14ac:dyDescent="0.85">
      <c r="D2011" s="287" t="str">
        <f>Constants!A3</f>
        <v>فرم</v>
      </c>
      <c r="E2011" s="79">
        <f>SUMIFS(Elements!$J$7:$J$2007,Elements!$E$7:$E$2007,$D2011, Elements!$F$7:$F$2007,E$2010)</f>
        <v>0</v>
      </c>
      <c r="F2011" s="79">
        <f>SUMIFS(Elements!$J$7:$J$2007,Elements!$E$7:$E$2007,$D2011, Elements!$F$7:$F$2007,F$2010)</f>
        <v>7</v>
      </c>
      <c r="G2011" s="79">
        <f>SUMIFS(Elements!$J$7:$J$2007,Elements!$E$7:$E$2007,$D2011, Elements!$F$7:$F$2007,G$2010)</f>
        <v>5</v>
      </c>
      <c r="H2011" s="79">
        <f>SUMIFS(Elements!$J$7:$J$2007,Elements!$E$7:$E$2007,$D2011, Elements!$F$7:$F$2007,H$2010)</f>
        <v>4</v>
      </c>
      <c r="I2011" s="79">
        <f>SUMIFS(Elements!$J$7:$J$2007,Elements!$E$7:$E$2007,$D2011, Elements!$F$7:$F$2007,I$2010)</f>
        <v>0</v>
      </c>
      <c r="J2011" s="80"/>
      <c r="K2011" s="81"/>
      <c r="L2011" s="79">
        <f>SUM(E2011:I2011)</f>
        <v>16</v>
      </c>
    </row>
    <row r="2012" spans="2:12" ht="26.25" hidden="1" customHeight="1" x14ac:dyDescent="0.85">
      <c r="D2012" s="287" t="str">
        <f>Constants!A4</f>
        <v>پردازش</v>
      </c>
      <c r="E2012" s="79">
        <f>SUMIFS(Elements!$J$7:$J$2007,Elements!$E$7:$E$2007,$D2012, Elements!$F$7:$F$2007,E$2010)</f>
        <v>0</v>
      </c>
      <c r="F2012" s="79">
        <f>SUMIFS(Elements!$J$7:$J$2007,Elements!$E$7:$E$2007,$D2012, Elements!$F$7:$F$2007,F$2010)</f>
        <v>0</v>
      </c>
      <c r="G2012" s="79">
        <f>SUMIFS(Elements!$J$7:$J$2007,Elements!$E$7:$E$2007,$D2012, Elements!$F$7:$F$2007,G$2010)</f>
        <v>1</v>
      </c>
      <c r="H2012" s="79">
        <f>SUMIFS(Elements!$J$7:$J$2007,Elements!$E$7:$E$2007,$D2012, Elements!$F$7:$F$2007,H$2010)</f>
        <v>2</v>
      </c>
      <c r="I2012" s="79">
        <f>SUMIFS(Elements!$J$7:$J$2007,Elements!$E$7:$E$2007,$D2012, Elements!$F$7:$F$2007,I$2010)</f>
        <v>2</v>
      </c>
      <c r="J2012" s="80"/>
      <c r="K2012" s="81"/>
      <c r="L2012" s="79">
        <f>SUM(E2012:I2012)</f>
        <v>5</v>
      </c>
    </row>
    <row r="2013" spans="2:12" ht="26.25" hidden="1" customHeight="1" x14ac:dyDescent="0.85">
      <c r="D2013" s="287" t="str">
        <f>Constants!A5</f>
        <v>سرویس</v>
      </c>
      <c r="E2013" s="79">
        <f>SUMIFS(Elements!$J$7:$J$2007,Elements!$E$7:$E$2007,$D2013, Elements!$F$7:$F$2007,E$2010)</f>
        <v>0</v>
      </c>
      <c r="F2013" s="79">
        <f>SUMIFS(Elements!$J$7:$J$2007,Elements!$E$7:$E$2007,$D2013, Elements!$F$7:$F$2007,F$2010)</f>
        <v>1</v>
      </c>
      <c r="G2013" s="79">
        <f>SUMIFS(Elements!$J$7:$J$2007,Elements!$E$7:$E$2007,$D2013, Elements!$F$7:$F$2007,G$2010)</f>
        <v>7</v>
      </c>
      <c r="H2013" s="79">
        <f>SUMIFS(Elements!$J$7:$J$2007,Elements!$E$7:$E$2007,$D2013, Elements!$F$7:$F$2007,H$2010)</f>
        <v>2</v>
      </c>
      <c r="I2013" s="79">
        <f>SUMIFS(Elements!$J$7:$J$2007,Elements!$E$7:$E$2007,$D2013, Elements!$F$7:$F$2007,I$2010)</f>
        <v>1</v>
      </c>
      <c r="J2013" s="80"/>
      <c r="K2013" s="81"/>
      <c r="L2013" s="79">
        <f>SUM(E2013:I2013)</f>
        <v>11</v>
      </c>
    </row>
    <row r="2014" spans="2:12" ht="26.25" hidden="1" customHeight="1" x14ac:dyDescent="0.85">
      <c r="D2014" s="287" t="str">
        <f>Constants!A6</f>
        <v>گزارش</v>
      </c>
      <c r="E2014" s="79">
        <f>SUMIFS(Elements!$J$7:$J$2007,Elements!$E$7:$E$2007,$D2014, Elements!$F$7:$F$2007,E$2010)</f>
        <v>0</v>
      </c>
      <c r="F2014" s="79">
        <f>SUMIFS(Elements!$J$7:$J$2007,Elements!$E$7:$E$2007,$D2014, Elements!$F$7:$F$2007,F$2010)</f>
        <v>0</v>
      </c>
      <c r="G2014" s="79">
        <f>SUMIFS(Elements!$J$7:$J$2007,Elements!$E$7:$E$2007,$D2014, Elements!$F$7:$F$2007,G$2010)</f>
        <v>1</v>
      </c>
      <c r="H2014" s="79">
        <f>SUMIFS(Elements!$J$7:$J$2007,Elements!$E$7:$E$2007,$D2014, Elements!$F$7:$F$2007,H$2010)</f>
        <v>0</v>
      </c>
      <c r="I2014" s="79">
        <f>SUMIFS(Elements!$J$7:$J$2007,Elements!$E$7:$E$2007,$D2014, Elements!$F$7:$F$2007,I$2010)</f>
        <v>0</v>
      </c>
      <c r="J2014" s="80"/>
      <c r="K2014" s="81"/>
      <c r="L2014" s="79">
        <f>SUM(E2014:I2014)</f>
        <v>1</v>
      </c>
    </row>
    <row r="2015" spans="2:12" ht="31.5" hidden="1" customHeight="1" x14ac:dyDescent="0.85"/>
    <row r="2016" spans="2:12" ht="26.25" hidden="1" customHeight="1" x14ac:dyDescent="0.85">
      <c r="D2016" s="285" t="s">
        <v>36</v>
      </c>
      <c r="E2016" s="252"/>
      <c r="F2016" s="252"/>
      <c r="G2016" s="305">
        <f>SUM(L2018:L2021)</f>
        <v>5780</v>
      </c>
      <c r="H2016" s="305"/>
      <c r="I2016" s="306"/>
    </row>
    <row r="2017" spans="4:12" ht="22.5" hidden="1" customHeight="1" x14ac:dyDescent="1">
      <c r="D2017" s="286" t="s">
        <v>34</v>
      </c>
      <c r="E2017" s="64" t="str">
        <f>Constants!W3</f>
        <v>ساده</v>
      </c>
      <c r="F2017" s="64" t="str">
        <f>Constants!X3</f>
        <v>معمولی</v>
      </c>
      <c r="G2017" s="64" t="str">
        <f>Constants!Y3</f>
        <v>پیچیده</v>
      </c>
      <c r="H2017" s="64" t="str">
        <f>Constants!Z3</f>
        <v>بسیار پیچیده</v>
      </c>
      <c r="I2017" s="64" t="str">
        <f>Constants!AA3</f>
        <v>فوق العاده پیچیده</v>
      </c>
      <c r="J2017" s="65"/>
      <c r="L2017" s="64" t="s">
        <v>35</v>
      </c>
    </row>
    <row r="2018" spans="4:12" ht="24" hidden="1" customHeight="1" x14ac:dyDescent="0.85">
      <c r="D2018" s="287" t="str">
        <f>Constants!A3</f>
        <v>فرم</v>
      </c>
      <c r="E2018" s="82">
        <f>SUMIFS(Elements!$L$7:$L$2007,Elements!$E$7:$E$2007,$D2018, Elements!$F$7:$F$2007,E$2017)</f>
        <v>0</v>
      </c>
      <c r="F2018" s="82">
        <f>SUMIFS(Elements!$L$7:$L$2007,Elements!$E$7:$E$2007,$D2018, Elements!$F$7:$F$2007,F$2017)</f>
        <v>560</v>
      </c>
      <c r="G2018" s="82">
        <f>SUMIFS(Elements!$L$7:$L$2007,Elements!$E$7:$E$2007,$D2018, Elements!$F$7:$F$2007,G$2017)</f>
        <v>960</v>
      </c>
      <c r="H2018" s="82">
        <f>SUMIFS(Elements!$L$7:$L$2007,Elements!$E$7:$E$2007,$D2018, Elements!$F$7:$F$2007,H$2017)</f>
        <v>640</v>
      </c>
      <c r="I2018" s="82">
        <f>SUMIFS(Elements!$L$7:$L$2007,Elements!$E$7:$E$2007,$D2018, Elements!$F$7:$F$2007,I$2017)</f>
        <v>0</v>
      </c>
      <c r="J2018" s="83"/>
      <c r="K2018" s="84"/>
      <c r="L2018" s="82">
        <f>SUM(E2018:I2018)</f>
        <v>2160</v>
      </c>
    </row>
    <row r="2019" spans="4:12" ht="24" hidden="1" customHeight="1" x14ac:dyDescent="0.85">
      <c r="D2019" s="287" t="str">
        <f>Constants!A4</f>
        <v>پردازش</v>
      </c>
      <c r="E2019" s="82">
        <f>SUMIFS(Elements!$L$7:$L$2007,Elements!$E$7:$E$2007,$D2019, Elements!$F$7:$F$2007,E$2017)</f>
        <v>0</v>
      </c>
      <c r="F2019" s="82">
        <f>SUMIFS(Elements!$L$7:$L$2007,Elements!$E$7:$E$2007,$D2019, Elements!$F$7:$F$2007,F$2017)</f>
        <v>0</v>
      </c>
      <c r="G2019" s="82">
        <f>SUMIFS(Elements!$L$7:$L$2007,Elements!$E$7:$E$2007,$D2019, Elements!$F$7:$F$2007,G$2017)</f>
        <v>180</v>
      </c>
      <c r="H2019" s="82">
        <f>SUMIFS(Elements!$L$7:$L$2007,Elements!$E$7:$E$2007,$D2019, Elements!$F$7:$F$2007,H$2017)</f>
        <v>480</v>
      </c>
      <c r="I2019" s="82">
        <f>SUMIFS(Elements!$L$7:$L$2007,Elements!$E$7:$E$2007,$D2019, Elements!$F$7:$F$2007,I$2017)</f>
        <v>720</v>
      </c>
      <c r="J2019" s="83"/>
      <c r="K2019" s="84"/>
      <c r="L2019" s="82">
        <f>SUM(E2019:I2019)</f>
        <v>1380</v>
      </c>
    </row>
    <row r="2020" spans="4:12" ht="24" hidden="1" customHeight="1" x14ac:dyDescent="0.85">
      <c r="D2020" s="287" t="str">
        <f>Constants!A5</f>
        <v>سرویس</v>
      </c>
      <c r="E2020" s="82">
        <f>SUMIFS(Elements!$L$7:$L$2007,Elements!$E$7:$E$2007,$D2020, Elements!$F$7:$F$2007,E$2017)</f>
        <v>0</v>
      </c>
      <c r="F2020" s="82">
        <f>SUMIFS(Elements!$L$7:$L$2007,Elements!$E$7:$E$2007,$D2020, Elements!$F$7:$F$2007,F$2017)</f>
        <v>120</v>
      </c>
      <c r="G2020" s="82">
        <f>SUMIFS(Elements!$L$7:$L$2007,Elements!$E$7:$E$2007,$D2020, Elements!$F$7:$F$2007,G$2017)</f>
        <v>1440</v>
      </c>
      <c r="H2020" s="82">
        <f>SUMIFS(Elements!$L$7:$L$2007,Elements!$E$7:$E$2007,$D2020, Elements!$F$7:$F$2007,H$2017)</f>
        <v>480</v>
      </c>
      <c r="I2020" s="82">
        <f>SUMIFS(Elements!$L$7:$L$2007,Elements!$E$7:$E$2007,$D2020, Elements!$F$7:$F$2007,I$2017)</f>
        <v>20</v>
      </c>
      <c r="J2020" s="83"/>
      <c r="K2020" s="84"/>
      <c r="L2020" s="82">
        <f>SUM(E2020:I2020)</f>
        <v>2060</v>
      </c>
    </row>
    <row r="2021" spans="4:12" ht="25.5" hidden="1" customHeight="1" x14ac:dyDescent="0.85">
      <c r="D2021" s="287" t="str">
        <f>Constants!A6</f>
        <v>گزارش</v>
      </c>
      <c r="E2021" s="82">
        <f>SUMIFS(Elements!$L$7:$L$2007,Elements!$E$7:$E$2007,$D2021, Elements!$F$7:$F$2007,E$2017)</f>
        <v>0</v>
      </c>
      <c r="F2021" s="82">
        <f>SUMIFS(Elements!$L$7:$L$2007,Elements!$E$7:$E$2007,$D2021, Elements!$F$7:$F$2007,F$2017)</f>
        <v>0</v>
      </c>
      <c r="G2021" s="82">
        <f>SUMIFS(Elements!$L$7:$L$2007,Elements!$E$7:$E$2007,$D2021, Elements!$F$7:$F$2007,G$2017)</f>
        <v>180</v>
      </c>
      <c r="H2021" s="82">
        <f>SUMIFS(Elements!$L$7:$L$2007,Elements!$E$7:$E$2007,$D2021, Elements!$F$7:$F$2007,H$2017)</f>
        <v>0</v>
      </c>
      <c r="I2021" s="82">
        <f>SUMIFS(Elements!$L$7:$L$2007,Elements!$E$7:$E$2007,$D2021, Elements!$F$7:$F$2007,I$2017)</f>
        <v>0</v>
      </c>
      <c r="L2021" s="82">
        <f>SUM(E2021:I2021)</f>
        <v>180</v>
      </c>
    </row>
  </sheetData>
  <mergeCells count="8">
    <mergeCell ref="G2016:I2016"/>
    <mergeCell ref="B3:L3"/>
    <mergeCell ref="B5:L5"/>
    <mergeCell ref="B2:L2"/>
    <mergeCell ref="B1:L1"/>
    <mergeCell ref="G2009:I2009"/>
    <mergeCell ref="B4:E4"/>
    <mergeCell ref="F4:I4"/>
  </mergeCells>
  <dataValidations count="6">
    <dataValidation type="list" allowBlank="1" showInputMessage="1" showErrorMessage="1" sqref="C7:C2007" xr:uid="{00000000-0002-0000-0100-000002000000}">
      <formula1>SystemShortName</formula1>
    </dataValidation>
    <dataValidation type="list" allowBlank="1" showInputMessage="1" showErrorMessage="1" sqref="G26:G27 F7:F2007" xr:uid="{00000000-0002-0000-0100-000000000000}">
      <formula1>Quantity5</formula1>
    </dataValidation>
    <dataValidation type="list" allowBlank="1" showInputMessage="1" showErrorMessage="1" sqref="E7:E2007" xr:uid="{00000000-0002-0000-0100-000001000000}">
      <formula1>DevItem</formula1>
    </dataValidation>
    <dataValidation type="list" allowBlank="1" showInputMessage="1" showErrorMessage="1" sqref="J26:J27 I7:I2007" xr:uid="{00000000-0002-0000-0100-000003000000}">
      <formula1>CompWorkType</formula1>
    </dataValidation>
    <dataValidation type="custom" allowBlank="1" showInputMessage="1" showErrorMessage="1" errorTitle="مقادیر مجاز" error="ضریب تعدیل =&gt; 1؛ برای تعرفه خیلی زیاد_x000a_ضریب تعدیل &lt;= 1؛ برای تعرفه خیلی کم_x000a_ضریب تعدیل = 1؛ برای سایر تعرفه ها_x000a_حداکثر یک رقم اعشار " sqref="G7:G25 G28:G2007" xr:uid="{00000000-0002-0000-0100-000004000000}">
      <formula1>AND(OR(AND(F7=Least,G7&lt;=1),AND(F7=Most,G7&gt;=1),G7=1),IF(G7=TRUNC(G7,1),TRUE,FALSE))</formula1>
    </dataValidation>
    <dataValidation type="whole" showInputMessage="1" showErrorMessage="1" errorTitle="خطا در ورود اطلاعات" error="فقط اعداد صحیح بزرگتر از صفر مورد پذیرش است." sqref="H7:H2007 K26:L27 J7:K25 J28:K2007" xr:uid="{00000000-0002-0000-0100-000005000000}">
      <formula1>1</formula1>
      <formula2>1000</formula2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scale="99" fitToHeight="0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A1:Q2020"/>
  <sheetViews>
    <sheetView showGridLines="0" rightToLeft="1" showRuler="0" zoomScaleNormal="100" zoomScaleSheetLayoutView="100" zoomScalePageLayoutView="90" workbookViewId="0"/>
  </sheetViews>
  <sheetFormatPr defaultColWidth="0" defaultRowHeight="18.399999999999999" zeroHeight="1" x14ac:dyDescent="0.85"/>
  <cols>
    <col min="1" max="1" width="1.86328125" style="1" customWidth="1"/>
    <col min="2" max="2" width="6.46484375" style="45" customWidth="1"/>
    <col min="3" max="3" width="34.6640625" style="37" customWidth="1"/>
    <col min="4" max="4" width="50.6640625" style="37" customWidth="1"/>
    <col min="5" max="5" width="11.53125" style="37" customWidth="1"/>
    <col min="6" max="6" width="17.86328125" style="45" customWidth="1"/>
    <col min="7" max="7" width="10.53125" style="25" hidden="1" customWidth="1"/>
    <col min="8" max="8" width="10" style="25" customWidth="1"/>
    <col min="9" max="9" width="13.53125" style="37" customWidth="1"/>
    <col min="10" max="11" width="9.1328125" hidden="1" customWidth="1"/>
    <col min="12" max="12" width="19.6640625" customWidth="1"/>
    <col min="13" max="13" width="1.86328125" customWidth="1"/>
    <col min="14" max="17" width="9.1328125" hidden="1" customWidth="1"/>
    <col min="18" max="18" width="9.1328125" style="1" hidden="1" customWidth="1"/>
    <col min="19" max="16384" width="9.1328125" style="1" hidden="1"/>
  </cols>
  <sheetData>
    <row r="1" spans="2:17" ht="44.25" customHeight="1" x14ac:dyDescent="0.85">
      <c r="B1" s="333" t="str">
        <f>CONCATENATE("«",Scope!D4,"»")</f>
        <v>«طراحی کیف پول»</v>
      </c>
      <c r="C1" s="327"/>
      <c r="D1" s="327"/>
      <c r="E1" s="327"/>
      <c r="F1" s="327"/>
      <c r="G1" s="327"/>
      <c r="H1" s="327"/>
      <c r="I1" s="327"/>
      <c r="J1" s="327"/>
      <c r="K1" s="327"/>
      <c r="L1" s="328"/>
    </row>
    <row r="2" spans="2:17" ht="24" customHeight="1" x14ac:dyDescent="0.85">
      <c r="B2" s="326" t="s">
        <v>18</v>
      </c>
      <c r="C2" s="327"/>
      <c r="D2" s="327"/>
      <c r="E2" s="327"/>
      <c r="F2" s="327"/>
      <c r="G2" s="327"/>
      <c r="H2" s="327"/>
      <c r="I2" s="327"/>
      <c r="J2" s="327"/>
      <c r="K2" s="327"/>
      <c r="L2" s="328"/>
      <c r="N2" s="24"/>
      <c r="O2" s="23"/>
      <c r="P2" s="23"/>
      <c r="Q2" s="22"/>
    </row>
    <row r="3" spans="2:17" ht="8.25" customHeight="1" x14ac:dyDescent="0.85">
      <c r="B3" s="324"/>
      <c r="C3" s="304"/>
      <c r="D3" s="304"/>
      <c r="E3" s="304"/>
      <c r="F3" s="304"/>
      <c r="G3" s="304"/>
      <c r="H3" s="304"/>
      <c r="I3" s="304"/>
      <c r="J3" s="304"/>
      <c r="K3" s="304"/>
      <c r="L3" s="325"/>
      <c r="N3" s="26"/>
      <c r="O3" s="26"/>
      <c r="P3" s="26"/>
      <c r="Q3" s="27"/>
    </row>
    <row r="4" spans="2:17" ht="21.75" customHeight="1" x14ac:dyDescent="0.85">
      <c r="B4" s="334" t="s">
        <v>37</v>
      </c>
      <c r="C4" s="329"/>
      <c r="D4" s="329"/>
      <c r="E4" s="329"/>
      <c r="F4" s="335">
        <f>SUM(L7:L2006)</f>
        <v>0</v>
      </c>
      <c r="G4" s="304"/>
      <c r="H4" s="304"/>
      <c r="I4" s="325"/>
      <c r="J4" s="70"/>
      <c r="K4" s="70"/>
      <c r="L4" s="70"/>
    </row>
    <row r="5" spans="2:17" ht="19.5" customHeight="1" x14ac:dyDescent="0.85">
      <c r="B5" s="310"/>
      <c r="C5" s="329"/>
      <c r="D5" s="329"/>
      <c r="E5" s="329"/>
      <c r="F5" s="330"/>
      <c r="G5" s="331"/>
      <c r="H5" s="331"/>
      <c r="I5" s="329"/>
      <c r="J5" s="301"/>
      <c r="K5" s="301"/>
      <c r="L5" s="301"/>
    </row>
    <row r="6" spans="2:17" ht="29.25" customHeight="1" x14ac:dyDescent="0.85">
      <c r="B6" s="28" t="s">
        <v>13</v>
      </c>
      <c r="C6" s="28" t="s">
        <v>21</v>
      </c>
      <c r="D6" s="28" t="s">
        <v>22</v>
      </c>
      <c r="E6" s="28" t="s">
        <v>23</v>
      </c>
      <c r="F6" s="28" t="s">
        <v>38</v>
      </c>
      <c r="G6" s="28" t="s">
        <v>25</v>
      </c>
      <c r="H6" s="59" t="s">
        <v>26</v>
      </c>
      <c r="I6" s="28" t="s">
        <v>16</v>
      </c>
      <c r="J6" s="51" t="s">
        <v>26</v>
      </c>
      <c r="K6" s="51" t="s">
        <v>27</v>
      </c>
      <c r="L6" s="28" t="s">
        <v>28</v>
      </c>
    </row>
    <row r="7" spans="2:17" x14ac:dyDescent="0.85">
      <c r="B7" s="46">
        <v>1</v>
      </c>
      <c r="C7" s="10"/>
      <c r="D7" s="66"/>
      <c r="E7" s="10"/>
      <c r="F7" s="226"/>
      <c r="G7" s="47">
        <v>1</v>
      </c>
      <c r="H7" s="72"/>
      <c r="I7" s="10"/>
      <c r="J7" s="46">
        <f t="shared" ref="J7:J70" si="0">IF(ISBLANK(H7),1,H7)</f>
        <v>1</v>
      </c>
      <c r="K7" s="46">
        <f t="shared" ref="K7:K70" si="1">IF(COUNTIF(FreeElements, E7)&gt;0, F7, 0)</f>
        <v>0</v>
      </c>
      <c r="L7" s="69">
        <f t="shared" ref="L7:L70" si="2">J7*K7</f>
        <v>0</v>
      </c>
    </row>
    <row r="8" spans="2:17" x14ac:dyDescent="0.85">
      <c r="B8" s="48">
        <v>2</v>
      </c>
      <c r="C8" s="44"/>
      <c r="D8" s="50"/>
      <c r="E8" s="44"/>
      <c r="F8" s="227"/>
      <c r="G8" s="49">
        <v>1</v>
      </c>
      <c r="H8" s="73"/>
      <c r="I8" s="44"/>
      <c r="J8" s="48">
        <f t="shared" si="0"/>
        <v>1</v>
      </c>
      <c r="K8" s="48">
        <f t="shared" si="1"/>
        <v>0</v>
      </c>
      <c r="L8" s="68">
        <f t="shared" si="2"/>
        <v>0</v>
      </c>
    </row>
    <row r="9" spans="2:17" x14ac:dyDescent="0.85">
      <c r="B9" s="46">
        <v>3</v>
      </c>
      <c r="C9" s="10"/>
      <c r="D9" s="66"/>
      <c r="E9" s="10"/>
      <c r="F9" s="226"/>
      <c r="G9" s="47">
        <v>1</v>
      </c>
      <c r="H9" s="72"/>
      <c r="I9" s="10"/>
      <c r="J9" s="46">
        <f t="shared" si="0"/>
        <v>1</v>
      </c>
      <c r="K9" s="46">
        <f t="shared" si="1"/>
        <v>0</v>
      </c>
      <c r="L9" s="69">
        <f t="shared" si="2"/>
        <v>0</v>
      </c>
    </row>
    <row r="10" spans="2:17" x14ac:dyDescent="0.85">
      <c r="B10" s="48">
        <v>4</v>
      </c>
      <c r="C10" s="44"/>
      <c r="D10" s="50"/>
      <c r="E10" s="44"/>
      <c r="F10" s="227"/>
      <c r="G10" s="49">
        <v>1</v>
      </c>
      <c r="H10" s="73"/>
      <c r="I10" s="44"/>
      <c r="J10" s="48">
        <f t="shared" si="0"/>
        <v>1</v>
      </c>
      <c r="K10" s="48">
        <f t="shared" si="1"/>
        <v>0</v>
      </c>
      <c r="L10" s="68">
        <f t="shared" si="2"/>
        <v>0</v>
      </c>
    </row>
    <row r="11" spans="2:17" x14ac:dyDescent="0.85">
      <c r="B11" s="46">
        <v>5</v>
      </c>
      <c r="C11" s="10"/>
      <c r="D11" s="66"/>
      <c r="E11" s="10"/>
      <c r="F11" s="226"/>
      <c r="G11" s="47">
        <v>1</v>
      </c>
      <c r="H11" s="72"/>
      <c r="I11" s="10"/>
      <c r="J11" s="46">
        <f t="shared" si="0"/>
        <v>1</v>
      </c>
      <c r="K11" s="46">
        <f t="shared" si="1"/>
        <v>0</v>
      </c>
      <c r="L11" s="69">
        <f t="shared" si="2"/>
        <v>0</v>
      </c>
    </row>
    <row r="12" spans="2:17" x14ac:dyDescent="0.85">
      <c r="B12" s="48">
        <v>6</v>
      </c>
      <c r="C12" s="44"/>
      <c r="D12" s="50"/>
      <c r="E12" s="44"/>
      <c r="F12" s="227"/>
      <c r="G12" s="49">
        <v>1</v>
      </c>
      <c r="H12" s="73"/>
      <c r="I12" s="44"/>
      <c r="J12" s="48">
        <f t="shared" si="0"/>
        <v>1</v>
      </c>
      <c r="K12" s="48">
        <f t="shared" si="1"/>
        <v>0</v>
      </c>
      <c r="L12" s="68">
        <f t="shared" si="2"/>
        <v>0</v>
      </c>
    </row>
    <row r="13" spans="2:17" x14ac:dyDescent="0.85">
      <c r="B13" s="46">
        <v>7</v>
      </c>
      <c r="C13" s="10"/>
      <c r="D13" s="66"/>
      <c r="E13" s="10"/>
      <c r="F13" s="226"/>
      <c r="G13" s="47">
        <v>1</v>
      </c>
      <c r="H13" s="72"/>
      <c r="I13" s="10"/>
      <c r="J13" s="46">
        <f t="shared" si="0"/>
        <v>1</v>
      </c>
      <c r="K13" s="46">
        <f t="shared" si="1"/>
        <v>0</v>
      </c>
      <c r="L13" s="69">
        <f t="shared" si="2"/>
        <v>0</v>
      </c>
    </row>
    <row r="14" spans="2:17" x14ac:dyDescent="0.85">
      <c r="B14" s="48">
        <v>8</v>
      </c>
      <c r="C14" s="44"/>
      <c r="D14" s="50"/>
      <c r="E14" s="44"/>
      <c r="F14" s="227"/>
      <c r="G14" s="49">
        <v>1</v>
      </c>
      <c r="H14" s="73"/>
      <c r="I14" s="44"/>
      <c r="J14" s="48">
        <f t="shared" si="0"/>
        <v>1</v>
      </c>
      <c r="K14" s="48">
        <f t="shared" si="1"/>
        <v>0</v>
      </c>
      <c r="L14" s="68">
        <f t="shared" si="2"/>
        <v>0</v>
      </c>
      <c r="N14" s="29"/>
      <c r="O14" s="29"/>
      <c r="P14" s="29"/>
      <c r="Q14" s="29"/>
    </row>
    <row r="15" spans="2:17" x14ac:dyDescent="0.85">
      <c r="B15" s="46">
        <v>9</v>
      </c>
      <c r="C15" s="10"/>
      <c r="D15" s="66"/>
      <c r="E15" s="10"/>
      <c r="F15" s="226"/>
      <c r="G15" s="47">
        <v>1</v>
      </c>
      <c r="H15" s="72"/>
      <c r="I15" s="10"/>
      <c r="J15" s="46">
        <f t="shared" si="0"/>
        <v>1</v>
      </c>
      <c r="K15" s="46">
        <f t="shared" si="1"/>
        <v>0</v>
      </c>
      <c r="L15" s="69">
        <f t="shared" si="2"/>
        <v>0</v>
      </c>
      <c r="N15" s="29"/>
      <c r="O15" s="29"/>
      <c r="P15" s="29"/>
      <c r="Q15" s="29"/>
    </row>
    <row r="16" spans="2:17" x14ac:dyDescent="0.85">
      <c r="B16" s="48">
        <v>10</v>
      </c>
      <c r="C16" s="44"/>
      <c r="D16" s="50"/>
      <c r="E16" s="44"/>
      <c r="F16" s="227"/>
      <c r="G16" s="49">
        <v>1</v>
      </c>
      <c r="H16" s="73"/>
      <c r="I16" s="44"/>
      <c r="J16" s="48">
        <f t="shared" si="0"/>
        <v>1</v>
      </c>
      <c r="K16" s="48">
        <f t="shared" si="1"/>
        <v>0</v>
      </c>
      <c r="L16" s="68">
        <f t="shared" si="2"/>
        <v>0</v>
      </c>
      <c r="N16" s="29"/>
      <c r="O16" s="29"/>
      <c r="P16" s="29"/>
      <c r="Q16" s="29"/>
    </row>
    <row r="17" spans="2:17" x14ac:dyDescent="0.85">
      <c r="B17" s="46">
        <v>11</v>
      </c>
      <c r="C17" s="10"/>
      <c r="D17" s="66"/>
      <c r="E17" s="10"/>
      <c r="F17" s="226"/>
      <c r="G17" s="47">
        <v>1</v>
      </c>
      <c r="H17" s="72"/>
      <c r="I17" s="10"/>
      <c r="J17" s="46">
        <f t="shared" si="0"/>
        <v>1</v>
      </c>
      <c r="K17" s="46">
        <f t="shared" si="1"/>
        <v>0</v>
      </c>
      <c r="L17" s="69">
        <f t="shared" si="2"/>
        <v>0</v>
      </c>
      <c r="N17" s="29"/>
      <c r="O17" s="29"/>
      <c r="P17" s="29"/>
      <c r="Q17" s="29"/>
    </row>
    <row r="18" spans="2:17" x14ac:dyDescent="0.85">
      <c r="B18" s="48">
        <v>12</v>
      </c>
      <c r="C18" s="44"/>
      <c r="D18" s="50"/>
      <c r="E18" s="44"/>
      <c r="F18" s="227"/>
      <c r="G18" s="49">
        <v>1</v>
      </c>
      <c r="H18" s="73"/>
      <c r="I18" s="44"/>
      <c r="J18" s="48">
        <f t="shared" si="0"/>
        <v>1</v>
      </c>
      <c r="K18" s="48">
        <f t="shared" si="1"/>
        <v>0</v>
      </c>
      <c r="L18" s="68">
        <f t="shared" si="2"/>
        <v>0</v>
      </c>
      <c r="N18" s="29"/>
      <c r="O18" s="29"/>
      <c r="P18" s="29"/>
      <c r="Q18" s="29"/>
    </row>
    <row r="19" spans="2:17" x14ac:dyDescent="0.85">
      <c r="B19" s="46">
        <v>13</v>
      </c>
      <c r="C19" s="10"/>
      <c r="D19" s="66"/>
      <c r="E19" s="10"/>
      <c r="F19" s="226"/>
      <c r="G19" s="47">
        <v>1</v>
      </c>
      <c r="H19" s="72"/>
      <c r="I19" s="10"/>
      <c r="J19" s="46">
        <f t="shared" si="0"/>
        <v>1</v>
      </c>
      <c r="K19" s="46">
        <f t="shared" si="1"/>
        <v>0</v>
      </c>
      <c r="L19" s="69">
        <f t="shared" si="2"/>
        <v>0</v>
      </c>
      <c r="N19" s="29"/>
      <c r="O19" s="29"/>
      <c r="P19" s="29"/>
      <c r="Q19" s="29"/>
    </row>
    <row r="20" spans="2:17" x14ac:dyDescent="0.85">
      <c r="B20" s="48">
        <v>14</v>
      </c>
      <c r="C20" s="44"/>
      <c r="D20" s="50"/>
      <c r="E20" s="44"/>
      <c r="F20" s="227"/>
      <c r="G20" s="49">
        <v>1</v>
      </c>
      <c r="H20" s="73"/>
      <c r="I20" s="44"/>
      <c r="J20" s="48">
        <f t="shared" si="0"/>
        <v>1</v>
      </c>
      <c r="K20" s="48">
        <f t="shared" si="1"/>
        <v>0</v>
      </c>
      <c r="L20" s="68">
        <f t="shared" si="2"/>
        <v>0</v>
      </c>
      <c r="N20" s="29"/>
      <c r="O20" s="29"/>
      <c r="P20" s="29"/>
      <c r="Q20" s="29"/>
    </row>
    <row r="21" spans="2:17" x14ac:dyDescent="0.85">
      <c r="B21" s="46">
        <v>15</v>
      </c>
      <c r="C21" s="10"/>
      <c r="D21" s="66"/>
      <c r="E21" s="10"/>
      <c r="F21" s="226"/>
      <c r="G21" s="47">
        <v>1</v>
      </c>
      <c r="H21" s="72"/>
      <c r="I21" s="10"/>
      <c r="J21" s="46">
        <f t="shared" si="0"/>
        <v>1</v>
      </c>
      <c r="K21" s="46">
        <f t="shared" si="1"/>
        <v>0</v>
      </c>
      <c r="L21" s="69">
        <f t="shared" si="2"/>
        <v>0</v>
      </c>
      <c r="N21" s="29"/>
      <c r="O21" s="29"/>
      <c r="P21" s="29"/>
      <c r="Q21" s="29"/>
    </row>
    <row r="22" spans="2:17" x14ac:dyDescent="0.85">
      <c r="B22" s="48">
        <v>16</v>
      </c>
      <c r="C22" s="44"/>
      <c r="D22" s="50"/>
      <c r="E22" s="44"/>
      <c r="F22" s="227"/>
      <c r="G22" s="49">
        <v>1</v>
      </c>
      <c r="H22" s="73"/>
      <c r="I22" s="44"/>
      <c r="J22" s="48">
        <f t="shared" si="0"/>
        <v>1</v>
      </c>
      <c r="K22" s="48">
        <f t="shared" si="1"/>
        <v>0</v>
      </c>
      <c r="L22" s="68">
        <f t="shared" si="2"/>
        <v>0</v>
      </c>
      <c r="N22" s="29"/>
      <c r="O22" s="29"/>
      <c r="P22" s="29"/>
      <c r="Q22" s="29"/>
    </row>
    <row r="23" spans="2:17" x14ac:dyDescent="0.85">
      <c r="B23" s="46">
        <v>17</v>
      </c>
      <c r="C23" s="10"/>
      <c r="D23" s="66"/>
      <c r="E23" s="10"/>
      <c r="F23" s="226"/>
      <c r="G23" s="47">
        <v>1</v>
      </c>
      <c r="H23" s="72"/>
      <c r="I23" s="10"/>
      <c r="J23" s="46">
        <f t="shared" si="0"/>
        <v>1</v>
      </c>
      <c r="K23" s="46">
        <f t="shared" si="1"/>
        <v>0</v>
      </c>
      <c r="L23" s="69">
        <f t="shared" si="2"/>
        <v>0</v>
      </c>
      <c r="N23" s="29"/>
      <c r="O23" s="29"/>
      <c r="P23" s="29"/>
      <c r="Q23" s="29"/>
    </row>
    <row r="24" spans="2:17" x14ac:dyDescent="0.85">
      <c r="B24" s="48">
        <v>18</v>
      </c>
      <c r="C24" s="44"/>
      <c r="D24" s="50"/>
      <c r="E24" s="44"/>
      <c r="F24" s="227"/>
      <c r="G24" s="49">
        <v>1</v>
      </c>
      <c r="H24" s="73"/>
      <c r="I24" s="44"/>
      <c r="J24" s="48">
        <f t="shared" si="0"/>
        <v>1</v>
      </c>
      <c r="K24" s="48">
        <f t="shared" si="1"/>
        <v>0</v>
      </c>
      <c r="L24" s="68">
        <f t="shared" si="2"/>
        <v>0</v>
      </c>
      <c r="N24" s="29"/>
      <c r="O24" s="29"/>
      <c r="P24" s="29"/>
      <c r="Q24" s="29"/>
    </row>
    <row r="25" spans="2:17" x14ac:dyDescent="0.85">
      <c r="B25" s="46">
        <v>19</v>
      </c>
      <c r="C25" s="10"/>
      <c r="D25" s="66"/>
      <c r="E25" s="10"/>
      <c r="F25" s="226"/>
      <c r="G25" s="47">
        <v>1</v>
      </c>
      <c r="H25" s="72"/>
      <c r="I25" s="10"/>
      <c r="J25" s="46">
        <f t="shared" si="0"/>
        <v>1</v>
      </c>
      <c r="K25" s="46">
        <f t="shared" si="1"/>
        <v>0</v>
      </c>
      <c r="L25" s="69">
        <f t="shared" si="2"/>
        <v>0</v>
      </c>
      <c r="N25" s="29"/>
      <c r="O25" s="29"/>
      <c r="P25" s="29"/>
      <c r="Q25" s="29"/>
    </row>
    <row r="26" spans="2:17" x14ac:dyDescent="0.85">
      <c r="B26" s="48">
        <v>20</v>
      </c>
      <c r="C26" s="44"/>
      <c r="D26" s="50"/>
      <c r="E26" s="44"/>
      <c r="F26" s="227"/>
      <c r="G26" s="49">
        <v>1</v>
      </c>
      <c r="H26" s="73"/>
      <c r="I26" s="44"/>
      <c r="J26" s="48">
        <f t="shared" si="0"/>
        <v>1</v>
      </c>
      <c r="K26" s="48">
        <f t="shared" si="1"/>
        <v>0</v>
      </c>
      <c r="L26" s="68">
        <f t="shared" si="2"/>
        <v>0</v>
      </c>
      <c r="N26" s="29"/>
      <c r="O26" s="29"/>
      <c r="P26" s="29"/>
      <c r="Q26" s="29"/>
    </row>
    <row r="27" spans="2:17" x14ac:dyDescent="0.85">
      <c r="B27" s="46">
        <v>21</v>
      </c>
      <c r="C27" s="10"/>
      <c r="D27" s="66"/>
      <c r="E27" s="10"/>
      <c r="F27" s="226"/>
      <c r="G27" s="47">
        <v>1</v>
      </c>
      <c r="H27" s="72"/>
      <c r="I27" s="10"/>
      <c r="J27" s="46">
        <f t="shared" si="0"/>
        <v>1</v>
      </c>
      <c r="K27" s="46">
        <f t="shared" si="1"/>
        <v>0</v>
      </c>
      <c r="L27" s="69">
        <f t="shared" si="2"/>
        <v>0</v>
      </c>
      <c r="N27" s="29"/>
      <c r="O27" s="29"/>
      <c r="P27" s="29"/>
      <c r="Q27" s="29"/>
    </row>
    <row r="28" spans="2:17" x14ac:dyDescent="0.85">
      <c r="B28" s="48">
        <v>22</v>
      </c>
      <c r="C28" s="44"/>
      <c r="D28" s="50"/>
      <c r="E28" s="44"/>
      <c r="F28" s="227"/>
      <c r="G28" s="49">
        <v>1</v>
      </c>
      <c r="H28" s="73"/>
      <c r="I28" s="44"/>
      <c r="J28" s="48">
        <f t="shared" si="0"/>
        <v>1</v>
      </c>
      <c r="K28" s="48">
        <f t="shared" si="1"/>
        <v>0</v>
      </c>
      <c r="L28" s="68">
        <f t="shared" si="2"/>
        <v>0</v>
      </c>
      <c r="N28" s="29"/>
      <c r="O28" s="29"/>
      <c r="P28" s="29"/>
      <c r="Q28" s="29"/>
    </row>
    <row r="29" spans="2:17" x14ac:dyDescent="0.85">
      <c r="B29" s="46">
        <v>23</v>
      </c>
      <c r="C29" s="10"/>
      <c r="D29" s="66"/>
      <c r="E29" s="10"/>
      <c r="F29" s="226"/>
      <c r="G29" s="47">
        <v>1</v>
      </c>
      <c r="H29" s="72"/>
      <c r="I29" s="10"/>
      <c r="J29" s="46">
        <f t="shared" si="0"/>
        <v>1</v>
      </c>
      <c r="K29" s="46">
        <f t="shared" si="1"/>
        <v>0</v>
      </c>
      <c r="L29" s="69">
        <f t="shared" si="2"/>
        <v>0</v>
      </c>
      <c r="N29" s="29"/>
      <c r="O29" s="29"/>
      <c r="P29" s="29"/>
      <c r="Q29" s="29"/>
    </row>
    <row r="30" spans="2:17" x14ac:dyDescent="0.85">
      <c r="B30" s="48">
        <v>24</v>
      </c>
      <c r="C30" s="44"/>
      <c r="D30" s="50"/>
      <c r="E30" s="44"/>
      <c r="F30" s="227"/>
      <c r="G30" s="49">
        <v>1</v>
      </c>
      <c r="H30" s="73"/>
      <c r="I30" s="44"/>
      <c r="J30" s="48">
        <f t="shared" si="0"/>
        <v>1</v>
      </c>
      <c r="K30" s="48">
        <f t="shared" si="1"/>
        <v>0</v>
      </c>
      <c r="L30" s="68">
        <f t="shared" si="2"/>
        <v>0</v>
      </c>
      <c r="N30" s="29"/>
      <c r="O30" s="29"/>
      <c r="P30" s="29"/>
      <c r="Q30" s="29"/>
    </row>
    <row r="31" spans="2:17" x14ac:dyDescent="0.85">
      <c r="B31" s="46">
        <v>25</v>
      </c>
      <c r="C31" s="10"/>
      <c r="D31" s="66"/>
      <c r="E31" s="10"/>
      <c r="F31" s="226"/>
      <c r="G31" s="47">
        <v>1</v>
      </c>
      <c r="H31" s="72"/>
      <c r="I31" s="10"/>
      <c r="J31" s="46">
        <f t="shared" si="0"/>
        <v>1</v>
      </c>
      <c r="K31" s="46">
        <f t="shared" si="1"/>
        <v>0</v>
      </c>
      <c r="L31" s="69">
        <f t="shared" si="2"/>
        <v>0</v>
      </c>
      <c r="N31" s="29"/>
      <c r="O31" s="29"/>
      <c r="P31" s="29"/>
      <c r="Q31" s="29"/>
    </row>
    <row r="32" spans="2:17" x14ac:dyDescent="0.85">
      <c r="B32" s="48">
        <v>26</v>
      </c>
      <c r="C32" s="44"/>
      <c r="D32" s="50"/>
      <c r="E32" s="44"/>
      <c r="F32" s="227"/>
      <c r="G32" s="49">
        <v>1</v>
      </c>
      <c r="H32" s="73"/>
      <c r="I32" s="44"/>
      <c r="J32" s="48">
        <f t="shared" si="0"/>
        <v>1</v>
      </c>
      <c r="K32" s="48">
        <f t="shared" si="1"/>
        <v>0</v>
      </c>
      <c r="L32" s="68">
        <f t="shared" si="2"/>
        <v>0</v>
      </c>
      <c r="N32" s="29"/>
      <c r="O32" s="29"/>
      <c r="P32" s="29"/>
      <c r="Q32" s="29"/>
    </row>
    <row r="33" spans="2:17" x14ac:dyDescent="0.85">
      <c r="B33" s="46">
        <v>27</v>
      </c>
      <c r="C33" s="10"/>
      <c r="D33" s="66"/>
      <c r="E33" s="10"/>
      <c r="F33" s="226"/>
      <c r="G33" s="47">
        <v>1</v>
      </c>
      <c r="H33" s="72"/>
      <c r="I33" s="10"/>
      <c r="J33" s="46">
        <f t="shared" si="0"/>
        <v>1</v>
      </c>
      <c r="K33" s="46">
        <f t="shared" si="1"/>
        <v>0</v>
      </c>
      <c r="L33" s="69">
        <f t="shared" si="2"/>
        <v>0</v>
      </c>
      <c r="N33" s="29"/>
      <c r="O33" s="29"/>
      <c r="P33" s="29"/>
      <c r="Q33" s="29"/>
    </row>
    <row r="34" spans="2:17" x14ac:dyDescent="0.85">
      <c r="B34" s="48">
        <v>28</v>
      </c>
      <c r="C34" s="44"/>
      <c r="D34" s="50"/>
      <c r="E34" s="44"/>
      <c r="F34" s="227"/>
      <c r="G34" s="49">
        <v>1</v>
      </c>
      <c r="H34" s="73"/>
      <c r="I34" s="44"/>
      <c r="J34" s="48">
        <f t="shared" si="0"/>
        <v>1</v>
      </c>
      <c r="K34" s="48">
        <f t="shared" si="1"/>
        <v>0</v>
      </c>
      <c r="L34" s="68">
        <f t="shared" si="2"/>
        <v>0</v>
      </c>
      <c r="N34" s="29"/>
      <c r="O34" s="29"/>
      <c r="P34" s="29"/>
      <c r="Q34" s="29"/>
    </row>
    <row r="35" spans="2:17" x14ac:dyDescent="0.85">
      <c r="B35" s="46">
        <v>29</v>
      </c>
      <c r="C35" s="10"/>
      <c r="D35" s="66"/>
      <c r="E35" s="10"/>
      <c r="F35" s="226"/>
      <c r="G35" s="47">
        <v>1</v>
      </c>
      <c r="H35" s="72"/>
      <c r="I35" s="10"/>
      <c r="J35" s="46">
        <f t="shared" si="0"/>
        <v>1</v>
      </c>
      <c r="K35" s="46">
        <f t="shared" si="1"/>
        <v>0</v>
      </c>
      <c r="L35" s="69">
        <f t="shared" si="2"/>
        <v>0</v>
      </c>
      <c r="N35" s="29"/>
      <c r="O35" s="29"/>
      <c r="P35" s="29"/>
      <c r="Q35" s="29"/>
    </row>
    <row r="36" spans="2:17" x14ac:dyDescent="0.85">
      <c r="B36" s="48">
        <v>30</v>
      </c>
      <c r="C36" s="44"/>
      <c r="D36" s="50"/>
      <c r="E36" s="44"/>
      <c r="F36" s="227"/>
      <c r="G36" s="49">
        <v>1</v>
      </c>
      <c r="H36" s="73"/>
      <c r="I36" s="44"/>
      <c r="J36" s="48">
        <f t="shared" si="0"/>
        <v>1</v>
      </c>
      <c r="K36" s="48">
        <f t="shared" si="1"/>
        <v>0</v>
      </c>
      <c r="L36" s="68">
        <f t="shared" si="2"/>
        <v>0</v>
      </c>
      <c r="N36" s="29"/>
      <c r="O36" s="29"/>
      <c r="P36" s="29"/>
      <c r="Q36" s="29"/>
    </row>
    <row r="37" spans="2:17" x14ac:dyDescent="0.85">
      <c r="B37" s="46">
        <v>31</v>
      </c>
      <c r="C37" s="10"/>
      <c r="D37" s="66"/>
      <c r="E37" s="10"/>
      <c r="F37" s="226"/>
      <c r="G37" s="47">
        <v>1</v>
      </c>
      <c r="H37" s="72"/>
      <c r="I37" s="10"/>
      <c r="J37" s="46">
        <f t="shared" si="0"/>
        <v>1</v>
      </c>
      <c r="K37" s="46">
        <f t="shared" si="1"/>
        <v>0</v>
      </c>
      <c r="L37" s="69">
        <f t="shared" si="2"/>
        <v>0</v>
      </c>
      <c r="N37" s="29"/>
      <c r="O37" s="29"/>
      <c r="P37" s="29"/>
      <c r="Q37" s="29"/>
    </row>
    <row r="38" spans="2:17" x14ac:dyDescent="0.85">
      <c r="B38" s="48">
        <v>32</v>
      </c>
      <c r="C38" s="44"/>
      <c r="D38" s="50"/>
      <c r="E38" s="44"/>
      <c r="F38" s="227"/>
      <c r="G38" s="49">
        <v>1</v>
      </c>
      <c r="H38" s="73"/>
      <c r="I38" s="44"/>
      <c r="J38" s="48">
        <f t="shared" si="0"/>
        <v>1</v>
      </c>
      <c r="K38" s="48">
        <f t="shared" si="1"/>
        <v>0</v>
      </c>
      <c r="L38" s="68">
        <f t="shared" si="2"/>
        <v>0</v>
      </c>
      <c r="N38" s="29"/>
      <c r="O38" s="29"/>
      <c r="P38" s="29"/>
      <c r="Q38" s="29"/>
    </row>
    <row r="39" spans="2:17" x14ac:dyDescent="0.85">
      <c r="B39" s="46">
        <v>33</v>
      </c>
      <c r="C39" s="10"/>
      <c r="D39" s="66"/>
      <c r="E39" s="10"/>
      <c r="F39" s="226"/>
      <c r="G39" s="47">
        <v>1</v>
      </c>
      <c r="H39" s="72"/>
      <c r="I39" s="10"/>
      <c r="J39" s="46">
        <f t="shared" si="0"/>
        <v>1</v>
      </c>
      <c r="K39" s="46">
        <f t="shared" si="1"/>
        <v>0</v>
      </c>
      <c r="L39" s="69">
        <f t="shared" si="2"/>
        <v>0</v>
      </c>
      <c r="N39" s="29"/>
      <c r="O39" s="29"/>
      <c r="P39" s="29"/>
      <c r="Q39" s="29"/>
    </row>
    <row r="40" spans="2:17" x14ac:dyDescent="0.85">
      <c r="B40" s="48">
        <v>34</v>
      </c>
      <c r="C40" s="44"/>
      <c r="D40" s="50"/>
      <c r="E40" s="44"/>
      <c r="F40" s="227"/>
      <c r="G40" s="49">
        <v>1</v>
      </c>
      <c r="H40" s="73"/>
      <c r="I40" s="44"/>
      <c r="J40" s="48">
        <f t="shared" si="0"/>
        <v>1</v>
      </c>
      <c r="K40" s="48">
        <f t="shared" si="1"/>
        <v>0</v>
      </c>
      <c r="L40" s="68">
        <f t="shared" si="2"/>
        <v>0</v>
      </c>
      <c r="N40" s="29"/>
      <c r="O40" s="29"/>
      <c r="P40" s="29"/>
      <c r="Q40" s="29"/>
    </row>
    <row r="41" spans="2:17" x14ac:dyDescent="0.85">
      <c r="B41" s="46">
        <v>35</v>
      </c>
      <c r="C41" s="10"/>
      <c r="D41" s="66"/>
      <c r="E41" s="10"/>
      <c r="F41" s="226"/>
      <c r="G41" s="47">
        <v>1</v>
      </c>
      <c r="H41" s="72"/>
      <c r="I41" s="10"/>
      <c r="J41" s="46">
        <f t="shared" si="0"/>
        <v>1</v>
      </c>
      <c r="K41" s="46">
        <f t="shared" si="1"/>
        <v>0</v>
      </c>
      <c r="L41" s="69">
        <f t="shared" si="2"/>
        <v>0</v>
      </c>
      <c r="N41" s="29"/>
      <c r="O41" s="29"/>
      <c r="P41" s="29"/>
      <c r="Q41" s="29"/>
    </row>
    <row r="42" spans="2:17" x14ac:dyDescent="0.85">
      <c r="B42" s="48">
        <v>36</v>
      </c>
      <c r="C42" s="44"/>
      <c r="D42" s="50"/>
      <c r="E42" s="44"/>
      <c r="F42" s="227"/>
      <c r="G42" s="49">
        <v>1</v>
      </c>
      <c r="H42" s="73"/>
      <c r="I42" s="44"/>
      <c r="J42" s="48">
        <f t="shared" si="0"/>
        <v>1</v>
      </c>
      <c r="K42" s="48">
        <f t="shared" si="1"/>
        <v>0</v>
      </c>
      <c r="L42" s="68">
        <f t="shared" si="2"/>
        <v>0</v>
      </c>
      <c r="N42" s="29"/>
      <c r="O42" s="29"/>
      <c r="P42" s="29"/>
      <c r="Q42" s="29"/>
    </row>
    <row r="43" spans="2:17" x14ac:dyDescent="0.85">
      <c r="B43" s="46">
        <v>37</v>
      </c>
      <c r="C43" s="10"/>
      <c r="D43" s="66"/>
      <c r="E43" s="10"/>
      <c r="F43" s="226"/>
      <c r="G43" s="47">
        <v>1</v>
      </c>
      <c r="H43" s="72"/>
      <c r="I43" s="10"/>
      <c r="J43" s="46">
        <f t="shared" si="0"/>
        <v>1</v>
      </c>
      <c r="K43" s="46">
        <f t="shared" si="1"/>
        <v>0</v>
      </c>
      <c r="L43" s="69">
        <f t="shared" si="2"/>
        <v>0</v>
      </c>
      <c r="N43" s="29"/>
      <c r="O43" s="29"/>
      <c r="P43" s="29"/>
      <c r="Q43" s="29"/>
    </row>
    <row r="44" spans="2:17" x14ac:dyDescent="0.85">
      <c r="B44" s="48">
        <v>38</v>
      </c>
      <c r="C44" s="44"/>
      <c r="D44" s="50"/>
      <c r="E44" s="44"/>
      <c r="F44" s="227"/>
      <c r="G44" s="49">
        <v>1</v>
      </c>
      <c r="H44" s="73"/>
      <c r="I44" s="44"/>
      <c r="J44" s="48">
        <f t="shared" si="0"/>
        <v>1</v>
      </c>
      <c r="K44" s="48">
        <f t="shared" si="1"/>
        <v>0</v>
      </c>
      <c r="L44" s="68">
        <f t="shared" si="2"/>
        <v>0</v>
      </c>
      <c r="N44" s="29"/>
      <c r="O44" s="29"/>
      <c r="P44" s="29"/>
      <c r="Q44" s="29"/>
    </row>
    <row r="45" spans="2:17" x14ac:dyDescent="0.85">
      <c r="B45" s="46">
        <v>39</v>
      </c>
      <c r="C45" s="10"/>
      <c r="D45" s="66"/>
      <c r="E45" s="10"/>
      <c r="F45" s="226"/>
      <c r="G45" s="47">
        <v>1</v>
      </c>
      <c r="H45" s="72"/>
      <c r="I45" s="10"/>
      <c r="J45" s="46">
        <f t="shared" si="0"/>
        <v>1</v>
      </c>
      <c r="K45" s="46">
        <f t="shared" si="1"/>
        <v>0</v>
      </c>
      <c r="L45" s="69">
        <f t="shared" si="2"/>
        <v>0</v>
      </c>
      <c r="N45" s="29"/>
      <c r="O45" s="29"/>
      <c r="P45" s="29"/>
      <c r="Q45" s="29"/>
    </row>
    <row r="46" spans="2:17" x14ac:dyDescent="0.85">
      <c r="B46" s="48">
        <v>40</v>
      </c>
      <c r="C46" s="44"/>
      <c r="D46" s="50"/>
      <c r="E46" s="44"/>
      <c r="F46" s="227"/>
      <c r="G46" s="49">
        <v>1</v>
      </c>
      <c r="H46" s="73"/>
      <c r="I46" s="44"/>
      <c r="J46" s="48">
        <f t="shared" si="0"/>
        <v>1</v>
      </c>
      <c r="K46" s="48">
        <f t="shared" si="1"/>
        <v>0</v>
      </c>
      <c r="L46" s="68">
        <f t="shared" si="2"/>
        <v>0</v>
      </c>
      <c r="N46" s="29"/>
      <c r="O46" s="29"/>
      <c r="P46" s="29"/>
      <c r="Q46" s="29"/>
    </row>
    <row r="47" spans="2:17" x14ac:dyDescent="0.85">
      <c r="B47" s="46">
        <v>41</v>
      </c>
      <c r="C47" s="10"/>
      <c r="D47" s="66"/>
      <c r="E47" s="10"/>
      <c r="F47" s="226"/>
      <c r="G47" s="47">
        <v>1</v>
      </c>
      <c r="H47" s="72"/>
      <c r="I47" s="10"/>
      <c r="J47" s="46">
        <f t="shared" si="0"/>
        <v>1</v>
      </c>
      <c r="K47" s="46">
        <f t="shared" si="1"/>
        <v>0</v>
      </c>
      <c r="L47" s="69">
        <f t="shared" si="2"/>
        <v>0</v>
      </c>
      <c r="N47" s="29"/>
      <c r="O47" s="29"/>
      <c r="P47" s="29"/>
      <c r="Q47" s="29"/>
    </row>
    <row r="48" spans="2:17" x14ac:dyDescent="0.85">
      <c r="B48" s="48">
        <v>42</v>
      </c>
      <c r="C48" s="44"/>
      <c r="D48" s="50"/>
      <c r="E48" s="44"/>
      <c r="F48" s="227"/>
      <c r="G48" s="49">
        <v>1</v>
      </c>
      <c r="H48" s="73"/>
      <c r="I48" s="44"/>
      <c r="J48" s="48">
        <f t="shared" si="0"/>
        <v>1</v>
      </c>
      <c r="K48" s="48">
        <f t="shared" si="1"/>
        <v>0</v>
      </c>
      <c r="L48" s="68">
        <f t="shared" si="2"/>
        <v>0</v>
      </c>
      <c r="N48" s="29"/>
      <c r="O48" s="29"/>
      <c r="P48" s="29"/>
      <c r="Q48" s="29"/>
    </row>
    <row r="49" spans="2:17" x14ac:dyDescent="0.85">
      <c r="B49" s="46">
        <v>43</v>
      </c>
      <c r="C49" s="10"/>
      <c r="D49" s="66"/>
      <c r="E49" s="10"/>
      <c r="F49" s="226"/>
      <c r="G49" s="47">
        <v>1</v>
      </c>
      <c r="H49" s="72"/>
      <c r="I49" s="10"/>
      <c r="J49" s="46">
        <f t="shared" si="0"/>
        <v>1</v>
      </c>
      <c r="K49" s="46">
        <f t="shared" si="1"/>
        <v>0</v>
      </c>
      <c r="L49" s="69">
        <f t="shared" si="2"/>
        <v>0</v>
      </c>
      <c r="N49" s="29"/>
      <c r="O49" s="29"/>
      <c r="P49" s="29"/>
      <c r="Q49" s="29"/>
    </row>
    <row r="50" spans="2:17" x14ac:dyDescent="0.85">
      <c r="B50" s="48">
        <v>44</v>
      </c>
      <c r="C50" s="44"/>
      <c r="D50" s="50"/>
      <c r="E50" s="44"/>
      <c r="F50" s="227"/>
      <c r="G50" s="49">
        <v>1</v>
      </c>
      <c r="H50" s="73"/>
      <c r="I50" s="44"/>
      <c r="J50" s="48">
        <f t="shared" si="0"/>
        <v>1</v>
      </c>
      <c r="K50" s="48">
        <f t="shared" si="1"/>
        <v>0</v>
      </c>
      <c r="L50" s="68">
        <f t="shared" si="2"/>
        <v>0</v>
      </c>
      <c r="N50" s="29"/>
      <c r="O50" s="29"/>
      <c r="P50" s="29"/>
      <c r="Q50" s="29"/>
    </row>
    <row r="51" spans="2:17" x14ac:dyDescent="0.85">
      <c r="B51" s="46">
        <v>45</v>
      </c>
      <c r="C51" s="10"/>
      <c r="D51" s="66"/>
      <c r="E51" s="10"/>
      <c r="F51" s="226"/>
      <c r="G51" s="47">
        <v>1</v>
      </c>
      <c r="H51" s="72"/>
      <c r="I51" s="10"/>
      <c r="J51" s="46">
        <f t="shared" si="0"/>
        <v>1</v>
      </c>
      <c r="K51" s="46">
        <f t="shared" si="1"/>
        <v>0</v>
      </c>
      <c r="L51" s="69">
        <f t="shared" si="2"/>
        <v>0</v>
      </c>
      <c r="N51" s="29"/>
      <c r="O51" s="29"/>
      <c r="P51" s="29"/>
      <c r="Q51" s="29"/>
    </row>
    <row r="52" spans="2:17" x14ac:dyDescent="0.85">
      <c r="B52" s="48">
        <v>46</v>
      </c>
      <c r="C52" s="44"/>
      <c r="D52" s="50"/>
      <c r="E52" s="44"/>
      <c r="F52" s="227"/>
      <c r="G52" s="49">
        <v>1</v>
      </c>
      <c r="H52" s="73"/>
      <c r="I52" s="44"/>
      <c r="J52" s="48">
        <f t="shared" si="0"/>
        <v>1</v>
      </c>
      <c r="K52" s="48">
        <f t="shared" si="1"/>
        <v>0</v>
      </c>
      <c r="L52" s="68">
        <f t="shared" si="2"/>
        <v>0</v>
      </c>
      <c r="N52" s="29"/>
      <c r="O52" s="29"/>
      <c r="P52" s="29"/>
      <c r="Q52" s="29"/>
    </row>
    <row r="53" spans="2:17" x14ac:dyDescent="0.85">
      <c r="B53" s="46">
        <v>47</v>
      </c>
      <c r="C53" s="10"/>
      <c r="D53" s="66"/>
      <c r="E53" s="10"/>
      <c r="F53" s="226"/>
      <c r="G53" s="47">
        <v>1</v>
      </c>
      <c r="H53" s="72"/>
      <c r="I53" s="10"/>
      <c r="J53" s="46">
        <f t="shared" si="0"/>
        <v>1</v>
      </c>
      <c r="K53" s="46">
        <f t="shared" si="1"/>
        <v>0</v>
      </c>
      <c r="L53" s="69">
        <f t="shared" si="2"/>
        <v>0</v>
      </c>
      <c r="N53" s="29"/>
      <c r="O53" s="29"/>
      <c r="P53" s="29"/>
      <c r="Q53" s="29"/>
    </row>
    <row r="54" spans="2:17" x14ac:dyDescent="0.85">
      <c r="B54" s="48">
        <v>48</v>
      </c>
      <c r="C54" s="44"/>
      <c r="D54" s="50"/>
      <c r="E54" s="44"/>
      <c r="F54" s="227"/>
      <c r="G54" s="49">
        <v>1</v>
      </c>
      <c r="H54" s="73"/>
      <c r="I54" s="44"/>
      <c r="J54" s="48">
        <f t="shared" si="0"/>
        <v>1</v>
      </c>
      <c r="K54" s="48">
        <f t="shared" si="1"/>
        <v>0</v>
      </c>
      <c r="L54" s="68">
        <f t="shared" si="2"/>
        <v>0</v>
      </c>
      <c r="N54" s="29"/>
      <c r="O54" s="29"/>
      <c r="P54" s="29"/>
      <c r="Q54" s="29"/>
    </row>
    <row r="55" spans="2:17" x14ac:dyDescent="0.85">
      <c r="B55" s="46">
        <v>49</v>
      </c>
      <c r="C55" s="10"/>
      <c r="D55" s="66"/>
      <c r="E55" s="10"/>
      <c r="F55" s="226"/>
      <c r="G55" s="47">
        <v>1</v>
      </c>
      <c r="H55" s="72"/>
      <c r="I55" s="10"/>
      <c r="J55" s="46">
        <f t="shared" si="0"/>
        <v>1</v>
      </c>
      <c r="K55" s="46">
        <f t="shared" si="1"/>
        <v>0</v>
      </c>
      <c r="L55" s="69">
        <f t="shared" si="2"/>
        <v>0</v>
      </c>
      <c r="N55" s="29"/>
      <c r="O55" s="29"/>
      <c r="P55" s="29"/>
      <c r="Q55" s="29"/>
    </row>
    <row r="56" spans="2:17" x14ac:dyDescent="0.85">
      <c r="B56" s="48">
        <v>50</v>
      </c>
      <c r="C56" s="44"/>
      <c r="D56" s="50"/>
      <c r="E56" s="44"/>
      <c r="F56" s="227"/>
      <c r="G56" s="49">
        <v>1</v>
      </c>
      <c r="H56" s="73"/>
      <c r="I56" s="44"/>
      <c r="J56" s="48">
        <f t="shared" si="0"/>
        <v>1</v>
      </c>
      <c r="K56" s="48">
        <f t="shared" si="1"/>
        <v>0</v>
      </c>
      <c r="L56" s="68">
        <f t="shared" si="2"/>
        <v>0</v>
      </c>
      <c r="N56" s="29"/>
      <c r="O56" s="29"/>
      <c r="P56" s="29"/>
      <c r="Q56" s="29"/>
    </row>
    <row r="57" spans="2:17" x14ac:dyDescent="0.85">
      <c r="B57" s="46">
        <v>51</v>
      </c>
      <c r="C57" s="10"/>
      <c r="D57" s="66"/>
      <c r="E57" s="10"/>
      <c r="F57" s="226"/>
      <c r="G57" s="47">
        <v>1</v>
      </c>
      <c r="H57" s="72"/>
      <c r="I57" s="10"/>
      <c r="J57" s="46">
        <f t="shared" si="0"/>
        <v>1</v>
      </c>
      <c r="K57" s="46">
        <f t="shared" si="1"/>
        <v>0</v>
      </c>
      <c r="L57" s="69">
        <f t="shared" si="2"/>
        <v>0</v>
      </c>
      <c r="N57" s="29"/>
      <c r="O57" s="29"/>
      <c r="P57" s="29"/>
      <c r="Q57" s="29"/>
    </row>
    <row r="58" spans="2:17" x14ac:dyDescent="0.85">
      <c r="B58" s="48">
        <v>52</v>
      </c>
      <c r="C58" s="44"/>
      <c r="D58" s="50"/>
      <c r="E58" s="44"/>
      <c r="F58" s="227"/>
      <c r="G58" s="49">
        <v>1</v>
      </c>
      <c r="H58" s="73"/>
      <c r="I58" s="44"/>
      <c r="J58" s="48">
        <f t="shared" si="0"/>
        <v>1</v>
      </c>
      <c r="K58" s="48">
        <f t="shared" si="1"/>
        <v>0</v>
      </c>
      <c r="L58" s="68">
        <f t="shared" si="2"/>
        <v>0</v>
      </c>
      <c r="N58" s="29"/>
      <c r="O58" s="29"/>
      <c r="P58" s="29"/>
      <c r="Q58" s="29"/>
    </row>
    <row r="59" spans="2:17" x14ac:dyDescent="0.85">
      <c r="B59" s="46">
        <v>53</v>
      </c>
      <c r="C59" s="10"/>
      <c r="D59" s="66"/>
      <c r="E59" s="10"/>
      <c r="F59" s="226"/>
      <c r="G59" s="47">
        <v>1</v>
      </c>
      <c r="H59" s="72"/>
      <c r="I59" s="10"/>
      <c r="J59" s="46">
        <f t="shared" si="0"/>
        <v>1</v>
      </c>
      <c r="K59" s="46">
        <f t="shared" si="1"/>
        <v>0</v>
      </c>
      <c r="L59" s="69">
        <f t="shared" si="2"/>
        <v>0</v>
      </c>
      <c r="N59" s="29"/>
      <c r="O59" s="29"/>
      <c r="P59" s="29"/>
      <c r="Q59" s="29"/>
    </row>
    <row r="60" spans="2:17" x14ac:dyDescent="0.85">
      <c r="B60" s="48">
        <v>54</v>
      </c>
      <c r="C60" s="44"/>
      <c r="D60" s="50"/>
      <c r="E60" s="44"/>
      <c r="F60" s="227"/>
      <c r="G60" s="49">
        <v>1</v>
      </c>
      <c r="H60" s="73"/>
      <c r="I60" s="44"/>
      <c r="J60" s="48">
        <f t="shared" si="0"/>
        <v>1</v>
      </c>
      <c r="K60" s="48">
        <f t="shared" si="1"/>
        <v>0</v>
      </c>
      <c r="L60" s="68">
        <f t="shared" si="2"/>
        <v>0</v>
      </c>
      <c r="N60" s="29"/>
      <c r="O60" s="29"/>
      <c r="P60" s="29"/>
      <c r="Q60" s="29"/>
    </row>
    <row r="61" spans="2:17" x14ac:dyDescent="0.85">
      <c r="B61" s="46">
        <v>55</v>
      </c>
      <c r="C61" s="10"/>
      <c r="D61" s="66"/>
      <c r="E61" s="10"/>
      <c r="F61" s="226"/>
      <c r="G61" s="47">
        <v>1</v>
      </c>
      <c r="H61" s="72"/>
      <c r="I61" s="10"/>
      <c r="J61" s="46">
        <f t="shared" si="0"/>
        <v>1</v>
      </c>
      <c r="K61" s="46">
        <f t="shared" si="1"/>
        <v>0</v>
      </c>
      <c r="L61" s="69">
        <f t="shared" si="2"/>
        <v>0</v>
      </c>
      <c r="N61" s="29"/>
      <c r="O61" s="29"/>
      <c r="P61" s="29"/>
      <c r="Q61" s="29"/>
    </row>
    <row r="62" spans="2:17" x14ac:dyDescent="0.85">
      <c r="B62" s="48">
        <v>56</v>
      </c>
      <c r="C62" s="44"/>
      <c r="D62" s="50"/>
      <c r="E62" s="44"/>
      <c r="F62" s="227"/>
      <c r="G62" s="49">
        <v>1</v>
      </c>
      <c r="H62" s="73"/>
      <c r="I62" s="44"/>
      <c r="J62" s="48">
        <f t="shared" si="0"/>
        <v>1</v>
      </c>
      <c r="K62" s="48">
        <f t="shared" si="1"/>
        <v>0</v>
      </c>
      <c r="L62" s="68">
        <f t="shared" si="2"/>
        <v>0</v>
      </c>
      <c r="N62" s="29"/>
      <c r="O62" s="29"/>
      <c r="P62" s="29"/>
      <c r="Q62" s="29"/>
    </row>
    <row r="63" spans="2:17" x14ac:dyDescent="0.85">
      <c r="B63" s="46">
        <v>57</v>
      </c>
      <c r="C63" s="10"/>
      <c r="D63" s="66"/>
      <c r="E63" s="10"/>
      <c r="F63" s="226"/>
      <c r="G63" s="47">
        <v>1</v>
      </c>
      <c r="H63" s="72"/>
      <c r="I63" s="10"/>
      <c r="J63" s="46">
        <f t="shared" si="0"/>
        <v>1</v>
      </c>
      <c r="K63" s="46">
        <f t="shared" si="1"/>
        <v>0</v>
      </c>
      <c r="L63" s="69">
        <f t="shared" si="2"/>
        <v>0</v>
      </c>
      <c r="N63" s="29"/>
      <c r="O63" s="29"/>
      <c r="P63" s="29"/>
      <c r="Q63" s="29"/>
    </row>
    <row r="64" spans="2:17" x14ac:dyDescent="0.85">
      <c r="B64" s="48">
        <v>58</v>
      </c>
      <c r="C64" s="44"/>
      <c r="D64" s="50"/>
      <c r="E64" s="44"/>
      <c r="F64" s="227"/>
      <c r="G64" s="49">
        <v>1</v>
      </c>
      <c r="H64" s="73"/>
      <c r="I64" s="44"/>
      <c r="J64" s="48">
        <f t="shared" si="0"/>
        <v>1</v>
      </c>
      <c r="K64" s="48">
        <f t="shared" si="1"/>
        <v>0</v>
      </c>
      <c r="L64" s="68">
        <f t="shared" si="2"/>
        <v>0</v>
      </c>
      <c r="N64" s="29"/>
      <c r="O64" s="29"/>
      <c r="P64" s="29"/>
      <c r="Q64" s="29"/>
    </row>
    <row r="65" spans="2:17" x14ac:dyDescent="0.85">
      <c r="B65" s="46">
        <v>59</v>
      </c>
      <c r="C65" s="10"/>
      <c r="D65" s="66"/>
      <c r="E65" s="10"/>
      <c r="F65" s="226"/>
      <c r="G65" s="47">
        <v>1</v>
      </c>
      <c r="H65" s="72"/>
      <c r="I65" s="10"/>
      <c r="J65" s="46">
        <f t="shared" si="0"/>
        <v>1</v>
      </c>
      <c r="K65" s="46">
        <f t="shared" si="1"/>
        <v>0</v>
      </c>
      <c r="L65" s="69">
        <f t="shared" si="2"/>
        <v>0</v>
      </c>
      <c r="N65" s="29"/>
      <c r="O65" s="29"/>
      <c r="P65" s="29"/>
      <c r="Q65" s="29"/>
    </row>
    <row r="66" spans="2:17" x14ac:dyDescent="0.85">
      <c r="B66" s="48">
        <v>60</v>
      </c>
      <c r="C66" s="44"/>
      <c r="D66" s="50"/>
      <c r="E66" s="44"/>
      <c r="F66" s="227"/>
      <c r="G66" s="49">
        <v>1</v>
      </c>
      <c r="H66" s="73"/>
      <c r="I66" s="44"/>
      <c r="J66" s="48">
        <f t="shared" si="0"/>
        <v>1</v>
      </c>
      <c r="K66" s="48">
        <f t="shared" si="1"/>
        <v>0</v>
      </c>
      <c r="L66" s="68">
        <f t="shared" si="2"/>
        <v>0</v>
      </c>
      <c r="N66" s="29"/>
      <c r="O66" s="29"/>
      <c r="P66" s="29"/>
      <c r="Q66" s="29"/>
    </row>
    <row r="67" spans="2:17" x14ac:dyDescent="0.85">
      <c r="B67" s="46">
        <v>61</v>
      </c>
      <c r="C67" s="10"/>
      <c r="D67" s="66"/>
      <c r="E67" s="10"/>
      <c r="F67" s="226"/>
      <c r="G67" s="47">
        <v>1</v>
      </c>
      <c r="H67" s="72"/>
      <c r="I67" s="10"/>
      <c r="J67" s="46">
        <f t="shared" si="0"/>
        <v>1</v>
      </c>
      <c r="K67" s="46">
        <f t="shared" si="1"/>
        <v>0</v>
      </c>
      <c r="L67" s="69">
        <f t="shared" si="2"/>
        <v>0</v>
      </c>
      <c r="N67" s="29"/>
      <c r="O67" s="29"/>
      <c r="P67" s="29"/>
      <c r="Q67" s="29"/>
    </row>
    <row r="68" spans="2:17" x14ac:dyDescent="0.85">
      <c r="B68" s="48">
        <v>62</v>
      </c>
      <c r="C68" s="44"/>
      <c r="D68" s="50"/>
      <c r="E68" s="44"/>
      <c r="F68" s="227"/>
      <c r="G68" s="49">
        <v>1</v>
      </c>
      <c r="H68" s="73"/>
      <c r="I68" s="44"/>
      <c r="J68" s="48">
        <f t="shared" si="0"/>
        <v>1</v>
      </c>
      <c r="K68" s="48">
        <f t="shared" si="1"/>
        <v>0</v>
      </c>
      <c r="L68" s="68">
        <f t="shared" si="2"/>
        <v>0</v>
      </c>
      <c r="N68" s="29"/>
      <c r="O68" s="29"/>
      <c r="P68" s="29"/>
      <c r="Q68" s="29"/>
    </row>
    <row r="69" spans="2:17" x14ac:dyDescent="0.85">
      <c r="B69" s="46">
        <v>63</v>
      </c>
      <c r="C69" s="10"/>
      <c r="D69" s="66"/>
      <c r="E69" s="10"/>
      <c r="F69" s="226"/>
      <c r="G69" s="47">
        <v>1</v>
      </c>
      <c r="H69" s="72"/>
      <c r="I69" s="10"/>
      <c r="J69" s="46">
        <f t="shared" si="0"/>
        <v>1</v>
      </c>
      <c r="K69" s="46">
        <f t="shared" si="1"/>
        <v>0</v>
      </c>
      <c r="L69" s="69">
        <f t="shared" si="2"/>
        <v>0</v>
      </c>
      <c r="N69" s="29"/>
      <c r="O69" s="29"/>
      <c r="P69" s="29"/>
      <c r="Q69" s="29"/>
    </row>
    <row r="70" spans="2:17" x14ac:dyDescent="0.85">
      <c r="B70" s="48">
        <v>64</v>
      </c>
      <c r="C70" s="44"/>
      <c r="D70" s="50"/>
      <c r="E70" s="44"/>
      <c r="F70" s="227"/>
      <c r="G70" s="49">
        <v>1</v>
      </c>
      <c r="H70" s="73"/>
      <c r="I70" s="44"/>
      <c r="J70" s="48">
        <f t="shared" si="0"/>
        <v>1</v>
      </c>
      <c r="K70" s="48">
        <f t="shared" si="1"/>
        <v>0</v>
      </c>
      <c r="L70" s="68">
        <f t="shared" si="2"/>
        <v>0</v>
      </c>
      <c r="N70" s="29"/>
      <c r="O70" s="29"/>
      <c r="P70" s="29"/>
      <c r="Q70" s="29"/>
    </row>
    <row r="71" spans="2:17" x14ac:dyDescent="0.85">
      <c r="B71" s="46">
        <v>65</v>
      </c>
      <c r="C71" s="10"/>
      <c r="D71" s="66"/>
      <c r="E71" s="10"/>
      <c r="F71" s="226"/>
      <c r="G71" s="47">
        <v>1</v>
      </c>
      <c r="H71" s="72"/>
      <c r="I71" s="10"/>
      <c r="J71" s="46">
        <f t="shared" ref="J71:J134" si="3">IF(ISBLANK(H71),1,H71)</f>
        <v>1</v>
      </c>
      <c r="K71" s="46">
        <f t="shared" ref="K71:K134" si="4">IF(COUNTIF(FreeElements, E71)&gt;0, F71, 0)</f>
        <v>0</v>
      </c>
      <c r="L71" s="69">
        <f t="shared" ref="L71:L134" si="5">J71*K71</f>
        <v>0</v>
      </c>
      <c r="N71" s="29"/>
      <c r="O71" s="29"/>
      <c r="P71" s="29"/>
      <c r="Q71" s="29"/>
    </row>
    <row r="72" spans="2:17" x14ac:dyDescent="0.85">
      <c r="B72" s="48">
        <v>66</v>
      </c>
      <c r="C72" s="44"/>
      <c r="D72" s="50"/>
      <c r="E72" s="44"/>
      <c r="F72" s="227"/>
      <c r="G72" s="49">
        <v>1</v>
      </c>
      <c r="H72" s="73"/>
      <c r="I72" s="44"/>
      <c r="J72" s="48">
        <f t="shared" si="3"/>
        <v>1</v>
      </c>
      <c r="K72" s="48">
        <f t="shared" si="4"/>
        <v>0</v>
      </c>
      <c r="L72" s="68">
        <f t="shared" si="5"/>
        <v>0</v>
      </c>
      <c r="N72" s="29"/>
      <c r="O72" s="29"/>
      <c r="P72" s="29"/>
      <c r="Q72" s="29"/>
    </row>
    <row r="73" spans="2:17" x14ac:dyDescent="0.85">
      <c r="B73" s="46">
        <v>67</v>
      </c>
      <c r="C73" s="10"/>
      <c r="D73" s="66"/>
      <c r="E73" s="10"/>
      <c r="F73" s="226"/>
      <c r="G73" s="47">
        <v>1</v>
      </c>
      <c r="H73" s="72"/>
      <c r="I73" s="10"/>
      <c r="J73" s="46">
        <f t="shared" si="3"/>
        <v>1</v>
      </c>
      <c r="K73" s="46">
        <f t="shared" si="4"/>
        <v>0</v>
      </c>
      <c r="L73" s="69">
        <f t="shared" si="5"/>
        <v>0</v>
      </c>
      <c r="N73" s="29"/>
      <c r="O73" s="29"/>
      <c r="P73" s="29"/>
      <c r="Q73" s="29"/>
    </row>
    <row r="74" spans="2:17" x14ac:dyDescent="0.85">
      <c r="B74" s="48">
        <v>68</v>
      </c>
      <c r="C74" s="44"/>
      <c r="D74" s="50"/>
      <c r="E74" s="44"/>
      <c r="F74" s="227"/>
      <c r="G74" s="49">
        <v>1</v>
      </c>
      <c r="H74" s="73"/>
      <c r="I74" s="44"/>
      <c r="J74" s="48">
        <f t="shared" si="3"/>
        <v>1</v>
      </c>
      <c r="K74" s="48">
        <f t="shared" si="4"/>
        <v>0</v>
      </c>
      <c r="L74" s="68">
        <f t="shared" si="5"/>
        <v>0</v>
      </c>
      <c r="N74" s="29"/>
      <c r="O74" s="29"/>
      <c r="P74" s="29"/>
      <c r="Q74" s="29"/>
    </row>
    <row r="75" spans="2:17" x14ac:dyDescent="0.85">
      <c r="B75" s="46">
        <v>69</v>
      </c>
      <c r="C75" s="10"/>
      <c r="D75" s="66"/>
      <c r="E75" s="10"/>
      <c r="F75" s="226"/>
      <c r="G75" s="47">
        <v>1</v>
      </c>
      <c r="H75" s="72"/>
      <c r="I75" s="10"/>
      <c r="J75" s="46">
        <f t="shared" si="3"/>
        <v>1</v>
      </c>
      <c r="K75" s="46">
        <f t="shared" si="4"/>
        <v>0</v>
      </c>
      <c r="L75" s="69">
        <f t="shared" si="5"/>
        <v>0</v>
      </c>
      <c r="N75" s="29"/>
      <c r="O75" s="29"/>
      <c r="P75" s="29"/>
      <c r="Q75" s="29"/>
    </row>
    <row r="76" spans="2:17" x14ac:dyDescent="0.85">
      <c r="B76" s="48">
        <v>70</v>
      </c>
      <c r="C76" s="44"/>
      <c r="D76" s="50"/>
      <c r="E76" s="44"/>
      <c r="F76" s="227"/>
      <c r="G76" s="49">
        <v>1</v>
      </c>
      <c r="H76" s="73"/>
      <c r="I76" s="44"/>
      <c r="J76" s="48">
        <f t="shared" si="3"/>
        <v>1</v>
      </c>
      <c r="K76" s="48">
        <f t="shared" si="4"/>
        <v>0</v>
      </c>
      <c r="L76" s="68">
        <f t="shared" si="5"/>
        <v>0</v>
      </c>
      <c r="N76" s="29"/>
      <c r="O76" s="29"/>
      <c r="P76" s="29"/>
      <c r="Q76" s="29"/>
    </row>
    <row r="77" spans="2:17" x14ac:dyDescent="0.85">
      <c r="B77" s="46">
        <v>71</v>
      </c>
      <c r="C77" s="10"/>
      <c r="D77" s="66"/>
      <c r="E77" s="10"/>
      <c r="F77" s="226"/>
      <c r="G77" s="47">
        <v>1</v>
      </c>
      <c r="H77" s="72"/>
      <c r="I77" s="10"/>
      <c r="J77" s="46">
        <f t="shared" si="3"/>
        <v>1</v>
      </c>
      <c r="K77" s="46">
        <f t="shared" si="4"/>
        <v>0</v>
      </c>
      <c r="L77" s="69">
        <f t="shared" si="5"/>
        <v>0</v>
      </c>
      <c r="N77" s="29"/>
      <c r="O77" s="29"/>
      <c r="P77" s="29"/>
      <c r="Q77" s="29"/>
    </row>
    <row r="78" spans="2:17" x14ac:dyDescent="0.85">
      <c r="B78" s="48">
        <v>72</v>
      </c>
      <c r="C78" s="44"/>
      <c r="D78" s="50"/>
      <c r="E78" s="44"/>
      <c r="F78" s="227"/>
      <c r="G78" s="49">
        <v>1</v>
      </c>
      <c r="H78" s="73"/>
      <c r="I78" s="44"/>
      <c r="J78" s="48">
        <f t="shared" si="3"/>
        <v>1</v>
      </c>
      <c r="K78" s="48">
        <f t="shared" si="4"/>
        <v>0</v>
      </c>
      <c r="L78" s="68">
        <f t="shared" si="5"/>
        <v>0</v>
      </c>
      <c r="N78" s="29"/>
      <c r="O78" s="29"/>
      <c r="P78" s="29"/>
      <c r="Q78" s="29"/>
    </row>
    <row r="79" spans="2:17" x14ac:dyDescent="0.85">
      <c r="B79" s="46">
        <v>73</v>
      </c>
      <c r="C79" s="10"/>
      <c r="D79" s="66"/>
      <c r="E79" s="10"/>
      <c r="F79" s="226"/>
      <c r="G79" s="47">
        <v>1</v>
      </c>
      <c r="H79" s="72"/>
      <c r="I79" s="10"/>
      <c r="J79" s="46">
        <f t="shared" si="3"/>
        <v>1</v>
      </c>
      <c r="K79" s="46">
        <f t="shared" si="4"/>
        <v>0</v>
      </c>
      <c r="L79" s="69">
        <f t="shared" si="5"/>
        <v>0</v>
      </c>
      <c r="N79" s="29"/>
      <c r="O79" s="29"/>
      <c r="P79" s="29"/>
      <c r="Q79" s="29"/>
    </row>
    <row r="80" spans="2:17" x14ac:dyDescent="0.85">
      <c r="B80" s="48">
        <v>74</v>
      </c>
      <c r="C80" s="44"/>
      <c r="D80" s="50"/>
      <c r="E80" s="44"/>
      <c r="F80" s="227"/>
      <c r="G80" s="49">
        <v>1</v>
      </c>
      <c r="H80" s="73"/>
      <c r="I80" s="44"/>
      <c r="J80" s="48">
        <f t="shared" si="3"/>
        <v>1</v>
      </c>
      <c r="K80" s="48">
        <f t="shared" si="4"/>
        <v>0</v>
      </c>
      <c r="L80" s="68">
        <f t="shared" si="5"/>
        <v>0</v>
      </c>
      <c r="N80" s="29"/>
      <c r="O80" s="29"/>
      <c r="P80" s="29"/>
      <c r="Q80" s="29"/>
    </row>
    <row r="81" spans="2:17" x14ac:dyDescent="0.85">
      <c r="B81" s="46">
        <v>75</v>
      </c>
      <c r="C81" s="10"/>
      <c r="D81" s="66"/>
      <c r="E81" s="10"/>
      <c r="F81" s="226"/>
      <c r="G81" s="47">
        <v>1</v>
      </c>
      <c r="H81" s="72"/>
      <c r="I81" s="10"/>
      <c r="J81" s="46">
        <f t="shared" si="3"/>
        <v>1</v>
      </c>
      <c r="K81" s="46">
        <f t="shared" si="4"/>
        <v>0</v>
      </c>
      <c r="L81" s="69">
        <f t="shared" si="5"/>
        <v>0</v>
      </c>
      <c r="N81" s="29"/>
      <c r="O81" s="29"/>
      <c r="P81" s="29"/>
      <c r="Q81" s="29"/>
    </row>
    <row r="82" spans="2:17" x14ac:dyDescent="0.85">
      <c r="B82" s="48">
        <v>76</v>
      </c>
      <c r="C82" s="44"/>
      <c r="D82" s="50"/>
      <c r="E82" s="44"/>
      <c r="F82" s="227"/>
      <c r="G82" s="49">
        <v>1</v>
      </c>
      <c r="H82" s="73"/>
      <c r="I82" s="44"/>
      <c r="J82" s="48">
        <f t="shared" si="3"/>
        <v>1</v>
      </c>
      <c r="K82" s="48">
        <f t="shared" si="4"/>
        <v>0</v>
      </c>
      <c r="L82" s="68">
        <f t="shared" si="5"/>
        <v>0</v>
      </c>
      <c r="N82" s="29"/>
      <c r="O82" s="29"/>
      <c r="P82" s="29"/>
      <c r="Q82" s="29"/>
    </row>
    <row r="83" spans="2:17" x14ac:dyDescent="0.85">
      <c r="B83" s="46">
        <v>77</v>
      </c>
      <c r="C83" s="10"/>
      <c r="D83" s="66"/>
      <c r="E83" s="10"/>
      <c r="F83" s="226"/>
      <c r="G83" s="47">
        <v>1</v>
      </c>
      <c r="H83" s="72"/>
      <c r="I83" s="10"/>
      <c r="J83" s="46">
        <f t="shared" si="3"/>
        <v>1</v>
      </c>
      <c r="K83" s="46">
        <f t="shared" si="4"/>
        <v>0</v>
      </c>
      <c r="L83" s="69">
        <f t="shared" si="5"/>
        <v>0</v>
      </c>
      <c r="N83" s="29"/>
      <c r="O83" s="29"/>
      <c r="P83" s="29"/>
      <c r="Q83" s="29"/>
    </row>
    <row r="84" spans="2:17" x14ac:dyDescent="0.85">
      <c r="B84" s="48">
        <v>78</v>
      </c>
      <c r="C84" s="44"/>
      <c r="D84" s="50"/>
      <c r="E84" s="44"/>
      <c r="F84" s="227"/>
      <c r="G84" s="49">
        <v>1</v>
      </c>
      <c r="H84" s="73"/>
      <c r="I84" s="44"/>
      <c r="J84" s="48">
        <f t="shared" si="3"/>
        <v>1</v>
      </c>
      <c r="K84" s="48">
        <f t="shared" si="4"/>
        <v>0</v>
      </c>
      <c r="L84" s="68">
        <f t="shared" si="5"/>
        <v>0</v>
      </c>
      <c r="N84" s="29"/>
      <c r="O84" s="29"/>
      <c r="P84" s="29"/>
      <c r="Q84" s="29"/>
    </row>
    <row r="85" spans="2:17" x14ac:dyDescent="0.85">
      <c r="B85" s="46">
        <v>79</v>
      </c>
      <c r="C85" s="10"/>
      <c r="D85" s="66"/>
      <c r="E85" s="10"/>
      <c r="F85" s="226"/>
      <c r="G85" s="47">
        <v>1</v>
      </c>
      <c r="H85" s="72"/>
      <c r="I85" s="10"/>
      <c r="J85" s="46">
        <f t="shared" si="3"/>
        <v>1</v>
      </c>
      <c r="K85" s="46">
        <f t="shared" si="4"/>
        <v>0</v>
      </c>
      <c r="L85" s="69">
        <f t="shared" si="5"/>
        <v>0</v>
      </c>
      <c r="N85" s="29"/>
      <c r="O85" s="29"/>
      <c r="P85" s="29"/>
      <c r="Q85" s="29"/>
    </row>
    <row r="86" spans="2:17" x14ac:dyDescent="0.85">
      <c r="B86" s="48">
        <v>80</v>
      </c>
      <c r="C86" s="44"/>
      <c r="D86" s="50"/>
      <c r="E86" s="44"/>
      <c r="F86" s="227"/>
      <c r="G86" s="49">
        <v>1</v>
      </c>
      <c r="H86" s="73"/>
      <c r="I86" s="44"/>
      <c r="J86" s="48">
        <f t="shared" si="3"/>
        <v>1</v>
      </c>
      <c r="K86" s="48">
        <f t="shared" si="4"/>
        <v>0</v>
      </c>
      <c r="L86" s="68">
        <f t="shared" si="5"/>
        <v>0</v>
      </c>
      <c r="N86" s="29"/>
      <c r="O86" s="29"/>
      <c r="P86" s="29"/>
      <c r="Q86" s="29"/>
    </row>
    <row r="87" spans="2:17" x14ac:dyDescent="0.85">
      <c r="B87" s="46">
        <v>81</v>
      </c>
      <c r="C87" s="10"/>
      <c r="D87" s="66"/>
      <c r="E87" s="10"/>
      <c r="F87" s="226"/>
      <c r="G87" s="47">
        <v>1</v>
      </c>
      <c r="H87" s="72"/>
      <c r="I87" s="10"/>
      <c r="J87" s="46">
        <f t="shared" si="3"/>
        <v>1</v>
      </c>
      <c r="K87" s="46">
        <f t="shared" si="4"/>
        <v>0</v>
      </c>
      <c r="L87" s="69">
        <f t="shared" si="5"/>
        <v>0</v>
      </c>
      <c r="N87" s="29"/>
      <c r="O87" s="29"/>
      <c r="P87" s="29"/>
      <c r="Q87" s="29"/>
    </row>
    <row r="88" spans="2:17" x14ac:dyDescent="0.85">
      <c r="B88" s="48">
        <v>82</v>
      </c>
      <c r="C88" s="44"/>
      <c r="D88" s="50"/>
      <c r="E88" s="44"/>
      <c r="F88" s="227"/>
      <c r="G88" s="49">
        <v>1</v>
      </c>
      <c r="H88" s="73"/>
      <c r="I88" s="44"/>
      <c r="J88" s="48">
        <f t="shared" si="3"/>
        <v>1</v>
      </c>
      <c r="K88" s="48">
        <f t="shared" si="4"/>
        <v>0</v>
      </c>
      <c r="L88" s="68">
        <f t="shared" si="5"/>
        <v>0</v>
      </c>
      <c r="N88" s="29"/>
      <c r="O88" s="29"/>
      <c r="P88" s="29"/>
      <c r="Q88" s="29"/>
    </row>
    <row r="89" spans="2:17" x14ac:dyDescent="0.85">
      <c r="B89" s="46">
        <v>83</v>
      </c>
      <c r="C89" s="10"/>
      <c r="D89" s="66"/>
      <c r="E89" s="10"/>
      <c r="F89" s="226"/>
      <c r="G89" s="47">
        <v>1</v>
      </c>
      <c r="H89" s="72"/>
      <c r="I89" s="10"/>
      <c r="J89" s="46">
        <f t="shared" si="3"/>
        <v>1</v>
      </c>
      <c r="K89" s="46">
        <f t="shared" si="4"/>
        <v>0</v>
      </c>
      <c r="L89" s="69">
        <f t="shared" si="5"/>
        <v>0</v>
      </c>
      <c r="N89" s="29"/>
      <c r="O89" s="29"/>
      <c r="P89" s="29"/>
      <c r="Q89" s="29"/>
    </row>
    <row r="90" spans="2:17" x14ac:dyDescent="0.85">
      <c r="B90" s="48">
        <v>84</v>
      </c>
      <c r="C90" s="44"/>
      <c r="D90" s="50"/>
      <c r="E90" s="44"/>
      <c r="F90" s="227"/>
      <c r="G90" s="49">
        <v>1</v>
      </c>
      <c r="H90" s="73"/>
      <c r="I90" s="44"/>
      <c r="J90" s="48">
        <f t="shared" si="3"/>
        <v>1</v>
      </c>
      <c r="K90" s="48">
        <f t="shared" si="4"/>
        <v>0</v>
      </c>
      <c r="L90" s="68">
        <f t="shared" si="5"/>
        <v>0</v>
      </c>
      <c r="N90" s="29"/>
      <c r="O90" s="29"/>
      <c r="P90" s="29"/>
      <c r="Q90" s="29"/>
    </row>
    <row r="91" spans="2:17" x14ac:dyDescent="0.85">
      <c r="B91" s="46">
        <v>85</v>
      </c>
      <c r="C91" s="10"/>
      <c r="D91" s="66"/>
      <c r="E91" s="10"/>
      <c r="F91" s="226"/>
      <c r="G91" s="47">
        <v>1</v>
      </c>
      <c r="H91" s="72"/>
      <c r="I91" s="10"/>
      <c r="J91" s="46">
        <f t="shared" si="3"/>
        <v>1</v>
      </c>
      <c r="K91" s="46">
        <f t="shared" si="4"/>
        <v>0</v>
      </c>
      <c r="L91" s="69">
        <f t="shared" si="5"/>
        <v>0</v>
      </c>
      <c r="N91" s="29"/>
      <c r="O91" s="29"/>
      <c r="P91" s="29"/>
      <c r="Q91" s="29"/>
    </row>
    <row r="92" spans="2:17" x14ac:dyDescent="0.85">
      <c r="B92" s="48">
        <v>86</v>
      </c>
      <c r="C92" s="44"/>
      <c r="D92" s="50"/>
      <c r="E92" s="44"/>
      <c r="F92" s="227"/>
      <c r="G92" s="49">
        <v>1</v>
      </c>
      <c r="H92" s="73"/>
      <c r="I92" s="44"/>
      <c r="J92" s="48">
        <f t="shared" si="3"/>
        <v>1</v>
      </c>
      <c r="K92" s="48">
        <f t="shared" si="4"/>
        <v>0</v>
      </c>
      <c r="L92" s="68">
        <f t="shared" si="5"/>
        <v>0</v>
      </c>
      <c r="N92" s="29"/>
      <c r="O92" s="29"/>
      <c r="P92" s="29"/>
      <c r="Q92" s="29"/>
    </row>
    <row r="93" spans="2:17" x14ac:dyDescent="0.85">
      <c r="B93" s="46">
        <v>87</v>
      </c>
      <c r="C93" s="10"/>
      <c r="D93" s="66"/>
      <c r="E93" s="10"/>
      <c r="F93" s="226"/>
      <c r="G93" s="47">
        <v>1</v>
      </c>
      <c r="H93" s="72"/>
      <c r="I93" s="10"/>
      <c r="J93" s="46">
        <f t="shared" si="3"/>
        <v>1</v>
      </c>
      <c r="K93" s="46">
        <f t="shared" si="4"/>
        <v>0</v>
      </c>
      <c r="L93" s="69">
        <f t="shared" si="5"/>
        <v>0</v>
      </c>
      <c r="N93" s="29"/>
      <c r="O93" s="29"/>
      <c r="P93" s="29"/>
      <c r="Q93" s="29"/>
    </row>
    <row r="94" spans="2:17" x14ac:dyDescent="0.85">
      <c r="B94" s="48">
        <v>88</v>
      </c>
      <c r="C94" s="44"/>
      <c r="D94" s="50"/>
      <c r="E94" s="44"/>
      <c r="F94" s="227"/>
      <c r="G94" s="49">
        <v>1</v>
      </c>
      <c r="H94" s="73"/>
      <c r="I94" s="44"/>
      <c r="J94" s="48">
        <f t="shared" si="3"/>
        <v>1</v>
      </c>
      <c r="K94" s="48">
        <f t="shared" si="4"/>
        <v>0</v>
      </c>
      <c r="L94" s="68">
        <f t="shared" si="5"/>
        <v>0</v>
      </c>
      <c r="N94" s="29"/>
      <c r="O94" s="29"/>
      <c r="P94" s="29"/>
      <c r="Q94" s="29"/>
    </row>
    <row r="95" spans="2:17" x14ac:dyDescent="0.85">
      <c r="B95" s="46">
        <v>89</v>
      </c>
      <c r="C95" s="10"/>
      <c r="D95" s="66"/>
      <c r="E95" s="10"/>
      <c r="F95" s="226"/>
      <c r="G95" s="47">
        <v>1</v>
      </c>
      <c r="H95" s="72"/>
      <c r="I95" s="10"/>
      <c r="J95" s="46">
        <f t="shared" si="3"/>
        <v>1</v>
      </c>
      <c r="K95" s="46">
        <f t="shared" si="4"/>
        <v>0</v>
      </c>
      <c r="L95" s="69">
        <f t="shared" si="5"/>
        <v>0</v>
      </c>
      <c r="N95" s="29"/>
      <c r="O95" s="29"/>
      <c r="P95" s="29"/>
      <c r="Q95" s="29"/>
    </row>
    <row r="96" spans="2:17" x14ac:dyDescent="0.85">
      <c r="B96" s="48">
        <v>90</v>
      </c>
      <c r="C96" s="44"/>
      <c r="D96" s="50"/>
      <c r="E96" s="44"/>
      <c r="F96" s="227"/>
      <c r="G96" s="49">
        <v>1</v>
      </c>
      <c r="H96" s="73"/>
      <c r="I96" s="44"/>
      <c r="J96" s="48">
        <f t="shared" si="3"/>
        <v>1</v>
      </c>
      <c r="K96" s="48">
        <f t="shared" si="4"/>
        <v>0</v>
      </c>
      <c r="L96" s="68">
        <f t="shared" si="5"/>
        <v>0</v>
      </c>
      <c r="N96" s="29"/>
      <c r="O96" s="29"/>
      <c r="P96" s="29"/>
      <c r="Q96" s="29"/>
    </row>
    <row r="97" spans="2:17" x14ac:dyDescent="0.85">
      <c r="B97" s="46">
        <v>91</v>
      </c>
      <c r="C97" s="10"/>
      <c r="D97" s="66"/>
      <c r="E97" s="10"/>
      <c r="F97" s="226"/>
      <c r="G97" s="47">
        <v>1</v>
      </c>
      <c r="H97" s="72"/>
      <c r="I97" s="10"/>
      <c r="J97" s="46">
        <f t="shared" si="3"/>
        <v>1</v>
      </c>
      <c r="K97" s="46">
        <f t="shared" si="4"/>
        <v>0</v>
      </c>
      <c r="L97" s="69">
        <f t="shared" si="5"/>
        <v>0</v>
      </c>
      <c r="N97" s="29"/>
      <c r="O97" s="29"/>
      <c r="P97" s="29"/>
      <c r="Q97" s="29"/>
    </row>
    <row r="98" spans="2:17" x14ac:dyDescent="0.85">
      <c r="B98" s="48">
        <v>92</v>
      </c>
      <c r="C98" s="44"/>
      <c r="D98" s="50"/>
      <c r="E98" s="44"/>
      <c r="F98" s="227"/>
      <c r="G98" s="49">
        <v>1</v>
      </c>
      <c r="H98" s="73"/>
      <c r="I98" s="44"/>
      <c r="J98" s="48">
        <f t="shared" si="3"/>
        <v>1</v>
      </c>
      <c r="K98" s="48">
        <f t="shared" si="4"/>
        <v>0</v>
      </c>
      <c r="L98" s="68">
        <f t="shared" si="5"/>
        <v>0</v>
      </c>
      <c r="N98" s="29"/>
      <c r="O98" s="29"/>
      <c r="P98" s="29"/>
      <c r="Q98" s="29"/>
    </row>
    <row r="99" spans="2:17" x14ac:dyDescent="0.85">
      <c r="B99" s="46">
        <v>93</v>
      </c>
      <c r="C99" s="10"/>
      <c r="D99" s="66"/>
      <c r="E99" s="10"/>
      <c r="F99" s="226"/>
      <c r="G99" s="47">
        <v>1</v>
      </c>
      <c r="H99" s="72"/>
      <c r="I99" s="10"/>
      <c r="J99" s="46">
        <f t="shared" si="3"/>
        <v>1</v>
      </c>
      <c r="K99" s="46">
        <f t="shared" si="4"/>
        <v>0</v>
      </c>
      <c r="L99" s="69">
        <f t="shared" si="5"/>
        <v>0</v>
      </c>
      <c r="N99" s="29"/>
      <c r="O99" s="29"/>
      <c r="P99" s="29"/>
      <c r="Q99" s="29"/>
    </row>
    <row r="100" spans="2:17" x14ac:dyDescent="0.85">
      <c r="B100" s="48">
        <v>94</v>
      </c>
      <c r="C100" s="44"/>
      <c r="D100" s="50"/>
      <c r="E100" s="44"/>
      <c r="F100" s="227"/>
      <c r="G100" s="49">
        <v>1</v>
      </c>
      <c r="H100" s="73"/>
      <c r="I100" s="44"/>
      <c r="J100" s="48">
        <f t="shared" si="3"/>
        <v>1</v>
      </c>
      <c r="K100" s="48">
        <f t="shared" si="4"/>
        <v>0</v>
      </c>
      <c r="L100" s="68">
        <f t="shared" si="5"/>
        <v>0</v>
      </c>
      <c r="N100" s="29"/>
      <c r="O100" s="29"/>
      <c r="P100" s="29"/>
      <c r="Q100" s="29"/>
    </row>
    <row r="101" spans="2:17" x14ac:dyDescent="0.85">
      <c r="B101" s="46">
        <v>95</v>
      </c>
      <c r="C101" s="10"/>
      <c r="D101" s="66"/>
      <c r="E101" s="10"/>
      <c r="F101" s="226"/>
      <c r="G101" s="47">
        <v>1</v>
      </c>
      <c r="H101" s="72"/>
      <c r="I101" s="10"/>
      <c r="J101" s="46">
        <f t="shared" si="3"/>
        <v>1</v>
      </c>
      <c r="K101" s="46">
        <f t="shared" si="4"/>
        <v>0</v>
      </c>
      <c r="L101" s="69">
        <f t="shared" si="5"/>
        <v>0</v>
      </c>
      <c r="N101" s="29"/>
      <c r="O101" s="29"/>
      <c r="P101" s="29"/>
      <c r="Q101" s="29"/>
    </row>
    <row r="102" spans="2:17" x14ac:dyDescent="0.85">
      <c r="B102" s="48">
        <v>96</v>
      </c>
      <c r="C102" s="44"/>
      <c r="D102" s="50"/>
      <c r="E102" s="44"/>
      <c r="F102" s="227"/>
      <c r="G102" s="49">
        <v>1</v>
      </c>
      <c r="H102" s="73"/>
      <c r="I102" s="44"/>
      <c r="J102" s="48">
        <f t="shared" si="3"/>
        <v>1</v>
      </c>
      <c r="K102" s="48">
        <f t="shared" si="4"/>
        <v>0</v>
      </c>
      <c r="L102" s="68">
        <f t="shared" si="5"/>
        <v>0</v>
      </c>
      <c r="N102" s="29"/>
      <c r="O102" s="29"/>
      <c r="P102" s="29"/>
      <c r="Q102" s="29"/>
    </row>
    <row r="103" spans="2:17" x14ac:dyDescent="0.85">
      <c r="B103" s="46">
        <v>97</v>
      </c>
      <c r="C103" s="10"/>
      <c r="D103" s="66"/>
      <c r="E103" s="10"/>
      <c r="F103" s="226"/>
      <c r="G103" s="47">
        <v>1</v>
      </c>
      <c r="H103" s="72"/>
      <c r="I103" s="10"/>
      <c r="J103" s="46">
        <f t="shared" si="3"/>
        <v>1</v>
      </c>
      <c r="K103" s="46">
        <f t="shared" si="4"/>
        <v>0</v>
      </c>
      <c r="L103" s="69">
        <f t="shared" si="5"/>
        <v>0</v>
      </c>
      <c r="N103" s="29"/>
      <c r="O103" s="29"/>
      <c r="P103" s="29"/>
      <c r="Q103" s="29"/>
    </row>
    <row r="104" spans="2:17" x14ac:dyDescent="0.85">
      <c r="B104" s="48">
        <v>98</v>
      </c>
      <c r="C104" s="44"/>
      <c r="D104" s="50"/>
      <c r="E104" s="44"/>
      <c r="F104" s="227"/>
      <c r="G104" s="49">
        <v>1</v>
      </c>
      <c r="H104" s="73"/>
      <c r="I104" s="44"/>
      <c r="J104" s="48">
        <f t="shared" si="3"/>
        <v>1</v>
      </c>
      <c r="K104" s="48">
        <f t="shared" si="4"/>
        <v>0</v>
      </c>
      <c r="L104" s="68">
        <f t="shared" si="5"/>
        <v>0</v>
      </c>
      <c r="N104" s="29"/>
      <c r="O104" s="29"/>
      <c r="P104" s="29"/>
      <c r="Q104" s="29"/>
    </row>
    <row r="105" spans="2:17" x14ac:dyDescent="0.85">
      <c r="B105" s="46">
        <v>99</v>
      </c>
      <c r="C105" s="10"/>
      <c r="D105" s="66"/>
      <c r="E105" s="10"/>
      <c r="F105" s="226"/>
      <c r="G105" s="47">
        <v>1</v>
      </c>
      <c r="H105" s="72"/>
      <c r="I105" s="10"/>
      <c r="J105" s="46">
        <f t="shared" si="3"/>
        <v>1</v>
      </c>
      <c r="K105" s="46">
        <f t="shared" si="4"/>
        <v>0</v>
      </c>
      <c r="L105" s="69">
        <f t="shared" si="5"/>
        <v>0</v>
      </c>
      <c r="N105" s="29"/>
      <c r="O105" s="29"/>
      <c r="P105" s="29"/>
      <c r="Q105" s="29"/>
    </row>
    <row r="106" spans="2:17" x14ac:dyDescent="0.85">
      <c r="B106" s="48">
        <v>100</v>
      </c>
      <c r="C106" s="44"/>
      <c r="D106" s="50"/>
      <c r="E106" s="44"/>
      <c r="F106" s="227"/>
      <c r="G106" s="49">
        <v>1</v>
      </c>
      <c r="H106" s="73"/>
      <c r="I106" s="44"/>
      <c r="J106" s="48">
        <f t="shared" si="3"/>
        <v>1</v>
      </c>
      <c r="K106" s="48">
        <f t="shared" si="4"/>
        <v>0</v>
      </c>
      <c r="L106" s="68">
        <f t="shared" si="5"/>
        <v>0</v>
      </c>
      <c r="N106" s="29"/>
      <c r="O106" s="29"/>
      <c r="P106" s="29"/>
      <c r="Q106" s="29"/>
    </row>
    <row r="107" spans="2:17" x14ac:dyDescent="0.85">
      <c r="B107" s="46">
        <v>101</v>
      </c>
      <c r="C107" s="10"/>
      <c r="D107" s="66"/>
      <c r="E107" s="10"/>
      <c r="F107" s="226"/>
      <c r="G107" s="47">
        <v>1</v>
      </c>
      <c r="H107" s="72"/>
      <c r="I107" s="10"/>
      <c r="J107" s="46">
        <f t="shared" si="3"/>
        <v>1</v>
      </c>
      <c r="K107" s="46">
        <f t="shared" si="4"/>
        <v>0</v>
      </c>
      <c r="L107" s="69">
        <f t="shared" si="5"/>
        <v>0</v>
      </c>
      <c r="N107" s="29"/>
      <c r="O107" s="29"/>
      <c r="P107" s="29"/>
      <c r="Q107" s="29"/>
    </row>
    <row r="108" spans="2:17" x14ac:dyDescent="0.85">
      <c r="B108" s="48">
        <v>102</v>
      </c>
      <c r="C108" s="44"/>
      <c r="D108" s="50"/>
      <c r="E108" s="44"/>
      <c r="F108" s="227"/>
      <c r="G108" s="49">
        <v>1</v>
      </c>
      <c r="H108" s="73"/>
      <c r="I108" s="44"/>
      <c r="J108" s="48">
        <f t="shared" si="3"/>
        <v>1</v>
      </c>
      <c r="K108" s="48">
        <f t="shared" si="4"/>
        <v>0</v>
      </c>
      <c r="L108" s="68">
        <f t="shared" si="5"/>
        <v>0</v>
      </c>
      <c r="N108" s="29"/>
      <c r="O108" s="29"/>
      <c r="P108" s="29"/>
      <c r="Q108" s="29"/>
    </row>
    <row r="109" spans="2:17" x14ac:dyDescent="0.85">
      <c r="B109" s="46">
        <v>103</v>
      </c>
      <c r="C109" s="10"/>
      <c r="D109" s="66"/>
      <c r="E109" s="10"/>
      <c r="F109" s="226"/>
      <c r="G109" s="47">
        <v>1</v>
      </c>
      <c r="H109" s="72"/>
      <c r="I109" s="10"/>
      <c r="J109" s="46">
        <f t="shared" si="3"/>
        <v>1</v>
      </c>
      <c r="K109" s="46">
        <f t="shared" si="4"/>
        <v>0</v>
      </c>
      <c r="L109" s="69">
        <f t="shared" si="5"/>
        <v>0</v>
      </c>
      <c r="N109" s="29"/>
      <c r="O109" s="29"/>
      <c r="P109" s="29"/>
      <c r="Q109" s="29"/>
    </row>
    <row r="110" spans="2:17" x14ac:dyDescent="0.85">
      <c r="B110" s="48">
        <v>104</v>
      </c>
      <c r="C110" s="44"/>
      <c r="D110" s="50"/>
      <c r="E110" s="44"/>
      <c r="F110" s="227"/>
      <c r="G110" s="49">
        <v>1</v>
      </c>
      <c r="H110" s="73"/>
      <c r="I110" s="44"/>
      <c r="J110" s="48">
        <f t="shared" si="3"/>
        <v>1</v>
      </c>
      <c r="K110" s="48">
        <f t="shared" si="4"/>
        <v>0</v>
      </c>
      <c r="L110" s="68">
        <f t="shared" si="5"/>
        <v>0</v>
      </c>
      <c r="N110" s="29"/>
      <c r="O110" s="29"/>
      <c r="P110" s="29"/>
      <c r="Q110" s="29"/>
    </row>
    <row r="111" spans="2:17" x14ac:dyDescent="0.85">
      <c r="B111" s="46">
        <v>105</v>
      </c>
      <c r="C111" s="10"/>
      <c r="D111" s="66"/>
      <c r="E111" s="10"/>
      <c r="F111" s="226"/>
      <c r="G111" s="47">
        <v>1</v>
      </c>
      <c r="H111" s="72"/>
      <c r="I111" s="10"/>
      <c r="J111" s="46">
        <f t="shared" si="3"/>
        <v>1</v>
      </c>
      <c r="K111" s="46">
        <f t="shared" si="4"/>
        <v>0</v>
      </c>
      <c r="L111" s="69">
        <f t="shared" si="5"/>
        <v>0</v>
      </c>
      <c r="N111" s="29"/>
      <c r="O111" s="29"/>
      <c r="P111" s="29"/>
      <c r="Q111" s="29"/>
    </row>
    <row r="112" spans="2:17" x14ac:dyDescent="0.85">
      <c r="B112" s="48">
        <v>106</v>
      </c>
      <c r="C112" s="44"/>
      <c r="D112" s="50"/>
      <c r="E112" s="44"/>
      <c r="F112" s="227"/>
      <c r="G112" s="49">
        <v>1</v>
      </c>
      <c r="H112" s="73"/>
      <c r="I112" s="44"/>
      <c r="J112" s="48">
        <f t="shared" si="3"/>
        <v>1</v>
      </c>
      <c r="K112" s="48">
        <f t="shared" si="4"/>
        <v>0</v>
      </c>
      <c r="L112" s="68">
        <f t="shared" si="5"/>
        <v>0</v>
      </c>
      <c r="N112" s="29"/>
      <c r="O112" s="29"/>
      <c r="P112" s="29"/>
      <c r="Q112" s="29"/>
    </row>
    <row r="113" spans="2:17" x14ac:dyDescent="0.85">
      <c r="B113" s="46">
        <v>107</v>
      </c>
      <c r="C113" s="10"/>
      <c r="D113" s="66"/>
      <c r="E113" s="10"/>
      <c r="F113" s="226"/>
      <c r="G113" s="47">
        <v>1</v>
      </c>
      <c r="H113" s="72"/>
      <c r="I113" s="10"/>
      <c r="J113" s="46">
        <f t="shared" si="3"/>
        <v>1</v>
      </c>
      <c r="K113" s="46">
        <f t="shared" si="4"/>
        <v>0</v>
      </c>
      <c r="L113" s="69">
        <f t="shared" si="5"/>
        <v>0</v>
      </c>
      <c r="N113" s="29"/>
      <c r="O113" s="29"/>
      <c r="P113" s="29"/>
      <c r="Q113" s="29"/>
    </row>
    <row r="114" spans="2:17" x14ac:dyDescent="0.85">
      <c r="B114" s="48">
        <v>108</v>
      </c>
      <c r="C114" s="44"/>
      <c r="D114" s="50"/>
      <c r="E114" s="44"/>
      <c r="F114" s="227"/>
      <c r="G114" s="49">
        <v>1</v>
      </c>
      <c r="H114" s="73"/>
      <c r="I114" s="44"/>
      <c r="J114" s="48">
        <f t="shared" si="3"/>
        <v>1</v>
      </c>
      <c r="K114" s="48">
        <f t="shared" si="4"/>
        <v>0</v>
      </c>
      <c r="L114" s="68">
        <f t="shared" si="5"/>
        <v>0</v>
      </c>
      <c r="N114" s="29"/>
      <c r="O114" s="29"/>
      <c r="P114" s="29"/>
      <c r="Q114" s="29"/>
    </row>
    <row r="115" spans="2:17" x14ac:dyDescent="0.85">
      <c r="B115" s="46">
        <v>109</v>
      </c>
      <c r="C115" s="10"/>
      <c r="D115" s="66"/>
      <c r="E115" s="10"/>
      <c r="F115" s="226"/>
      <c r="G115" s="47">
        <v>1</v>
      </c>
      <c r="H115" s="72"/>
      <c r="I115" s="10"/>
      <c r="J115" s="46">
        <f t="shared" si="3"/>
        <v>1</v>
      </c>
      <c r="K115" s="46">
        <f t="shared" si="4"/>
        <v>0</v>
      </c>
      <c r="L115" s="69">
        <f t="shared" si="5"/>
        <v>0</v>
      </c>
      <c r="N115" s="29"/>
      <c r="O115" s="29"/>
      <c r="P115" s="29"/>
      <c r="Q115" s="29"/>
    </row>
    <row r="116" spans="2:17" x14ac:dyDescent="0.85">
      <c r="B116" s="48">
        <v>110</v>
      </c>
      <c r="C116" s="44"/>
      <c r="D116" s="50"/>
      <c r="E116" s="44"/>
      <c r="F116" s="227"/>
      <c r="G116" s="49">
        <v>1</v>
      </c>
      <c r="H116" s="73"/>
      <c r="I116" s="44"/>
      <c r="J116" s="48">
        <f t="shared" si="3"/>
        <v>1</v>
      </c>
      <c r="K116" s="48">
        <f t="shared" si="4"/>
        <v>0</v>
      </c>
      <c r="L116" s="68">
        <f t="shared" si="5"/>
        <v>0</v>
      </c>
      <c r="N116" s="29"/>
      <c r="O116" s="29"/>
      <c r="P116" s="29"/>
      <c r="Q116" s="29"/>
    </row>
    <row r="117" spans="2:17" x14ac:dyDescent="0.85">
      <c r="B117" s="46">
        <v>111</v>
      </c>
      <c r="C117" s="10"/>
      <c r="D117" s="66"/>
      <c r="E117" s="10"/>
      <c r="F117" s="226"/>
      <c r="G117" s="47">
        <v>1</v>
      </c>
      <c r="H117" s="72"/>
      <c r="I117" s="10"/>
      <c r="J117" s="46">
        <f t="shared" si="3"/>
        <v>1</v>
      </c>
      <c r="K117" s="46">
        <f t="shared" si="4"/>
        <v>0</v>
      </c>
      <c r="L117" s="69">
        <f t="shared" si="5"/>
        <v>0</v>
      </c>
      <c r="N117" s="29"/>
      <c r="O117" s="29"/>
      <c r="P117" s="29"/>
      <c r="Q117" s="29"/>
    </row>
    <row r="118" spans="2:17" x14ac:dyDescent="0.85">
      <c r="B118" s="48">
        <v>112</v>
      </c>
      <c r="C118" s="44"/>
      <c r="D118" s="50"/>
      <c r="E118" s="44"/>
      <c r="F118" s="227"/>
      <c r="G118" s="49">
        <v>1</v>
      </c>
      <c r="H118" s="73"/>
      <c r="I118" s="44"/>
      <c r="J118" s="48">
        <f t="shared" si="3"/>
        <v>1</v>
      </c>
      <c r="K118" s="48">
        <f t="shared" si="4"/>
        <v>0</v>
      </c>
      <c r="L118" s="68">
        <f t="shared" si="5"/>
        <v>0</v>
      </c>
      <c r="N118" s="29"/>
      <c r="O118" s="29"/>
      <c r="P118" s="29"/>
      <c r="Q118" s="29"/>
    </row>
    <row r="119" spans="2:17" x14ac:dyDescent="0.85">
      <c r="B119" s="46">
        <v>113</v>
      </c>
      <c r="C119" s="10"/>
      <c r="D119" s="66"/>
      <c r="E119" s="10"/>
      <c r="F119" s="226"/>
      <c r="G119" s="47">
        <v>1</v>
      </c>
      <c r="H119" s="72"/>
      <c r="I119" s="10"/>
      <c r="J119" s="46">
        <f t="shared" si="3"/>
        <v>1</v>
      </c>
      <c r="K119" s="46">
        <f t="shared" si="4"/>
        <v>0</v>
      </c>
      <c r="L119" s="69">
        <f t="shared" si="5"/>
        <v>0</v>
      </c>
      <c r="N119" s="29"/>
      <c r="O119" s="29"/>
      <c r="P119" s="29"/>
      <c r="Q119" s="29"/>
    </row>
    <row r="120" spans="2:17" x14ac:dyDescent="0.85">
      <c r="B120" s="48">
        <v>114</v>
      </c>
      <c r="C120" s="44"/>
      <c r="D120" s="50"/>
      <c r="E120" s="44"/>
      <c r="F120" s="227"/>
      <c r="G120" s="49">
        <v>1</v>
      </c>
      <c r="H120" s="73"/>
      <c r="I120" s="44"/>
      <c r="J120" s="48">
        <f t="shared" si="3"/>
        <v>1</v>
      </c>
      <c r="K120" s="48">
        <f t="shared" si="4"/>
        <v>0</v>
      </c>
      <c r="L120" s="68">
        <f t="shared" si="5"/>
        <v>0</v>
      </c>
      <c r="N120" s="29"/>
      <c r="O120" s="29"/>
      <c r="P120" s="29"/>
      <c r="Q120" s="29"/>
    </row>
    <row r="121" spans="2:17" x14ac:dyDescent="0.85">
      <c r="B121" s="46">
        <v>115</v>
      </c>
      <c r="C121" s="10"/>
      <c r="D121" s="66"/>
      <c r="E121" s="10"/>
      <c r="F121" s="226"/>
      <c r="G121" s="47">
        <v>1</v>
      </c>
      <c r="H121" s="72"/>
      <c r="I121" s="10"/>
      <c r="J121" s="46">
        <f t="shared" si="3"/>
        <v>1</v>
      </c>
      <c r="K121" s="46">
        <f t="shared" si="4"/>
        <v>0</v>
      </c>
      <c r="L121" s="69">
        <f t="shared" si="5"/>
        <v>0</v>
      </c>
      <c r="N121" s="29"/>
      <c r="O121" s="29"/>
      <c r="P121" s="29"/>
      <c r="Q121" s="29"/>
    </row>
    <row r="122" spans="2:17" x14ac:dyDescent="0.85">
      <c r="B122" s="48">
        <v>116</v>
      </c>
      <c r="C122" s="44"/>
      <c r="D122" s="50"/>
      <c r="E122" s="44"/>
      <c r="F122" s="227"/>
      <c r="G122" s="49">
        <v>1</v>
      </c>
      <c r="H122" s="73"/>
      <c r="I122" s="44"/>
      <c r="J122" s="48">
        <f t="shared" si="3"/>
        <v>1</v>
      </c>
      <c r="K122" s="48">
        <f t="shared" si="4"/>
        <v>0</v>
      </c>
      <c r="L122" s="68">
        <f t="shared" si="5"/>
        <v>0</v>
      </c>
      <c r="N122" s="29"/>
      <c r="O122" s="29"/>
      <c r="P122" s="29"/>
      <c r="Q122" s="29"/>
    </row>
    <row r="123" spans="2:17" x14ac:dyDescent="0.85">
      <c r="B123" s="46">
        <v>117</v>
      </c>
      <c r="C123" s="10"/>
      <c r="D123" s="66"/>
      <c r="E123" s="10"/>
      <c r="F123" s="226"/>
      <c r="G123" s="47">
        <v>1</v>
      </c>
      <c r="H123" s="72"/>
      <c r="I123" s="10"/>
      <c r="J123" s="46">
        <f t="shared" si="3"/>
        <v>1</v>
      </c>
      <c r="K123" s="46">
        <f t="shared" si="4"/>
        <v>0</v>
      </c>
      <c r="L123" s="69">
        <f t="shared" si="5"/>
        <v>0</v>
      </c>
      <c r="N123" s="29"/>
      <c r="O123" s="29"/>
      <c r="P123" s="29"/>
      <c r="Q123" s="29"/>
    </row>
    <row r="124" spans="2:17" x14ac:dyDescent="0.85">
      <c r="B124" s="48">
        <v>118</v>
      </c>
      <c r="C124" s="44"/>
      <c r="D124" s="50"/>
      <c r="E124" s="44"/>
      <c r="F124" s="227"/>
      <c r="G124" s="49">
        <v>1</v>
      </c>
      <c r="H124" s="73"/>
      <c r="I124" s="44"/>
      <c r="J124" s="48">
        <f t="shared" si="3"/>
        <v>1</v>
      </c>
      <c r="K124" s="48">
        <f t="shared" si="4"/>
        <v>0</v>
      </c>
      <c r="L124" s="68">
        <f t="shared" si="5"/>
        <v>0</v>
      </c>
      <c r="N124" s="29"/>
      <c r="O124" s="29"/>
      <c r="P124" s="29"/>
      <c r="Q124" s="29"/>
    </row>
    <row r="125" spans="2:17" x14ac:dyDescent="0.85">
      <c r="B125" s="46">
        <v>119</v>
      </c>
      <c r="C125" s="10"/>
      <c r="D125" s="66"/>
      <c r="E125" s="10"/>
      <c r="F125" s="226"/>
      <c r="G125" s="47">
        <v>1</v>
      </c>
      <c r="H125" s="72"/>
      <c r="I125" s="10"/>
      <c r="J125" s="46">
        <f t="shared" si="3"/>
        <v>1</v>
      </c>
      <c r="K125" s="46">
        <f t="shared" si="4"/>
        <v>0</v>
      </c>
      <c r="L125" s="69">
        <f t="shared" si="5"/>
        <v>0</v>
      </c>
      <c r="N125" s="29"/>
      <c r="O125" s="29"/>
      <c r="P125" s="29"/>
      <c r="Q125" s="29"/>
    </row>
    <row r="126" spans="2:17" x14ac:dyDescent="0.85">
      <c r="B126" s="48">
        <v>120</v>
      </c>
      <c r="C126" s="44"/>
      <c r="D126" s="50"/>
      <c r="E126" s="44"/>
      <c r="F126" s="227"/>
      <c r="G126" s="49">
        <v>1</v>
      </c>
      <c r="H126" s="73"/>
      <c r="I126" s="44"/>
      <c r="J126" s="48">
        <f t="shared" si="3"/>
        <v>1</v>
      </c>
      <c r="K126" s="48">
        <f t="shared" si="4"/>
        <v>0</v>
      </c>
      <c r="L126" s="68">
        <f t="shared" si="5"/>
        <v>0</v>
      </c>
      <c r="N126" s="29"/>
      <c r="O126" s="29"/>
      <c r="P126" s="29"/>
      <c r="Q126" s="29"/>
    </row>
    <row r="127" spans="2:17" x14ac:dyDescent="0.85">
      <c r="B127" s="46">
        <v>121</v>
      </c>
      <c r="C127" s="10"/>
      <c r="D127" s="66"/>
      <c r="E127" s="10"/>
      <c r="F127" s="226"/>
      <c r="G127" s="47">
        <v>1</v>
      </c>
      <c r="H127" s="72"/>
      <c r="I127" s="10"/>
      <c r="J127" s="46">
        <f t="shared" si="3"/>
        <v>1</v>
      </c>
      <c r="K127" s="46">
        <f t="shared" si="4"/>
        <v>0</v>
      </c>
      <c r="L127" s="69">
        <f t="shared" si="5"/>
        <v>0</v>
      </c>
      <c r="N127" s="29"/>
      <c r="O127" s="29"/>
      <c r="P127" s="29"/>
      <c r="Q127" s="29"/>
    </row>
    <row r="128" spans="2:17" x14ac:dyDescent="0.85">
      <c r="B128" s="48">
        <v>122</v>
      </c>
      <c r="C128" s="44"/>
      <c r="D128" s="50"/>
      <c r="E128" s="44"/>
      <c r="F128" s="227"/>
      <c r="G128" s="49">
        <v>1</v>
      </c>
      <c r="H128" s="73"/>
      <c r="I128" s="44"/>
      <c r="J128" s="48">
        <f t="shared" si="3"/>
        <v>1</v>
      </c>
      <c r="K128" s="48">
        <f t="shared" si="4"/>
        <v>0</v>
      </c>
      <c r="L128" s="68">
        <f t="shared" si="5"/>
        <v>0</v>
      </c>
      <c r="N128" s="29"/>
      <c r="O128" s="29"/>
      <c r="P128" s="29"/>
      <c r="Q128" s="29"/>
    </row>
    <row r="129" spans="2:17" x14ac:dyDescent="0.85">
      <c r="B129" s="46">
        <v>123</v>
      </c>
      <c r="C129" s="10"/>
      <c r="D129" s="66"/>
      <c r="E129" s="10"/>
      <c r="F129" s="226"/>
      <c r="G129" s="47">
        <v>1</v>
      </c>
      <c r="H129" s="72"/>
      <c r="I129" s="10"/>
      <c r="J129" s="46">
        <f t="shared" si="3"/>
        <v>1</v>
      </c>
      <c r="K129" s="46">
        <f t="shared" si="4"/>
        <v>0</v>
      </c>
      <c r="L129" s="69">
        <f t="shared" si="5"/>
        <v>0</v>
      </c>
      <c r="N129" s="29"/>
      <c r="O129" s="29"/>
      <c r="P129" s="29"/>
      <c r="Q129" s="29"/>
    </row>
    <row r="130" spans="2:17" x14ac:dyDescent="0.85">
      <c r="B130" s="48">
        <v>124</v>
      </c>
      <c r="C130" s="44"/>
      <c r="D130" s="50"/>
      <c r="E130" s="44"/>
      <c r="F130" s="227"/>
      <c r="G130" s="49">
        <v>1</v>
      </c>
      <c r="H130" s="73"/>
      <c r="I130" s="44"/>
      <c r="J130" s="48">
        <f t="shared" si="3"/>
        <v>1</v>
      </c>
      <c r="K130" s="48">
        <f t="shared" si="4"/>
        <v>0</v>
      </c>
      <c r="L130" s="68">
        <f t="shared" si="5"/>
        <v>0</v>
      </c>
      <c r="N130" s="29"/>
      <c r="O130" s="29"/>
      <c r="P130" s="29"/>
      <c r="Q130" s="29"/>
    </row>
    <row r="131" spans="2:17" x14ac:dyDescent="0.85">
      <c r="B131" s="46">
        <v>125</v>
      </c>
      <c r="C131" s="10"/>
      <c r="D131" s="66"/>
      <c r="E131" s="10"/>
      <c r="F131" s="226"/>
      <c r="G131" s="47">
        <v>1</v>
      </c>
      <c r="H131" s="72"/>
      <c r="I131" s="10"/>
      <c r="J131" s="46">
        <f t="shared" si="3"/>
        <v>1</v>
      </c>
      <c r="K131" s="46">
        <f t="shared" si="4"/>
        <v>0</v>
      </c>
      <c r="L131" s="69">
        <f t="shared" si="5"/>
        <v>0</v>
      </c>
      <c r="N131" s="29"/>
      <c r="O131" s="29"/>
      <c r="P131" s="29"/>
      <c r="Q131" s="29"/>
    </row>
    <row r="132" spans="2:17" x14ac:dyDescent="0.85">
      <c r="B132" s="48">
        <v>126</v>
      </c>
      <c r="C132" s="44"/>
      <c r="D132" s="50"/>
      <c r="E132" s="44"/>
      <c r="F132" s="227"/>
      <c r="G132" s="49">
        <v>1</v>
      </c>
      <c r="H132" s="73"/>
      <c r="I132" s="44"/>
      <c r="J132" s="48">
        <f t="shared" si="3"/>
        <v>1</v>
      </c>
      <c r="K132" s="48">
        <f t="shared" si="4"/>
        <v>0</v>
      </c>
      <c r="L132" s="68">
        <f t="shared" si="5"/>
        <v>0</v>
      </c>
      <c r="N132" s="29"/>
      <c r="O132" s="29"/>
      <c r="P132" s="29"/>
      <c r="Q132" s="29"/>
    </row>
    <row r="133" spans="2:17" x14ac:dyDescent="0.85">
      <c r="B133" s="46">
        <v>127</v>
      </c>
      <c r="C133" s="10"/>
      <c r="D133" s="66"/>
      <c r="E133" s="10"/>
      <c r="F133" s="226"/>
      <c r="G133" s="47">
        <v>1</v>
      </c>
      <c r="H133" s="72"/>
      <c r="I133" s="10"/>
      <c r="J133" s="46">
        <f t="shared" si="3"/>
        <v>1</v>
      </c>
      <c r="K133" s="46">
        <f t="shared" si="4"/>
        <v>0</v>
      </c>
      <c r="L133" s="69">
        <f t="shared" si="5"/>
        <v>0</v>
      </c>
      <c r="N133" s="29"/>
      <c r="O133" s="29"/>
      <c r="P133" s="29"/>
      <c r="Q133" s="29"/>
    </row>
    <row r="134" spans="2:17" x14ac:dyDescent="0.85">
      <c r="B134" s="48">
        <v>128</v>
      </c>
      <c r="C134" s="44"/>
      <c r="D134" s="50"/>
      <c r="E134" s="44"/>
      <c r="F134" s="227"/>
      <c r="G134" s="49">
        <v>1</v>
      </c>
      <c r="H134" s="73"/>
      <c r="I134" s="44"/>
      <c r="J134" s="48">
        <f t="shared" si="3"/>
        <v>1</v>
      </c>
      <c r="K134" s="48">
        <f t="shared" si="4"/>
        <v>0</v>
      </c>
      <c r="L134" s="68">
        <f t="shared" si="5"/>
        <v>0</v>
      </c>
      <c r="N134" s="29"/>
      <c r="O134" s="29"/>
      <c r="P134" s="29"/>
      <c r="Q134" s="29"/>
    </row>
    <row r="135" spans="2:17" x14ac:dyDescent="0.85">
      <c r="B135" s="46">
        <v>129</v>
      </c>
      <c r="C135" s="10"/>
      <c r="D135" s="66"/>
      <c r="E135" s="10"/>
      <c r="F135" s="226"/>
      <c r="G135" s="47">
        <v>1</v>
      </c>
      <c r="H135" s="72"/>
      <c r="I135" s="10"/>
      <c r="J135" s="46">
        <f t="shared" ref="J135:J198" si="6">IF(ISBLANK(H135),1,H135)</f>
        <v>1</v>
      </c>
      <c r="K135" s="46">
        <f t="shared" ref="K135:K198" si="7">IF(COUNTIF(FreeElements, E135)&gt;0, F135, 0)</f>
        <v>0</v>
      </c>
      <c r="L135" s="69">
        <f t="shared" ref="L135:L198" si="8">J135*K135</f>
        <v>0</v>
      </c>
      <c r="N135" s="29"/>
      <c r="O135" s="29"/>
      <c r="P135" s="29"/>
      <c r="Q135" s="29"/>
    </row>
    <row r="136" spans="2:17" x14ac:dyDescent="0.85">
      <c r="B136" s="48">
        <v>130</v>
      </c>
      <c r="C136" s="44"/>
      <c r="D136" s="50"/>
      <c r="E136" s="44"/>
      <c r="F136" s="227"/>
      <c r="G136" s="49">
        <v>1</v>
      </c>
      <c r="H136" s="73"/>
      <c r="I136" s="44"/>
      <c r="J136" s="48">
        <f t="shared" si="6"/>
        <v>1</v>
      </c>
      <c r="K136" s="48">
        <f t="shared" si="7"/>
        <v>0</v>
      </c>
      <c r="L136" s="68">
        <f t="shared" si="8"/>
        <v>0</v>
      </c>
      <c r="N136" s="29"/>
      <c r="O136" s="29"/>
      <c r="P136" s="29"/>
      <c r="Q136" s="29"/>
    </row>
    <row r="137" spans="2:17" x14ac:dyDescent="0.85">
      <c r="B137" s="46">
        <v>131</v>
      </c>
      <c r="C137" s="10"/>
      <c r="D137" s="66"/>
      <c r="E137" s="10"/>
      <c r="F137" s="226"/>
      <c r="G137" s="47">
        <v>1</v>
      </c>
      <c r="H137" s="72"/>
      <c r="I137" s="10"/>
      <c r="J137" s="46">
        <f t="shared" si="6"/>
        <v>1</v>
      </c>
      <c r="K137" s="46">
        <f t="shared" si="7"/>
        <v>0</v>
      </c>
      <c r="L137" s="69">
        <f t="shared" si="8"/>
        <v>0</v>
      </c>
      <c r="N137" s="29"/>
      <c r="O137" s="29"/>
      <c r="P137" s="29"/>
      <c r="Q137" s="29"/>
    </row>
    <row r="138" spans="2:17" x14ac:dyDescent="0.85">
      <c r="B138" s="48">
        <v>132</v>
      </c>
      <c r="C138" s="44"/>
      <c r="D138" s="50"/>
      <c r="E138" s="44"/>
      <c r="F138" s="227"/>
      <c r="G138" s="49">
        <v>1</v>
      </c>
      <c r="H138" s="73"/>
      <c r="I138" s="44"/>
      <c r="J138" s="48">
        <f t="shared" si="6"/>
        <v>1</v>
      </c>
      <c r="K138" s="48">
        <f t="shared" si="7"/>
        <v>0</v>
      </c>
      <c r="L138" s="68">
        <f t="shared" si="8"/>
        <v>0</v>
      </c>
      <c r="N138" s="29"/>
      <c r="O138" s="29"/>
      <c r="P138" s="29"/>
      <c r="Q138" s="29"/>
    </row>
    <row r="139" spans="2:17" x14ac:dyDescent="0.85">
      <c r="B139" s="46">
        <v>133</v>
      </c>
      <c r="C139" s="10"/>
      <c r="D139" s="66"/>
      <c r="E139" s="10"/>
      <c r="F139" s="226"/>
      <c r="G139" s="47">
        <v>1</v>
      </c>
      <c r="H139" s="72"/>
      <c r="I139" s="10"/>
      <c r="J139" s="46">
        <f t="shared" si="6"/>
        <v>1</v>
      </c>
      <c r="K139" s="46">
        <f t="shared" si="7"/>
        <v>0</v>
      </c>
      <c r="L139" s="69">
        <f t="shared" si="8"/>
        <v>0</v>
      </c>
      <c r="N139" s="29"/>
      <c r="O139" s="29"/>
      <c r="P139" s="29"/>
      <c r="Q139" s="29"/>
    </row>
    <row r="140" spans="2:17" x14ac:dyDescent="0.85">
      <c r="B140" s="48">
        <v>134</v>
      </c>
      <c r="C140" s="44"/>
      <c r="D140" s="50"/>
      <c r="E140" s="44"/>
      <c r="F140" s="227"/>
      <c r="G140" s="49">
        <v>1</v>
      </c>
      <c r="H140" s="73"/>
      <c r="I140" s="44"/>
      <c r="J140" s="48">
        <f t="shared" si="6"/>
        <v>1</v>
      </c>
      <c r="K140" s="48">
        <f t="shared" si="7"/>
        <v>0</v>
      </c>
      <c r="L140" s="68">
        <f t="shared" si="8"/>
        <v>0</v>
      </c>
      <c r="N140" s="29"/>
      <c r="O140" s="29"/>
      <c r="P140" s="29"/>
      <c r="Q140" s="29"/>
    </row>
    <row r="141" spans="2:17" x14ac:dyDescent="0.85">
      <c r="B141" s="46">
        <v>135</v>
      </c>
      <c r="C141" s="10"/>
      <c r="D141" s="66"/>
      <c r="E141" s="10"/>
      <c r="F141" s="226"/>
      <c r="G141" s="47">
        <v>1</v>
      </c>
      <c r="H141" s="72"/>
      <c r="I141" s="10"/>
      <c r="J141" s="46">
        <f t="shared" si="6"/>
        <v>1</v>
      </c>
      <c r="K141" s="46">
        <f t="shared" si="7"/>
        <v>0</v>
      </c>
      <c r="L141" s="69">
        <f t="shared" si="8"/>
        <v>0</v>
      </c>
      <c r="N141" s="29"/>
      <c r="O141" s="29"/>
      <c r="P141" s="29"/>
      <c r="Q141" s="29"/>
    </row>
    <row r="142" spans="2:17" x14ac:dyDescent="0.85">
      <c r="B142" s="48">
        <v>136</v>
      </c>
      <c r="C142" s="44"/>
      <c r="D142" s="50"/>
      <c r="E142" s="44"/>
      <c r="F142" s="227"/>
      <c r="G142" s="49">
        <v>1</v>
      </c>
      <c r="H142" s="73"/>
      <c r="I142" s="44"/>
      <c r="J142" s="48">
        <f t="shared" si="6"/>
        <v>1</v>
      </c>
      <c r="K142" s="48">
        <f t="shared" si="7"/>
        <v>0</v>
      </c>
      <c r="L142" s="68">
        <f t="shared" si="8"/>
        <v>0</v>
      </c>
      <c r="N142" s="29"/>
      <c r="O142" s="29"/>
      <c r="P142" s="29"/>
      <c r="Q142" s="29"/>
    </row>
    <row r="143" spans="2:17" x14ac:dyDescent="0.85">
      <c r="B143" s="46">
        <v>137</v>
      </c>
      <c r="C143" s="10"/>
      <c r="D143" s="66"/>
      <c r="E143" s="10"/>
      <c r="F143" s="226"/>
      <c r="G143" s="47">
        <v>1</v>
      </c>
      <c r="H143" s="72"/>
      <c r="I143" s="10"/>
      <c r="J143" s="46">
        <f t="shared" si="6"/>
        <v>1</v>
      </c>
      <c r="K143" s="46">
        <f t="shared" si="7"/>
        <v>0</v>
      </c>
      <c r="L143" s="69">
        <f t="shared" si="8"/>
        <v>0</v>
      </c>
      <c r="N143" s="29"/>
      <c r="O143" s="29"/>
      <c r="P143" s="29"/>
      <c r="Q143" s="29"/>
    </row>
    <row r="144" spans="2:17" x14ac:dyDescent="0.85">
      <c r="B144" s="48">
        <v>138</v>
      </c>
      <c r="C144" s="44"/>
      <c r="D144" s="50"/>
      <c r="E144" s="44"/>
      <c r="F144" s="227"/>
      <c r="G144" s="49">
        <v>1</v>
      </c>
      <c r="H144" s="73"/>
      <c r="I144" s="44"/>
      <c r="J144" s="48">
        <f t="shared" si="6"/>
        <v>1</v>
      </c>
      <c r="K144" s="48">
        <f t="shared" si="7"/>
        <v>0</v>
      </c>
      <c r="L144" s="68">
        <f t="shared" si="8"/>
        <v>0</v>
      </c>
      <c r="N144" s="29"/>
      <c r="O144" s="29"/>
      <c r="P144" s="29"/>
      <c r="Q144" s="29"/>
    </row>
    <row r="145" spans="2:17" x14ac:dyDescent="0.85">
      <c r="B145" s="46">
        <v>139</v>
      </c>
      <c r="C145" s="10"/>
      <c r="D145" s="66"/>
      <c r="E145" s="10"/>
      <c r="F145" s="226"/>
      <c r="G145" s="47">
        <v>1</v>
      </c>
      <c r="H145" s="72"/>
      <c r="I145" s="10"/>
      <c r="J145" s="46">
        <f t="shared" si="6"/>
        <v>1</v>
      </c>
      <c r="K145" s="46">
        <f t="shared" si="7"/>
        <v>0</v>
      </c>
      <c r="L145" s="69">
        <f t="shared" si="8"/>
        <v>0</v>
      </c>
      <c r="N145" s="29"/>
      <c r="O145" s="29"/>
      <c r="P145" s="29"/>
      <c r="Q145" s="29"/>
    </row>
    <row r="146" spans="2:17" x14ac:dyDescent="0.85">
      <c r="B146" s="48">
        <v>140</v>
      </c>
      <c r="C146" s="44"/>
      <c r="D146" s="50"/>
      <c r="E146" s="44"/>
      <c r="F146" s="227"/>
      <c r="G146" s="49">
        <v>1</v>
      </c>
      <c r="H146" s="73"/>
      <c r="I146" s="44"/>
      <c r="J146" s="48">
        <f t="shared" si="6"/>
        <v>1</v>
      </c>
      <c r="K146" s="48">
        <f t="shared" si="7"/>
        <v>0</v>
      </c>
      <c r="L146" s="68">
        <f t="shared" si="8"/>
        <v>0</v>
      </c>
      <c r="N146" s="29"/>
      <c r="O146" s="29"/>
      <c r="P146" s="29"/>
      <c r="Q146" s="29"/>
    </row>
    <row r="147" spans="2:17" x14ac:dyDescent="0.85">
      <c r="B147" s="46">
        <v>141</v>
      </c>
      <c r="C147" s="10"/>
      <c r="D147" s="66"/>
      <c r="E147" s="10"/>
      <c r="F147" s="226"/>
      <c r="G147" s="47">
        <v>1</v>
      </c>
      <c r="H147" s="72"/>
      <c r="I147" s="10"/>
      <c r="J147" s="46">
        <f t="shared" si="6"/>
        <v>1</v>
      </c>
      <c r="K147" s="46">
        <f t="shared" si="7"/>
        <v>0</v>
      </c>
      <c r="L147" s="69">
        <f t="shared" si="8"/>
        <v>0</v>
      </c>
      <c r="N147" s="29"/>
      <c r="O147" s="29"/>
      <c r="P147" s="29"/>
      <c r="Q147" s="29"/>
    </row>
    <row r="148" spans="2:17" x14ac:dyDescent="0.85">
      <c r="B148" s="48">
        <v>142</v>
      </c>
      <c r="C148" s="44"/>
      <c r="D148" s="50"/>
      <c r="E148" s="44"/>
      <c r="F148" s="227"/>
      <c r="G148" s="49">
        <v>1</v>
      </c>
      <c r="H148" s="73"/>
      <c r="I148" s="44"/>
      <c r="J148" s="48">
        <f t="shared" si="6"/>
        <v>1</v>
      </c>
      <c r="K148" s="48">
        <f t="shared" si="7"/>
        <v>0</v>
      </c>
      <c r="L148" s="68">
        <f t="shared" si="8"/>
        <v>0</v>
      </c>
      <c r="N148" s="29"/>
      <c r="O148" s="29"/>
      <c r="P148" s="29"/>
      <c r="Q148" s="29"/>
    </row>
    <row r="149" spans="2:17" x14ac:dyDescent="0.85">
      <c r="B149" s="46">
        <v>143</v>
      </c>
      <c r="C149" s="10"/>
      <c r="D149" s="66"/>
      <c r="E149" s="10"/>
      <c r="F149" s="226"/>
      <c r="G149" s="47">
        <v>1</v>
      </c>
      <c r="H149" s="72"/>
      <c r="I149" s="10"/>
      <c r="J149" s="46">
        <f t="shared" si="6"/>
        <v>1</v>
      </c>
      <c r="K149" s="46">
        <f t="shared" si="7"/>
        <v>0</v>
      </c>
      <c r="L149" s="69">
        <f t="shared" si="8"/>
        <v>0</v>
      </c>
      <c r="N149" s="29"/>
      <c r="O149" s="29"/>
      <c r="P149" s="29"/>
      <c r="Q149" s="29"/>
    </row>
    <row r="150" spans="2:17" x14ac:dyDescent="0.85">
      <c r="B150" s="48">
        <v>144</v>
      </c>
      <c r="C150" s="44"/>
      <c r="D150" s="50"/>
      <c r="E150" s="44"/>
      <c r="F150" s="227"/>
      <c r="G150" s="49">
        <v>1</v>
      </c>
      <c r="H150" s="73"/>
      <c r="I150" s="44"/>
      <c r="J150" s="48">
        <f t="shared" si="6"/>
        <v>1</v>
      </c>
      <c r="K150" s="48">
        <f t="shared" si="7"/>
        <v>0</v>
      </c>
      <c r="L150" s="68">
        <f t="shared" si="8"/>
        <v>0</v>
      </c>
      <c r="N150" s="29"/>
      <c r="O150" s="29"/>
      <c r="P150" s="29"/>
      <c r="Q150" s="29"/>
    </row>
    <row r="151" spans="2:17" x14ac:dyDescent="0.85">
      <c r="B151" s="46">
        <v>145</v>
      </c>
      <c r="C151" s="10"/>
      <c r="D151" s="66"/>
      <c r="E151" s="10"/>
      <c r="F151" s="226"/>
      <c r="G151" s="47">
        <v>1</v>
      </c>
      <c r="H151" s="72"/>
      <c r="I151" s="10"/>
      <c r="J151" s="46">
        <f t="shared" si="6"/>
        <v>1</v>
      </c>
      <c r="K151" s="46">
        <f t="shared" si="7"/>
        <v>0</v>
      </c>
      <c r="L151" s="69">
        <f t="shared" si="8"/>
        <v>0</v>
      </c>
      <c r="N151" s="29"/>
      <c r="O151" s="29"/>
      <c r="P151" s="29"/>
      <c r="Q151" s="29"/>
    </row>
    <row r="152" spans="2:17" x14ac:dyDescent="0.85">
      <c r="B152" s="48">
        <v>146</v>
      </c>
      <c r="C152" s="44"/>
      <c r="D152" s="50"/>
      <c r="E152" s="44"/>
      <c r="F152" s="227"/>
      <c r="G152" s="49">
        <v>1</v>
      </c>
      <c r="H152" s="73"/>
      <c r="I152" s="44"/>
      <c r="J152" s="48">
        <f t="shared" si="6"/>
        <v>1</v>
      </c>
      <c r="K152" s="48">
        <f t="shared" si="7"/>
        <v>0</v>
      </c>
      <c r="L152" s="68">
        <f t="shared" si="8"/>
        <v>0</v>
      </c>
      <c r="N152" s="29"/>
      <c r="O152" s="29"/>
      <c r="P152" s="29"/>
      <c r="Q152" s="29"/>
    </row>
    <row r="153" spans="2:17" x14ac:dyDescent="0.85">
      <c r="B153" s="46">
        <v>147</v>
      </c>
      <c r="C153" s="10"/>
      <c r="D153" s="66"/>
      <c r="E153" s="10"/>
      <c r="F153" s="226"/>
      <c r="G153" s="47">
        <v>1</v>
      </c>
      <c r="H153" s="72"/>
      <c r="I153" s="10"/>
      <c r="J153" s="46">
        <f t="shared" si="6"/>
        <v>1</v>
      </c>
      <c r="K153" s="46">
        <f t="shared" si="7"/>
        <v>0</v>
      </c>
      <c r="L153" s="69">
        <f t="shared" si="8"/>
        <v>0</v>
      </c>
      <c r="N153" s="29"/>
      <c r="O153" s="29"/>
      <c r="P153" s="29"/>
      <c r="Q153" s="29"/>
    </row>
    <row r="154" spans="2:17" x14ac:dyDescent="0.85">
      <c r="B154" s="48">
        <v>148</v>
      </c>
      <c r="C154" s="44"/>
      <c r="D154" s="50"/>
      <c r="E154" s="44"/>
      <c r="F154" s="227"/>
      <c r="G154" s="49">
        <v>1</v>
      </c>
      <c r="H154" s="73"/>
      <c r="I154" s="44"/>
      <c r="J154" s="48">
        <f t="shared" si="6"/>
        <v>1</v>
      </c>
      <c r="K154" s="48">
        <f t="shared" si="7"/>
        <v>0</v>
      </c>
      <c r="L154" s="68">
        <f t="shared" si="8"/>
        <v>0</v>
      </c>
      <c r="N154" s="29"/>
      <c r="O154" s="29"/>
      <c r="P154" s="29"/>
      <c r="Q154" s="29"/>
    </row>
    <row r="155" spans="2:17" x14ac:dyDescent="0.85">
      <c r="B155" s="46">
        <v>149</v>
      </c>
      <c r="C155" s="10"/>
      <c r="D155" s="66"/>
      <c r="E155" s="10"/>
      <c r="F155" s="226"/>
      <c r="G155" s="47">
        <v>1</v>
      </c>
      <c r="H155" s="72"/>
      <c r="I155" s="10"/>
      <c r="J155" s="46">
        <f t="shared" si="6"/>
        <v>1</v>
      </c>
      <c r="K155" s="46">
        <f t="shared" si="7"/>
        <v>0</v>
      </c>
      <c r="L155" s="69">
        <f t="shared" si="8"/>
        <v>0</v>
      </c>
      <c r="N155" s="29"/>
      <c r="O155" s="29"/>
      <c r="P155" s="29"/>
      <c r="Q155" s="29"/>
    </row>
    <row r="156" spans="2:17" x14ac:dyDescent="0.85">
      <c r="B156" s="48">
        <v>150</v>
      </c>
      <c r="C156" s="44"/>
      <c r="D156" s="50"/>
      <c r="E156" s="44"/>
      <c r="F156" s="227"/>
      <c r="G156" s="49">
        <v>1</v>
      </c>
      <c r="H156" s="73"/>
      <c r="I156" s="44"/>
      <c r="J156" s="48">
        <f t="shared" si="6"/>
        <v>1</v>
      </c>
      <c r="K156" s="48">
        <f t="shared" si="7"/>
        <v>0</v>
      </c>
      <c r="L156" s="68">
        <f t="shared" si="8"/>
        <v>0</v>
      </c>
      <c r="N156" s="29"/>
      <c r="O156" s="29"/>
      <c r="P156" s="29"/>
      <c r="Q156" s="29"/>
    </row>
    <row r="157" spans="2:17" x14ac:dyDescent="0.85">
      <c r="B157" s="46">
        <v>151</v>
      </c>
      <c r="C157" s="10"/>
      <c r="D157" s="66"/>
      <c r="E157" s="10"/>
      <c r="F157" s="226"/>
      <c r="G157" s="47">
        <v>1</v>
      </c>
      <c r="H157" s="72"/>
      <c r="I157" s="10"/>
      <c r="J157" s="46">
        <f t="shared" si="6"/>
        <v>1</v>
      </c>
      <c r="K157" s="46">
        <f t="shared" si="7"/>
        <v>0</v>
      </c>
      <c r="L157" s="69">
        <f t="shared" si="8"/>
        <v>0</v>
      </c>
      <c r="N157" s="29"/>
      <c r="O157" s="29"/>
      <c r="P157" s="29"/>
      <c r="Q157" s="29"/>
    </row>
    <row r="158" spans="2:17" x14ac:dyDescent="0.85">
      <c r="B158" s="48">
        <v>152</v>
      </c>
      <c r="C158" s="44"/>
      <c r="D158" s="50"/>
      <c r="E158" s="44"/>
      <c r="F158" s="227"/>
      <c r="G158" s="49">
        <v>1</v>
      </c>
      <c r="H158" s="73"/>
      <c r="I158" s="44"/>
      <c r="J158" s="48">
        <f t="shared" si="6"/>
        <v>1</v>
      </c>
      <c r="K158" s="48">
        <f t="shared" si="7"/>
        <v>0</v>
      </c>
      <c r="L158" s="68">
        <f t="shared" si="8"/>
        <v>0</v>
      </c>
      <c r="N158" s="29"/>
      <c r="O158" s="29"/>
      <c r="P158" s="29"/>
      <c r="Q158" s="29"/>
    </row>
    <row r="159" spans="2:17" x14ac:dyDescent="0.85">
      <c r="B159" s="46">
        <v>153</v>
      </c>
      <c r="C159" s="10"/>
      <c r="D159" s="66"/>
      <c r="E159" s="10"/>
      <c r="F159" s="226"/>
      <c r="G159" s="47">
        <v>1</v>
      </c>
      <c r="H159" s="72"/>
      <c r="I159" s="10"/>
      <c r="J159" s="46">
        <f t="shared" si="6"/>
        <v>1</v>
      </c>
      <c r="K159" s="46">
        <f t="shared" si="7"/>
        <v>0</v>
      </c>
      <c r="L159" s="69">
        <f t="shared" si="8"/>
        <v>0</v>
      </c>
      <c r="N159" s="29"/>
      <c r="O159" s="29"/>
      <c r="P159" s="29"/>
      <c r="Q159" s="29"/>
    </row>
    <row r="160" spans="2:17" x14ac:dyDescent="0.85">
      <c r="B160" s="48">
        <v>154</v>
      </c>
      <c r="C160" s="44"/>
      <c r="D160" s="50"/>
      <c r="E160" s="44"/>
      <c r="F160" s="227"/>
      <c r="G160" s="49">
        <v>1</v>
      </c>
      <c r="H160" s="73"/>
      <c r="I160" s="44"/>
      <c r="J160" s="48">
        <f t="shared" si="6"/>
        <v>1</v>
      </c>
      <c r="K160" s="48">
        <f t="shared" si="7"/>
        <v>0</v>
      </c>
      <c r="L160" s="68">
        <f t="shared" si="8"/>
        <v>0</v>
      </c>
      <c r="N160" s="29"/>
      <c r="O160" s="29"/>
      <c r="P160" s="29"/>
      <c r="Q160" s="29"/>
    </row>
    <row r="161" spans="2:17" x14ac:dyDescent="0.85">
      <c r="B161" s="46">
        <v>155</v>
      </c>
      <c r="C161" s="10"/>
      <c r="D161" s="66"/>
      <c r="E161" s="10"/>
      <c r="F161" s="226"/>
      <c r="G161" s="47">
        <v>1</v>
      </c>
      <c r="H161" s="72"/>
      <c r="I161" s="10"/>
      <c r="J161" s="46">
        <f t="shared" si="6"/>
        <v>1</v>
      </c>
      <c r="K161" s="46">
        <f t="shared" si="7"/>
        <v>0</v>
      </c>
      <c r="L161" s="69">
        <f t="shared" si="8"/>
        <v>0</v>
      </c>
      <c r="N161" s="29"/>
      <c r="O161" s="29"/>
      <c r="P161" s="29"/>
      <c r="Q161" s="29"/>
    </row>
    <row r="162" spans="2:17" x14ac:dyDescent="0.85">
      <c r="B162" s="48">
        <v>156</v>
      </c>
      <c r="C162" s="44"/>
      <c r="D162" s="50"/>
      <c r="E162" s="44"/>
      <c r="F162" s="227"/>
      <c r="G162" s="49">
        <v>1</v>
      </c>
      <c r="H162" s="73"/>
      <c r="I162" s="44"/>
      <c r="J162" s="48">
        <f t="shared" si="6"/>
        <v>1</v>
      </c>
      <c r="K162" s="48">
        <f t="shared" si="7"/>
        <v>0</v>
      </c>
      <c r="L162" s="68">
        <f t="shared" si="8"/>
        <v>0</v>
      </c>
      <c r="N162" s="29"/>
      <c r="O162" s="29"/>
      <c r="P162" s="29"/>
      <c r="Q162" s="29"/>
    </row>
    <row r="163" spans="2:17" x14ac:dyDescent="0.85">
      <c r="B163" s="46">
        <v>157</v>
      </c>
      <c r="C163" s="10"/>
      <c r="D163" s="66"/>
      <c r="E163" s="10"/>
      <c r="F163" s="226"/>
      <c r="G163" s="47">
        <v>1</v>
      </c>
      <c r="H163" s="72"/>
      <c r="I163" s="10"/>
      <c r="J163" s="46">
        <f t="shared" si="6"/>
        <v>1</v>
      </c>
      <c r="K163" s="46">
        <f t="shared" si="7"/>
        <v>0</v>
      </c>
      <c r="L163" s="69">
        <f t="shared" si="8"/>
        <v>0</v>
      </c>
      <c r="N163" s="29"/>
      <c r="O163" s="29"/>
      <c r="P163" s="29"/>
      <c r="Q163" s="29"/>
    </row>
    <row r="164" spans="2:17" x14ac:dyDescent="0.85">
      <c r="B164" s="48">
        <v>158</v>
      </c>
      <c r="C164" s="44"/>
      <c r="D164" s="50"/>
      <c r="E164" s="44"/>
      <c r="F164" s="227"/>
      <c r="G164" s="49">
        <v>1</v>
      </c>
      <c r="H164" s="73"/>
      <c r="I164" s="44"/>
      <c r="J164" s="48">
        <f t="shared" si="6"/>
        <v>1</v>
      </c>
      <c r="K164" s="48">
        <f t="shared" si="7"/>
        <v>0</v>
      </c>
      <c r="L164" s="68">
        <f t="shared" si="8"/>
        <v>0</v>
      </c>
      <c r="N164" s="29"/>
      <c r="O164" s="29"/>
      <c r="P164" s="29"/>
      <c r="Q164" s="29"/>
    </row>
    <row r="165" spans="2:17" x14ac:dyDescent="0.85">
      <c r="B165" s="46">
        <v>159</v>
      </c>
      <c r="C165" s="10"/>
      <c r="D165" s="66"/>
      <c r="E165" s="10"/>
      <c r="F165" s="226"/>
      <c r="G165" s="47">
        <v>1</v>
      </c>
      <c r="H165" s="72"/>
      <c r="I165" s="10"/>
      <c r="J165" s="46">
        <f t="shared" si="6"/>
        <v>1</v>
      </c>
      <c r="K165" s="46">
        <f t="shared" si="7"/>
        <v>0</v>
      </c>
      <c r="L165" s="69">
        <f t="shared" si="8"/>
        <v>0</v>
      </c>
      <c r="N165" s="29"/>
      <c r="O165" s="29"/>
      <c r="P165" s="29"/>
      <c r="Q165" s="29"/>
    </row>
    <row r="166" spans="2:17" x14ac:dyDescent="0.85">
      <c r="B166" s="48">
        <v>160</v>
      </c>
      <c r="C166" s="44"/>
      <c r="D166" s="50"/>
      <c r="E166" s="44"/>
      <c r="F166" s="227"/>
      <c r="G166" s="49">
        <v>1</v>
      </c>
      <c r="H166" s="73"/>
      <c r="I166" s="44"/>
      <c r="J166" s="48">
        <f t="shared" si="6"/>
        <v>1</v>
      </c>
      <c r="K166" s="48">
        <f t="shared" si="7"/>
        <v>0</v>
      </c>
      <c r="L166" s="68">
        <f t="shared" si="8"/>
        <v>0</v>
      </c>
      <c r="N166" s="29"/>
      <c r="O166" s="29"/>
      <c r="P166" s="29"/>
      <c r="Q166" s="29"/>
    </row>
    <row r="167" spans="2:17" x14ac:dyDescent="0.85">
      <c r="B167" s="46">
        <v>161</v>
      </c>
      <c r="C167" s="10"/>
      <c r="D167" s="66"/>
      <c r="E167" s="10"/>
      <c r="F167" s="226"/>
      <c r="G167" s="47">
        <v>1</v>
      </c>
      <c r="H167" s="72"/>
      <c r="I167" s="10"/>
      <c r="J167" s="46">
        <f t="shared" si="6"/>
        <v>1</v>
      </c>
      <c r="K167" s="46">
        <f t="shared" si="7"/>
        <v>0</v>
      </c>
      <c r="L167" s="69">
        <f t="shared" si="8"/>
        <v>0</v>
      </c>
      <c r="N167" s="29"/>
      <c r="O167" s="29"/>
      <c r="P167" s="29"/>
      <c r="Q167" s="29"/>
    </row>
    <row r="168" spans="2:17" x14ac:dyDescent="0.85">
      <c r="B168" s="48">
        <v>162</v>
      </c>
      <c r="C168" s="44"/>
      <c r="D168" s="50"/>
      <c r="E168" s="44"/>
      <c r="F168" s="227"/>
      <c r="G168" s="49">
        <v>1</v>
      </c>
      <c r="H168" s="73"/>
      <c r="I168" s="44"/>
      <c r="J168" s="48">
        <f t="shared" si="6"/>
        <v>1</v>
      </c>
      <c r="K168" s="48">
        <f t="shared" si="7"/>
        <v>0</v>
      </c>
      <c r="L168" s="68">
        <f t="shared" si="8"/>
        <v>0</v>
      </c>
      <c r="N168" s="29"/>
      <c r="O168" s="29"/>
      <c r="P168" s="29"/>
      <c r="Q168" s="29"/>
    </row>
    <row r="169" spans="2:17" x14ac:dyDescent="0.85">
      <c r="B169" s="46">
        <v>163</v>
      </c>
      <c r="C169" s="10"/>
      <c r="D169" s="66"/>
      <c r="E169" s="10"/>
      <c r="F169" s="226"/>
      <c r="G169" s="47">
        <v>1</v>
      </c>
      <c r="H169" s="72"/>
      <c r="I169" s="10"/>
      <c r="J169" s="46">
        <f t="shared" si="6"/>
        <v>1</v>
      </c>
      <c r="K169" s="46">
        <f t="shared" si="7"/>
        <v>0</v>
      </c>
      <c r="L169" s="69">
        <f t="shared" si="8"/>
        <v>0</v>
      </c>
      <c r="N169" s="29"/>
      <c r="O169" s="29"/>
      <c r="P169" s="29"/>
      <c r="Q169" s="29"/>
    </row>
    <row r="170" spans="2:17" x14ac:dyDescent="0.85">
      <c r="B170" s="48">
        <v>164</v>
      </c>
      <c r="C170" s="44"/>
      <c r="D170" s="50"/>
      <c r="E170" s="44"/>
      <c r="F170" s="227"/>
      <c r="G170" s="49">
        <v>1</v>
      </c>
      <c r="H170" s="73"/>
      <c r="I170" s="44"/>
      <c r="J170" s="48">
        <f t="shared" si="6"/>
        <v>1</v>
      </c>
      <c r="K170" s="48">
        <f t="shared" si="7"/>
        <v>0</v>
      </c>
      <c r="L170" s="68">
        <f t="shared" si="8"/>
        <v>0</v>
      </c>
      <c r="N170" s="29"/>
      <c r="O170" s="29"/>
      <c r="P170" s="29"/>
      <c r="Q170" s="29"/>
    </row>
    <row r="171" spans="2:17" x14ac:dyDescent="0.85">
      <c r="B171" s="46">
        <v>165</v>
      </c>
      <c r="C171" s="10"/>
      <c r="D171" s="66"/>
      <c r="E171" s="10"/>
      <c r="F171" s="226"/>
      <c r="G171" s="47">
        <v>1</v>
      </c>
      <c r="H171" s="72"/>
      <c r="I171" s="10"/>
      <c r="J171" s="46">
        <f t="shared" si="6"/>
        <v>1</v>
      </c>
      <c r="K171" s="46">
        <f t="shared" si="7"/>
        <v>0</v>
      </c>
      <c r="L171" s="69">
        <f t="shared" si="8"/>
        <v>0</v>
      </c>
      <c r="N171" s="29"/>
      <c r="O171" s="29"/>
      <c r="P171" s="29"/>
      <c r="Q171" s="29"/>
    </row>
    <row r="172" spans="2:17" x14ac:dyDescent="0.85">
      <c r="B172" s="48">
        <v>166</v>
      </c>
      <c r="C172" s="44"/>
      <c r="D172" s="50"/>
      <c r="E172" s="44"/>
      <c r="F172" s="227"/>
      <c r="G172" s="49">
        <v>1</v>
      </c>
      <c r="H172" s="73"/>
      <c r="I172" s="44"/>
      <c r="J172" s="48">
        <f t="shared" si="6"/>
        <v>1</v>
      </c>
      <c r="K172" s="48">
        <f t="shared" si="7"/>
        <v>0</v>
      </c>
      <c r="L172" s="68">
        <f t="shared" si="8"/>
        <v>0</v>
      </c>
      <c r="N172" s="29"/>
      <c r="O172" s="29"/>
      <c r="P172" s="29"/>
      <c r="Q172" s="29"/>
    </row>
    <row r="173" spans="2:17" x14ac:dyDescent="0.85">
      <c r="B173" s="46">
        <v>167</v>
      </c>
      <c r="C173" s="10"/>
      <c r="D173" s="66"/>
      <c r="E173" s="10"/>
      <c r="F173" s="226"/>
      <c r="G173" s="47">
        <v>1</v>
      </c>
      <c r="H173" s="72"/>
      <c r="I173" s="10"/>
      <c r="J173" s="46">
        <f t="shared" si="6"/>
        <v>1</v>
      </c>
      <c r="K173" s="46">
        <f t="shared" si="7"/>
        <v>0</v>
      </c>
      <c r="L173" s="69">
        <f t="shared" si="8"/>
        <v>0</v>
      </c>
      <c r="N173" s="29"/>
      <c r="O173" s="29"/>
      <c r="P173" s="29"/>
      <c r="Q173" s="29"/>
    </row>
    <row r="174" spans="2:17" x14ac:dyDescent="0.85">
      <c r="B174" s="48">
        <v>168</v>
      </c>
      <c r="C174" s="44"/>
      <c r="D174" s="50"/>
      <c r="E174" s="44"/>
      <c r="F174" s="227"/>
      <c r="G174" s="49">
        <v>1</v>
      </c>
      <c r="H174" s="73"/>
      <c r="I174" s="44"/>
      <c r="J174" s="48">
        <f t="shared" si="6"/>
        <v>1</v>
      </c>
      <c r="K174" s="48">
        <f t="shared" si="7"/>
        <v>0</v>
      </c>
      <c r="L174" s="68">
        <f t="shared" si="8"/>
        <v>0</v>
      </c>
      <c r="N174" s="29"/>
      <c r="O174" s="29"/>
      <c r="P174" s="29"/>
      <c r="Q174" s="29"/>
    </row>
    <row r="175" spans="2:17" x14ac:dyDescent="0.85">
      <c r="B175" s="46">
        <v>169</v>
      </c>
      <c r="C175" s="10"/>
      <c r="D175" s="66"/>
      <c r="E175" s="10"/>
      <c r="F175" s="226"/>
      <c r="G175" s="47">
        <v>1</v>
      </c>
      <c r="H175" s="72"/>
      <c r="I175" s="10"/>
      <c r="J175" s="46">
        <f t="shared" si="6"/>
        <v>1</v>
      </c>
      <c r="K175" s="46">
        <f t="shared" si="7"/>
        <v>0</v>
      </c>
      <c r="L175" s="69">
        <f t="shared" si="8"/>
        <v>0</v>
      </c>
      <c r="N175" s="29"/>
      <c r="O175" s="29"/>
      <c r="P175" s="29"/>
      <c r="Q175" s="29"/>
    </row>
    <row r="176" spans="2:17" x14ac:dyDescent="0.85">
      <c r="B176" s="48">
        <v>170</v>
      </c>
      <c r="C176" s="44"/>
      <c r="D176" s="50"/>
      <c r="E176" s="44"/>
      <c r="F176" s="227"/>
      <c r="G176" s="49">
        <v>1</v>
      </c>
      <c r="H176" s="73"/>
      <c r="I176" s="44"/>
      <c r="J176" s="48">
        <f t="shared" si="6"/>
        <v>1</v>
      </c>
      <c r="K176" s="48">
        <f t="shared" si="7"/>
        <v>0</v>
      </c>
      <c r="L176" s="68">
        <f t="shared" si="8"/>
        <v>0</v>
      </c>
      <c r="N176" s="29"/>
      <c r="O176" s="29"/>
      <c r="P176" s="29"/>
      <c r="Q176" s="29"/>
    </row>
    <row r="177" spans="2:17" x14ac:dyDescent="0.85">
      <c r="B177" s="46">
        <v>171</v>
      </c>
      <c r="C177" s="10"/>
      <c r="D177" s="66"/>
      <c r="E177" s="10"/>
      <c r="F177" s="226"/>
      <c r="G177" s="47">
        <v>1</v>
      </c>
      <c r="H177" s="72"/>
      <c r="I177" s="10"/>
      <c r="J177" s="46">
        <f t="shared" si="6"/>
        <v>1</v>
      </c>
      <c r="K177" s="46">
        <f t="shared" si="7"/>
        <v>0</v>
      </c>
      <c r="L177" s="69">
        <f t="shared" si="8"/>
        <v>0</v>
      </c>
      <c r="N177" s="29"/>
      <c r="O177" s="29"/>
      <c r="P177" s="29"/>
      <c r="Q177" s="29"/>
    </row>
    <row r="178" spans="2:17" x14ac:dyDescent="0.85">
      <c r="B178" s="48">
        <v>172</v>
      </c>
      <c r="C178" s="44"/>
      <c r="D178" s="50"/>
      <c r="E178" s="44"/>
      <c r="F178" s="227"/>
      <c r="G178" s="49">
        <v>1</v>
      </c>
      <c r="H178" s="73"/>
      <c r="I178" s="44"/>
      <c r="J178" s="48">
        <f t="shared" si="6"/>
        <v>1</v>
      </c>
      <c r="K178" s="48">
        <f t="shared" si="7"/>
        <v>0</v>
      </c>
      <c r="L178" s="68">
        <f t="shared" si="8"/>
        <v>0</v>
      </c>
      <c r="N178" s="29"/>
      <c r="O178" s="29"/>
      <c r="P178" s="29"/>
      <c r="Q178" s="29"/>
    </row>
    <row r="179" spans="2:17" x14ac:dyDescent="0.85">
      <c r="B179" s="46">
        <v>173</v>
      </c>
      <c r="C179" s="10"/>
      <c r="D179" s="66"/>
      <c r="E179" s="10"/>
      <c r="F179" s="226"/>
      <c r="G179" s="47">
        <v>1</v>
      </c>
      <c r="H179" s="72"/>
      <c r="I179" s="10"/>
      <c r="J179" s="46">
        <f t="shared" si="6"/>
        <v>1</v>
      </c>
      <c r="K179" s="46">
        <f t="shared" si="7"/>
        <v>0</v>
      </c>
      <c r="L179" s="69">
        <f t="shared" si="8"/>
        <v>0</v>
      </c>
      <c r="N179" s="29"/>
      <c r="O179" s="29"/>
      <c r="P179" s="29"/>
      <c r="Q179" s="29"/>
    </row>
    <row r="180" spans="2:17" x14ac:dyDescent="0.85">
      <c r="B180" s="48">
        <v>174</v>
      </c>
      <c r="C180" s="44"/>
      <c r="D180" s="50"/>
      <c r="E180" s="44"/>
      <c r="F180" s="227"/>
      <c r="G180" s="49">
        <v>1</v>
      </c>
      <c r="H180" s="73"/>
      <c r="I180" s="44"/>
      <c r="J180" s="48">
        <f t="shared" si="6"/>
        <v>1</v>
      </c>
      <c r="K180" s="48">
        <f t="shared" si="7"/>
        <v>0</v>
      </c>
      <c r="L180" s="68">
        <f t="shared" si="8"/>
        <v>0</v>
      </c>
      <c r="N180" s="29"/>
      <c r="O180" s="29"/>
      <c r="P180" s="29"/>
      <c r="Q180" s="29"/>
    </row>
    <row r="181" spans="2:17" x14ac:dyDescent="0.85">
      <c r="B181" s="46">
        <v>175</v>
      </c>
      <c r="C181" s="10"/>
      <c r="D181" s="66"/>
      <c r="E181" s="10"/>
      <c r="F181" s="226"/>
      <c r="G181" s="47">
        <v>1</v>
      </c>
      <c r="H181" s="72"/>
      <c r="I181" s="10"/>
      <c r="J181" s="46">
        <f t="shared" si="6"/>
        <v>1</v>
      </c>
      <c r="K181" s="46">
        <f t="shared" si="7"/>
        <v>0</v>
      </c>
      <c r="L181" s="69">
        <f t="shared" si="8"/>
        <v>0</v>
      </c>
      <c r="N181" s="29"/>
      <c r="O181" s="29"/>
      <c r="P181" s="29"/>
      <c r="Q181" s="29"/>
    </row>
    <row r="182" spans="2:17" x14ac:dyDescent="0.85">
      <c r="B182" s="48">
        <v>176</v>
      </c>
      <c r="C182" s="44"/>
      <c r="D182" s="50"/>
      <c r="E182" s="44"/>
      <c r="F182" s="227"/>
      <c r="G182" s="49">
        <v>1</v>
      </c>
      <c r="H182" s="73"/>
      <c r="I182" s="44"/>
      <c r="J182" s="48">
        <f t="shared" si="6"/>
        <v>1</v>
      </c>
      <c r="K182" s="48">
        <f t="shared" si="7"/>
        <v>0</v>
      </c>
      <c r="L182" s="68">
        <f t="shared" si="8"/>
        <v>0</v>
      </c>
      <c r="N182" s="29"/>
      <c r="O182" s="29"/>
      <c r="P182" s="29"/>
      <c r="Q182" s="29"/>
    </row>
    <row r="183" spans="2:17" x14ac:dyDescent="0.85">
      <c r="B183" s="46">
        <v>177</v>
      </c>
      <c r="C183" s="10"/>
      <c r="D183" s="66"/>
      <c r="E183" s="10"/>
      <c r="F183" s="226"/>
      <c r="G183" s="47">
        <v>1</v>
      </c>
      <c r="H183" s="72"/>
      <c r="I183" s="10"/>
      <c r="J183" s="46">
        <f t="shared" si="6"/>
        <v>1</v>
      </c>
      <c r="K183" s="46">
        <f t="shared" si="7"/>
        <v>0</v>
      </c>
      <c r="L183" s="69">
        <f t="shared" si="8"/>
        <v>0</v>
      </c>
      <c r="N183" s="29"/>
      <c r="O183" s="29"/>
      <c r="P183" s="29"/>
      <c r="Q183" s="29"/>
    </row>
    <row r="184" spans="2:17" x14ac:dyDescent="0.85">
      <c r="B184" s="48">
        <v>178</v>
      </c>
      <c r="C184" s="44"/>
      <c r="D184" s="50"/>
      <c r="E184" s="44"/>
      <c r="F184" s="227"/>
      <c r="G184" s="49">
        <v>1</v>
      </c>
      <c r="H184" s="73"/>
      <c r="I184" s="44"/>
      <c r="J184" s="48">
        <f t="shared" si="6"/>
        <v>1</v>
      </c>
      <c r="K184" s="48">
        <f t="shared" si="7"/>
        <v>0</v>
      </c>
      <c r="L184" s="68">
        <f t="shared" si="8"/>
        <v>0</v>
      </c>
      <c r="N184" s="29"/>
      <c r="O184" s="29"/>
      <c r="P184" s="29"/>
      <c r="Q184" s="29"/>
    </row>
    <row r="185" spans="2:17" x14ac:dyDescent="0.85">
      <c r="B185" s="46">
        <v>179</v>
      </c>
      <c r="C185" s="10"/>
      <c r="D185" s="66"/>
      <c r="E185" s="10"/>
      <c r="F185" s="226"/>
      <c r="G185" s="47">
        <v>1</v>
      </c>
      <c r="H185" s="72"/>
      <c r="I185" s="10"/>
      <c r="J185" s="46">
        <f t="shared" si="6"/>
        <v>1</v>
      </c>
      <c r="K185" s="46">
        <f t="shared" si="7"/>
        <v>0</v>
      </c>
      <c r="L185" s="69">
        <f t="shared" si="8"/>
        <v>0</v>
      </c>
      <c r="N185" s="29"/>
      <c r="O185" s="29"/>
      <c r="P185" s="29"/>
      <c r="Q185" s="29"/>
    </row>
    <row r="186" spans="2:17" x14ac:dyDescent="0.85">
      <c r="B186" s="48">
        <v>180</v>
      </c>
      <c r="C186" s="44"/>
      <c r="D186" s="50"/>
      <c r="E186" s="44"/>
      <c r="F186" s="227"/>
      <c r="G186" s="49">
        <v>1</v>
      </c>
      <c r="H186" s="73"/>
      <c r="I186" s="44"/>
      <c r="J186" s="48">
        <f t="shared" si="6"/>
        <v>1</v>
      </c>
      <c r="K186" s="48">
        <f t="shared" si="7"/>
        <v>0</v>
      </c>
      <c r="L186" s="68">
        <f t="shared" si="8"/>
        <v>0</v>
      </c>
      <c r="N186" s="29"/>
      <c r="O186" s="29"/>
      <c r="P186" s="29"/>
      <c r="Q186" s="29"/>
    </row>
    <row r="187" spans="2:17" x14ac:dyDescent="0.85">
      <c r="B187" s="46">
        <v>181</v>
      </c>
      <c r="C187" s="10"/>
      <c r="D187" s="66"/>
      <c r="E187" s="10"/>
      <c r="F187" s="226"/>
      <c r="G187" s="47">
        <v>1</v>
      </c>
      <c r="H187" s="72"/>
      <c r="I187" s="10"/>
      <c r="J187" s="46">
        <f t="shared" si="6"/>
        <v>1</v>
      </c>
      <c r="K187" s="46">
        <f t="shared" si="7"/>
        <v>0</v>
      </c>
      <c r="L187" s="69">
        <f t="shared" si="8"/>
        <v>0</v>
      </c>
      <c r="N187" s="29"/>
      <c r="O187" s="29"/>
      <c r="P187" s="29"/>
      <c r="Q187" s="29"/>
    </row>
    <row r="188" spans="2:17" x14ac:dyDescent="0.85">
      <c r="B188" s="48">
        <v>182</v>
      </c>
      <c r="C188" s="44"/>
      <c r="D188" s="50"/>
      <c r="E188" s="44"/>
      <c r="F188" s="227"/>
      <c r="G188" s="49">
        <v>1</v>
      </c>
      <c r="H188" s="73"/>
      <c r="I188" s="44"/>
      <c r="J188" s="48">
        <f t="shared" si="6"/>
        <v>1</v>
      </c>
      <c r="K188" s="48">
        <f t="shared" si="7"/>
        <v>0</v>
      </c>
      <c r="L188" s="68">
        <f t="shared" si="8"/>
        <v>0</v>
      </c>
      <c r="N188" s="29"/>
      <c r="O188" s="29"/>
      <c r="P188" s="29"/>
      <c r="Q188" s="29"/>
    </row>
    <row r="189" spans="2:17" x14ac:dyDescent="0.85">
      <c r="B189" s="46">
        <v>183</v>
      </c>
      <c r="C189" s="10"/>
      <c r="D189" s="66"/>
      <c r="E189" s="10"/>
      <c r="F189" s="226"/>
      <c r="G189" s="47">
        <v>1</v>
      </c>
      <c r="H189" s="72"/>
      <c r="I189" s="10"/>
      <c r="J189" s="46">
        <f t="shared" si="6"/>
        <v>1</v>
      </c>
      <c r="K189" s="46">
        <f t="shared" si="7"/>
        <v>0</v>
      </c>
      <c r="L189" s="69">
        <f t="shared" si="8"/>
        <v>0</v>
      </c>
      <c r="N189" s="29"/>
      <c r="O189" s="29"/>
      <c r="P189" s="29"/>
      <c r="Q189" s="29"/>
    </row>
    <row r="190" spans="2:17" x14ac:dyDescent="0.85">
      <c r="B190" s="48">
        <v>184</v>
      </c>
      <c r="C190" s="44"/>
      <c r="D190" s="50"/>
      <c r="E190" s="44"/>
      <c r="F190" s="227"/>
      <c r="G190" s="49">
        <v>1</v>
      </c>
      <c r="H190" s="73"/>
      <c r="I190" s="44"/>
      <c r="J190" s="48">
        <f t="shared" si="6"/>
        <v>1</v>
      </c>
      <c r="K190" s="48">
        <f t="shared" si="7"/>
        <v>0</v>
      </c>
      <c r="L190" s="68">
        <f t="shared" si="8"/>
        <v>0</v>
      </c>
      <c r="N190" s="29"/>
      <c r="O190" s="29"/>
      <c r="P190" s="29"/>
      <c r="Q190" s="29"/>
    </row>
    <row r="191" spans="2:17" x14ac:dyDescent="0.85">
      <c r="B191" s="46">
        <v>185</v>
      </c>
      <c r="C191" s="10"/>
      <c r="D191" s="66"/>
      <c r="E191" s="10"/>
      <c r="F191" s="226"/>
      <c r="G191" s="47">
        <v>1</v>
      </c>
      <c r="H191" s="72"/>
      <c r="I191" s="10"/>
      <c r="J191" s="46">
        <f t="shared" si="6"/>
        <v>1</v>
      </c>
      <c r="K191" s="46">
        <f t="shared" si="7"/>
        <v>0</v>
      </c>
      <c r="L191" s="69">
        <f t="shared" si="8"/>
        <v>0</v>
      </c>
      <c r="N191" s="29"/>
      <c r="O191" s="29"/>
      <c r="P191" s="29"/>
      <c r="Q191" s="29"/>
    </row>
    <row r="192" spans="2:17" x14ac:dyDescent="0.85">
      <c r="B192" s="48">
        <v>186</v>
      </c>
      <c r="C192" s="44"/>
      <c r="D192" s="50"/>
      <c r="E192" s="44"/>
      <c r="F192" s="227"/>
      <c r="G192" s="49">
        <v>1</v>
      </c>
      <c r="H192" s="73"/>
      <c r="I192" s="44"/>
      <c r="J192" s="48">
        <f t="shared" si="6"/>
        <v>1</v>
      </c>
      <c r="K192" s="48">
        <f t="shared" si="7"/>
        <v>0</v>
      </c>
      <c r="L192" s="68">
        <f t="shared" si="8"/>
        <v>0</v>
      </c>
      <c r="N192" s="29"/>
      <c r="O192" s="29"/>
      <c r="P192" s="29"/>
      <c r="Q192" s="29"/>
    </row>
    <row r="193" spans="2:17" x14ac:dyDescent="0.85">
      <c r="B193" s="46">
        <v>187</v>
      </c>
      <c r="C193" s="10"/>
      <c r="D193" s="66"/>
      <c r="E193" s="10"/>
      <c r="F193" s="226"/>
      <c r="G193" s="47">
        <v>1</v>
      </c>
      <c r="H193" s="72"/>
      <c r="I193" s="10"/>
      <c r="J193" s="46">
        <f t="shared" si="6"/>
        <v>1</v>
      </c>
      <c r="K193" s="46">
        <f t="shared" si="7"/>
        <v>0</v>
      </c>
      <c r="L193" s="69">
        <f t="shared" si="8"/>
        <v>0</v>
      </c>
      <c r="N193" s="29"/>
      <c r="O193" s="29"/>
      <c r="P193" s="29"/>
      <c r="Q193" s="29"/>
    </row>
    <row r="194" spans="2:17" x14ac:dyDescent="0.85">
      <c r="B194" s="48">
        <v>188</v>
      </c>
      <c r="C194" s="44"/>
      <c r="D194" s="50"/>
      <c r="E194" s="44"/>
      <c r="F194" s="227"/>
      <c r="G194" s="49">
        <v>1</v>
      </c>
      <c r="H194" s="73"/>
      <c r="I194" s="44"/>
      <c r="J194" s="48">
        <f t="shared" si="6"/>
        <v>1</v>
      </c>
      <c r="K194" s="48">
        <f t="shared" si="7"/>
        <v>0</v>
      </c>
      <c r="L194" s="68">
        <f t="shared" si="8"/>
        <v>0</v>
      </c>
      <c r="N194" s="29"/>
      <c r="O194" s="29"/>
      <c r="P194" s="29"/>
      <c r="Q194" s="29"/>
    </row>
    <row r="195" spans="2:17" x14ac:dyDescent="0.85">
      <c r="B195" s="46">
        <v>189</v>
      </c>
      <c r="C195" s="10"/>
      <c r="D195" s="66"/>
      <c r="E195" s="10"/>
      <c r="F195" s="226"/>
      <c r="G195" s="47">
        <v>1</v>
      </c>
      <c r="H195" s="72"/>
      <c r="I195" s="10"/>
      <c r="J195" s="46">
        <f t="shared" si="6"/>
        <v>1</v>
      </c>
      <c r="K195" s="46">
        <f t="shared" si="7"/>
        <v>0</v>
      </c>
      <c r="L195" s="69">
        <f t="shared" si="8"/>
        <v>0</v>
      </c>
      <c r="N195" s="29"/>
      <c r="O195" s="29"/>
      <c r="P195" s="29"/>
      <c r="Q195" s="29"/>
    </row>
    <row r="196" spans="2:17" x14ac:dyDescent="0.85">
      <c r="B196" s="48">
        <v>190</v>
      </c>
      <c r="C196" s="44"/>
      <c r="D196" s="50"/>
      <c r="E196" s="44"/>
      <c r="F196" s="227"/>
      <c r="G196" s="49">
        <v>1</v>
      </c>
      <c r="H196" s="73"/>
      <c r="I196" s="44"/>
      <c r="J196" s="48">
        <f t="shared" si="6"/>
        <v>1</v>
      </c>
      <c r="K196" s="48">
        <f t="shared" si="7"/>
        <v>0</v>
      </c>
      <c r="L196" s="68">
        <f t="shared" si="8"/>
        <v>0</v>
      </c>
      <c r="N196" s="29"/>
      <c r="O196" s="29"/>
      <c r="P196" s="29"/>
      <c r="Q196" s="29"/>
    </row>
    <row r="197" spans="2:17" x14ac:dyDescent="0.85">
      <c r="B197" s="46">
        <v>191</v>
      </c>
      <c r="C197" s="10"/>
      <c r="D197" s="66"/>
      <c r="E197" s="10"/>
      <c r="F197" s="226"/>
      <c r="G197" s="47">
        <v>1</v>
      </c>
      <c r="H197" s="72"/>
      <c r="I197" s="10"/>
      <c r="J197" s="46">
        <f t="shared" si="6"/>
        <v>1</v>
      </c>
      <c r="K197" s="46">
        <f t="shared" si="7"/>
        <v>0</v>
      </c>
      <c r="L197" s="69">
        <f t="shared" si="8"/>
        <v>0</v>
      </c>
      <c r="N197" s="29"/>
      <c r="O197" s="29"/>
      <c r="P197" s="29"/>
      <c r="Q197" s="29"/>
    </row>
    <row r="198" spans="2:17" x14ac:dyDescent="0.85">
      <c r="B198" s="48">
        <v>192</v>
      </c>
      <c r="C198" s="44"/>
      <c r="D198" s="50"/>
      <c r="E198" s="44"/>
      <c r="F198" s="227"/>
      <c r="G198" s="49">
        <v>1</v>
      </c>
      <c r="H198" s="73"/>
      <c r="I198" s="44"/>
      <c r="J198" s="48">
        <f t="shared" si="6"/>
        <v>1</v>
      </c>
      <c r="K198" s="48">
        <f t="shared" si="7"/>
        <v>0</v>
      </c>
      <c r="L198" s="68">
        <f t="shared" si="8"/>
        <v>0</v>
      </c>
      <c r="N198" s="29"/>
      <c r="O198" s="29"/>
      <c r="P198" s="29"/>
      <c r="Q198" s="29"/>
    </row>
    <row r="199" spans="2:17" x14ac:dyDescent="0.85">
      <c r="B199" s="46">
        <v>193</v>
      </c>
      <c r="C199" s="10"/>
      <c r="D199" s="66"/>
      <c r="E199" s="10"/>
      <c r="F199" s="226"/>
      <c r="G199" s="47">
        <v>1</v>
      </c>
      <c r="H199" s="72"/>
      <c r="I199" s="10"/>
      <c r="J199" s="46">
        <f t="shared" ref="J199:J262" si="9">IF(ISBLANK(H199),1,H199)</f>
        <v>1</v>
      </c>
      <c r="K199" s="46">
        <f t="shared" ref="K199:K262" si="10">IF(COUNTIF(FreeElements, E199)&gt;0, F199, 0)</f>
        <v>0</v>
      </c>
      <c r="L199" s="69">
        <f t="shared" ref="L199:L262" si="11">J199*K199</f>
        <v>0</v>
      </c>
      <c r="N199" s="29"/>
      <c r="O199" s="29"/>
      <c r="P199" s="29"/>
      <c r="Q199" s="29"/>
    </row>
    <row r="200" spans="2:17" x14ac:dyDescent="0.85">
      <c r="B200" s="48">
        <v>194</v>
      </c>
      <c r="C200" s="44"/>
      <c r="D200" s="50"/>
      <c r="E200" s="44"/>
      <c r="F200" s="227"/>
      <c r="G200" s="49">
        <v>1</v>
      </c>
      <c r="H200" s="73"/>
      <c r="I200" s="44"/>
      <c r="J200" s="48">
        <f t="shared" si="9"/>
        <v>1</v>
      </c>
      <c r="K200" s="48">
        <f t="shared" si="10"/>
        <v>0</v>
      </c>
      <c r="L200" s="68">
        <f t="shared" si="11"/>
        <v>0</v>
      </c>
      <c r="N200" s="29"/>
      <c r="O200" s="29"/>
      <c r="P200" s="29"/>
      <c r="Q200" s="29"/>
    </row>
    <row r="201" spans="2:17" x14ac:dyDescent="0.85">
      <c r="B201" s="46">
        <v>195</v>
      </c>
      <c r="C201" s="10"/>
      <c r="D201" s="66"/>
      <c r="E201" s="10"/>
      <c r="F201" s="226"/>
      <c r="G201" s="47">
        <v>1</v>
      </c>
      <c r="H201" s="72"/>
      <c r="I201" s="10"/>
      <c r="J201" s="46">
        <f t="shared" si="9"/>
        <v>1</v>
      </c>
      <c r="K201" s="46">
        <f t="shared" si="10"/>
        <v>0</v>
      </c>
      <c r="L201" s="69">
        <f t="shared" si="11"/>
        <v>0</v>
      </c>
      <c r="N201" s="29"/>
      <c r="O201" s="29"/>
      <c r="P201" s="29"/>
      <c r="Q201" s="29"/>
    </row>
    <row r="202" spans="2:17" x14ac:dyDescent="0.85">
      <c r="B202" s="48">
        <v>196</v>
      </c>
      <c r="C202" s="44"/>
      <c r="D202" s="50"/>
      <c r="E202" s="44"/>
      <c r="F202" s="227"/>
      <c r="G202" s="49">
        <v>1</v>
      </c>
      <c r="H202" s="73"/>
      <c r="I202" s="44"/>
      <c r="J202" s="48">
        <f t="shared" si="9"/>
        <v>1</v>
      </c>
      <c r="K202" s="48">
        <f t="shared" si="10"/>
        <v>0</v>
      </c>
      <c r="L202" s="68">
        <f t="shared" si="11"/>
        <v>0</v>
      </c>
      <c r="N202" s="29"/>
      <c r="O202" s="29"/>
      <c r="P202" s="29"/>
      <c r="Q202" s="29"/>
    </row>
    <row r="203" spans="2:17" x14ac:dyDescent="0.85">
      <c r="B203" s="46">
        <v>197</v>
      </c>
      <c r="C203" s="10"/>
      <c r="D203" s="66"/>
      <c r="E203" s="10"/>
      <c r="F203" s="226"/>
      <c r="G203" s="47">
        <v>1</v>
      </c>
      <c r="H203" s="72"/>
      <c r="I203" s="10"/>
      <c r="J203" s="46">
        <f t="shared" si="9"/>
        <v>1</v>
      </c>
      <c r="K203" s="46">
        <f t="shared" si="10"/>
        <v>0</v>
      </c>
      <c r="L203" s="69">
        <f t="shared" si="11"/>
        <v>0</v>
      </c>
      <c r="N203" s="29"/>
      <c r="O203" s="29"/>
      <c r="P203" s="29"/>
      <c r="Q203" s="29"/>
    </row>
    <row r="204" spans="2:17" x14ac:dyDescent="0.85">
      <c r="B204" s="48">
        <v>198</v>
      </c>
      <c r="C204" s="44"/>
      <c r="D204" s="50"/>
      <c r="E204" s="44"/>
      <c r="F204" s="227"/>
      <c r="G204" s="49">
        <v>1</v>
      </c>
      <c r="H204" s="73"/>
      <c r="I204" s="44"/>
      <c r="J204" s="48">
        <f t="shared" si="9"/>
        <v>1</v>
      </c>
      <c r="K204" s="48">
        <f t="shared" si="10"/>
        <v>0</v>
      </c>
      <c r="L204" s="68">
        <f t="shared" si="11"/>
        <v>0</v>
      </c>
      <c r="N204" s="29"/>
      <c r="O204" s="29"/>
      <c r="P204" s="29"/>
      <c r="Q204" s="29"/>
    </row>
    <row r="205" spans="2:17" x14ac:dyDescent="0.85">
      <c r="B205" s="46">
        <v>199</v>
      </c>
      <c r="C205" s="10"/>
      <c r="D205" s="66"/>
      <c r="E205" s="10"/>
      <c r="F205" s="226"/>
      <c r="G205" s="47">
        <v>1</v>
      </c>
      <c r="H205" s="72"/>
      <c r="I205" s="10"/>
      <c r="J205" s="46">
        <f t="shared" si="9"/>
        <v>1</v>
      </c>
      <c r="K205" s="46">
        <f t="shared" si="10"/>
        <v>0</v>
      </c>
      <c r="L205" s="69">
        <f t="shared" si="11"/>
        <v>0</v>
      </c>
      <c r="N205" s="29"/>
      <c r="O205" s="29"/>
      <c r="P205" s="29"/>
      <c r="Q205" s="29"/>
    </row>
    <row r="206" spans="2:17" x14ac:dyDescent="0.85">
      <c r="B206" s="48">
        <v>200</v>
      </c>
      <c r="C206" s="44"/>
      <c r="D206" s="50"/>
      <c r="E206" s="44"/>
      <c r="F206" s="227"/>
      <c r="G206" s="49">
        <v>1</v>
      </c>
      <c r="H206" s="73"/>
      <c r="I206" s="44"/>
      <c r="J206" s="48">
        <f t="shared" si="9"/>
        <v>1</v>
      </c>
      <c r="K206" s="48">
        <f t="shared" si="10"/>
        <v>0</v>
      </c>
      <c r="L206" s="68">
        <f t="shared" si="11"/>
        <v>0</v>
      </c>
      <c r="N206" s="29"/>
      <c r="O206" s="29"/>
      <c r="P206" s="29"/>
      <c r="Q206" s="29"/>
    </row>
    <row r="207" spans="2:17" ht="21" customHeight="1" x14ac:dyDescent="1">
      <c r="B207" s="46">
        <v>201</v>
      </c>
      <c r="C207" s="10"/>
      <c r="D207" s="66"/>
      <c r="E207" s="10"/>
      <c r="F207" s="226"/>
      <c r="G207" s="47">
        <v>1</v>
      </c>
      <c r="H207" s="72"/>
      <c r="I207" s="10"/>
      <c r="J207" s="46">
        <f t="shared" si="9"/>
        <v>1</v>
      </c>
      <c r="K207" s="46">
        <f t="shared" si="10"/>
        <v>0</v>
      </c>
      <c r="L207" s="69">
        <f t="shared" si="11"/>
        <v>0</v>
      </c>
      <c r="N207" s="30"/>
      <c r="O207" s="30"/>
      <c r="P207" s="30"/>
      <c r="Q207" s="30"/>
    </row>
    <row r="208" spans="2:17" x14ac:dyDescent="0.85">
      <c r="B208" s="48">
        <v>202</v>
      </c>
      <c r="C208" s="44"/>
      <c r="D208" s="50"/>
      <c r="E208" s="44"/>
      <c r="F208" s="227"/>
      <c r="G208" s="49">
        <v>1</v>
      </c>
      <c r="H208" s="73"/>
      <c r="I208" s="44"/>
      <c r="J208" s="48">
        <f t="shared" si="9"/>
        <v>1</v>
      </c>
      <c r="K208" s="48">
        <f t="shared" si="10"/>
        <v>0</v>
      </c>
      <c r="L208" s="68">
        <f t="shared" si="11"/>
        <v>0</v>
      </c>
      <c r="N208" s="31"/>
      <c r="O208" s="31"/>
      <c r="P208" s="31"/>
      <c r="Q208" s="32"/>
    </row>
    <row r="209" spans="2:16" x14ac:dyDescent="0.85">
      <c r="B209" s="46">
        <v>203</v>
      </c>
      <c r="C209" s="10"/>
      <c r="D209" s="66"/>
      <c r="E209" s="10"/>
      <c r="F209" s="226"/>
      <c r="G209" s="47">
        <v>1</v>
      </c>
      <c r="H209" s="72"/>
      <c r="I209" s="10"/>
      <c r="J209" s="46">
        <f t="shared" si="9"/>
        <v>1</v>
      </c>
      <c r="K209" s="46">
        <f t="shared" si="10"/>
        <v>0</v>
      </c>
      <c r="L209" s="69">
        <f t="shared" si="11"/>
        <v>0</v>
      </c>
      <c r="N209" s="1"/>
      <c r="O209" s="1"/>
      <c r="P209" s="1"/>
    </row>
    <row r="210" spans="2:16" x14ac:dyDescent="0.85">
      <c r="B210" s="48">
        <v>204</v>
      </c>
      <c r="C210" s="44"/>
      <c r="D210" s="50"/>
      <c r="E210" s="44"/>
      <c r="F210" s="227"/>
      <c r="G210" s="49">
        <v>1</v>
      </c>
      <c r="H210" s="73"/>
      <c r="I210" s="44"/>
      <c r="J210" s="48">
        <f t="shared" si="9"/>
        <v>1</v>
      </c>
      <c r="K210" s="48">
        <f t="shared" si="10"/>
        <v>0</v>
      </c>
      <c r="L210" s="68">
        <f t="shared" si="11"/>
        <v>0</v>
      </c>
    </row>
    <row r="211" spans="2:16" x14ac:dyDescent="0.85">
      <c r="B211" s="46">
        <v>205</v>
      </c>
      <c r="C211" s="10"/>
      <c r="D211" s="66"/>
      <c r="E211" s="10"/>
      <c r="F211" s="226"/>
      <c r="G211" s="47">
        <v>1</v>
      </c>
      <c r="H211" s="72"/>
      <c r="I211" s="10"/>
      <c r="J211" s="46">
        <f t="shared" si="9"/>
        <v>1</v>
      </c>
      <c r="K211" s="46">
        <f t="shared" si="10"/>
        <v>0</v>
      </c>
      <c r="L211" s="69">
        <f t="shared" si="11"/>
        <v>0</v>
      </c>
    </row>
    <row r="212" spans="2:16" x14ac:dyDescent="0.85">
      <c r="B212" s="48">
        <v>206</v>
      </c>
      <c r="C212" s="44"/>
      <c r="D212" s="50"/>
      <c r="E212" s="44"/>
      <c r="F212" s="227"/>
      <c r="G212" s="49">
        <v>1</v>
      </c>
      <c r="H212" s="73"/>
      <c r="I212" s="44"/>
      <c r="J212" s="48">
        <f t="shared" si="9"/>
        <v>1</v>
      </c>
      <c r="K212" s="48">
        <f t="shared" si="10"/>
        <v>0</v>
      </c>
      <c r="L212" s="68">
        <f t="shared" si="11"/>
        <v>0</v>
      </c>
    </row>
    <row r="213" spans="2:16" x14ac:dyDescent="0.85">
      <c r="B213" s="46">
        <v>207</v>
      </c>
      <c r="C213" s="10"/>
      <c r="D213" s="66"/>
      <c r="E213" s="10"/>
      <c r="F213" s="226"/>
      <c r="G213" s="47">
        <v>1</v>
      </c>
      <c r="H213" s="72"/>
      <c r="I213" s="10"/>
      <c r="J213" s="46">
        <f t="shared" si="9"/>
        <v>1</v>
      </c>
      <c r="K213" s="46">
        <f t="shared" si="10"/>
        <v>0</v>
      </c>
      <c r="L213" s="69">
        <f t="shared" si="11"/>
        <v>0</v>
      </c>
    </row>
    <row r="214" spans="2:16" x14ac:dyDescent="0.85">
      <c r="B214" s="48">
        <v>208</v>
      </c>
      <c r="C214" s="44"/>
      <c r="D214" s="50"/>
      <c r="E214" s="44"/>
      <c r="F214" s="227"/>
      <c r="G214" s="49">
        <v>1</v>
      </c>
      <c r="H214" s="73"/>
      <c r="I214" s="44"/>
      <c r="J214" s="48">
        <f t="shared" si="9"/>
        <v>1</v>
      </c>
      <c r="K214" s="48">
        <f t="shared" si="10"/>
        <v>0</v>
      </c>
      <c r="L214" s="68">
        <f t="shared" si="11"/>
        <v>0</v>
      </c>
    </row>
    <row r="215" spans="2:16" x14ac:dyDescent="0.85">
      <c r="B215" s="46">
        <v>209</v>
      </c>
      <c r="C215" s="10"/>
      <c r="D215" s="66"/>
      <c r="E215" s="10"/>
      <c r="F215" s="226"/>
      <c r="G215" s="47">
        <v>1</v>
      </c>
      <c r="H215" s="72"/>
      <c r="I215" s="10"/>
      <c r="J215" s="46">
        <f t="shared" si="9"/>
        <v>1</v>
      </c>
      <c r="K215" s="46">
        <f t="shared" si="10"/>
        <v>0</v>
      </c>
      <c r="L215" s="69">
        <f t="shared" si="11"/>
        <v>0</v>
      </c>
    </row>
    <row r="216" spans="2:16" x14ac:dyDescent="0.85">
      <c r="B216" s="48">
        <v>210</v>
      </c>
      <c r="C216" s="44"/>
      <c r="D216" s="50"/>
      <c r="E216" s="44"/>
      <c r="F216" s="227"/>
      <c r="G216" s="49">
        <v>1</v>
      </c>
      <c r="H216" s="73"/>
      <c r="I216" s="44"/>
      <c r="J216" s="48">
        <f t="shared" si="9"/>
        <v>1</v>
      </c>
      <c r="K216" s="48">
        <f t="shared" si="10"/>
        <v>0</v>
      </c>
      <c r="L216" s="68">
        <f t="shared" si="11"/>
        <v>0</v>
      </c>
    </row>
    <row r="217" spans="2:16" x14ac:dyDescent="0.85">
      <c r="B217" s="46">
        <v>211</v>
      </c>
      <c r="C217" s="10"/>
      <c r="D217" s="66"/>
      <c r="E217" s="10"/>
      <c r="F217" s="226"/>
      <c r="G217" s="47">
        <v>1</v>
      </c>
      <c r="H217" s="72"/>
      <c r="I217" s="10"/>
      <c r="J217" s="46">
        <f t="shared" si="9"/>
        <v>1</v>
      </c>
      <c r="K217" s="46">
        <f t="shared" si="10"/>
        <v>0</v>
      </c>
      <c r="L217" s="69">
        <f t="shared" si="11"/>
        <v>0</v>
      </c>
    </row>
    <row r="218" spans="2:16" x14ac:dyDescent="0.85">
      <c r="B218" s="48">
        <v>212</v>
      </c>
      <c r="C218" s="44"/>
      <c r="D218" s="50"/>
      <c r="E218" s="44"/>
      <c r="F218" s="227"/>
      <c r="G218" s="49">
        <v>1</v>
      </c>
      <c r="H218" s="73"/>
      <c r="I218" s="44"/>
      <c r="J218" s="48">
        <f t="shared" si="9"/>
        <v>1</v>
      </c>
      <c r="K218" s="48">
        <f t="shared" si="10"/>
        <v>0</v>
      </c>
      <c r="L218" s="68">
        <f t="shared" si="11"/>
        <v>0</v>
      </c>
    </row>
    <row r="219" spans="2:16" x14ac:dyDescent="0.85">
      <c r="B219" s="46">
        <v>213</v>
      </c>
      <c r="C219" s="10"/>
      <c r="D219" s="66"/>
      <c r="E219" s="10"/>
      <c r="F219" s="226"/>
      <c r="G219" s="47">
        <v>1</v>
      </c>
      <c r="H219" s="72"/>
      <c r="I219" s="10"/>
      <c r="J219" s="46">
        <f t="shared" si="9"/>
        <v>1</v>
      </c>
      <c r="K219" s="46">
        <f t="shared" si="10"/>
        <v>0</v>
      </c>
      <c r="L219" s="69">
        <f t="shared" si="11"/>
        <v>0</v>
      </c>
    </row>
    <row r="220" spans="2:16" x14ac:dyDescent="0.85">
      <c r="B220" s="48">
        <v>214</v>
      </c>
      <c r="C220" s="44"/>
      <c r="D220" s="50"/>
      <c r="E220" s="44"/>
      <c r="F220" s="227"/>
      <c r="G220" s="49">
        <v>1</v>
      </c>
      <c r="H220" s="73"/>
      <c r="I220" s="44"/>
      <c r="J220" s="48">
        <f t="shared" si="9"/>
        <v>1</v>
      </c>
      <c r="K220" s="48">
        <f t="shared" si="10"/>
        <v>0</v>
      </c>
      <c r="L220" s="68">
        <f t="shared" si="11"/>
        <v>0</v>
      </c>
    </row>
    <row r="221" spans="2:16" x14ac:dyDescent="0.85">
      <c r="B221" s="46">
        <v>215</v>
      </c>
      <c r="C221" s="10"/>
      <c r="D221" s="66"/>
      <c r="E221" s="10"/>
      <c r="F221" s="226"/>
      <c r="G221" s="47">
        <v>1</v>
      </c>
      <c r="H221" s="72"/>
      <c r="I221" s="10"/>
      <c r="J221" s="46">
        <f t="shared" si="9"/>
        <v>1</v>
      </c>
      <c r="K221" s="46">
        <f t="shared" si="10"/>
        <v>0</v>
      </c>
      <c r="L221" s="69">
        <f t="shared" si="11"/>
        <v>0</v>
      </c>
    </row>
    <row r="222" spans="2:16" x14ac:dyDescent="0.85">
      <c r="B222" s="48">
        <v>216</v>
      </c>
      <c r="C222" s="44"/>
      <c r="D222" s="50"/>
      <c r="E222" s="44"/>
      <c r="F222" s="227"/>
      <c r="G222" s="49">
        <v>1</v>
      </c>
      <c r="H222" s="73"/>
      <c r="I222" s="44"/>
      <c r="J222" s="48">
        <f t="shared" si="9"/>
        <v>1</v>
      </c>
      <c r="K222" s="48">
        <f t="shared" si="10"/>
        <v>0</v>
      </c>
      <c r="L222" s="68">
        <f t="shared" si="11"/>
        <v>0</v>
      </c>
    </row>
    <row r="223" spans="2:16" x14ac:dyDescent="0.85">
      <c r="B223" s="46">
        <v>217</v>
      </c>
      <c r="C223" s="10"/>
      <c r="D223" s="66"/>
      <c r="E223" s="10"/>
      <c r="F223" s="226"/>
      <c r="G223" s="47">
        <v>1</v>
      </c>
      <c r="H223" s="72"/>
      <c r="I223" s="10"/>
      <c r="J223" s="46">
        <f t="shared" si="9"/>
        <v>1</v>
      </c>
      <c r="K223" s="46">
        <f t="shared" si="10"/>
        <v>0</v>
      </c>
      <c r="L223" s="69">
        <f t="shared" si="11"/>
        <v>0</v>
      </c>
    </row>
    <row r="224" spans="2:16" x14ac:dyDescent="0.85">
      <c r="B224" s="48">
        <v>218</v>
      </c>
      <c r="C224" s="44"/>
      <c r="D224" s="50"/>
      <c r="E224" s="44"/>
      <c r="F224" s="227"/>
      <c r="G224" s="49">
        <v>1</v>
      </c>
      <c r="H224" s="73"/>
      <c r="I224" s="44"/>
      <c r="J224" s="48">
        <f t="shared" si="9"/>
        <v>1</v>
      </c>
      <c r="K224" s="48">
        <f t="shared" si="10"/>
        <v>0</v>
      </c>
      <c r="L224" s="68">
        <f t="shared" si="11"/>
        <v>0</v>
      </c>
    </row>
    <row r="225" spans="2:12" x14ac:dyDescent="0.85">
      <c r="B225" s="46">
        <v>219</v>
      </c>
      <c r="C225" s="10"/>
      <c r="D225" s="66"/>
      <c r="E225" s="10"/>
      <c r="F225" s="226"/>
      <c r="G225" s="47">
        <v>1</v>
      </c>
      <c r="H225" s="72"/>
      <c r="I225" s="10"/>
      <c r="J225" s="46">
        <f t="shared" si="9"/>
        <v>1</v>
      </c>
      <c r="K225" s="46">
        <f t="shared" si="10"/>
        <v>0</v>
      </c>
      <c r="L225" s="69">
        <f t="shared" si="11"/>
        <v>0</v>
      </c>
    </row>
    <row r="226" spans="2:12" x14ac:dyDescent="0.85">
      <c r="B226" s="48">
        <v>220</v>
      </c>
      <c r="C226" s="44"/>
      <c r="D226" s="50"/>
      <c r="E226" s="44"/>
      <c r="F226" s="227"/>
      <c r="G226" s="49">
        <v>1</v>
      </c>
      <c r="H226" s="73"/>
      <c r="I226" s="44"/>
      <c r="J226" s="48">
        <f t="shared" si="9"/>
        <v>1</v>
      </c>
      <c r="K226" s="48">
        <f t="shared" si="10"/>
        <v>0</v>
      </c>
      <c r="L226" s="68">
        <f t="shared" si="11"/>
        <v>0</v>
      </c>
    </row>
    <row r="227" spans="2:12" x14ac:dyDescent="0.85">
      <c r="B227" s="46">
        <v>221</v>
      </c>
      <c r="C227" s="10"/>
      <c r="D227" s="66"/>
      <c r="E227" s="10"/>
      <c r="F227" s="226"/>
      <c r="G227" s="47">
        <v>1</v>
      </c>
      <c r="H227" s="72"/>
      <c r="I227" s="10"/>
      <c r="J227" s="46">
        <f t="shared" si="9"/>
        <v>1</v>
      </c>
      <c r="K227" s="46">
        <f t="shared" si="10"/>
        <v>0</v>
      </c>
      <c r="L227" s="69">
        <f t="shared" si="11"/>
        <v>0</v>
      </c>
    </row>
    <row r="228" spans="2:12" x14ac:dyDescent="0.85">
      <c r="B228" s="48">
        <v>222</v>
      </c>
      <c r="C228" s="44"/>
      <c r="D228" s="50"/>
      <c r="E228" s="44"/>
      <c r="F228" s="227"/>
      <c r="G228" s="49">
        <v>1</v>
      </c>
      <c r="H228" s="73"/>
      <c r="I228" s="44"/>
      <c r="J228" s="48">
        <f t="shared" si="9"/>
        <v>1</v>
      </c>
      <c r="K228" s="48">
        <f t="shared" si="10"/>
        <v>0</v>
      </c>
      <c r="L228" s="68">
        <f t="shared" si="11"/>
        <v>0</v>
      </c>
    </row>
    <row r="229" spans="2:12" x14ac:dyDescent="0.85">
      <c r="B229" s="46">
        <v>223</v>
      </c>
      <c r="C229" s="10"/>
      <c r="D229" s="66"/>
      <c r="E229" s="10"/>
      <c r="F229" s="226"/>
      <c r="G229" s="47">
        <v>1</v>
      </c>
      <c r="H229" s="72"/>
      <c r="I229" s="10"/>
      <c r="J229" s="46">
        <f t="shared" si="9"/>
        <v>1</v>
      </c>
      <c r="K229" s="46">
        <f t="shared" si="10"/>
        <v>0</v>
      </c>
      <c r="L229" s="69">
        <f t="shared" si="11"/>
        <v>0</v>
      </c>
    </row>
    <row r="230" spans="2:12" x14ac:dyDescent="0.85">
      <c r="B230" s="48">
        <v>224</v>
      </c>
      <c r="C230" s="44"/>
      <c r="D230" s="50"/>
      <c r="E230" s="44"/>
      <c r="F230" s="227"/>
      <c r="G230" s="49">
        <v>1</v>
      </c>
      <c r="H230" s="73"/>
      <c r="I230" s="44"/>
      <c r="J230" s="48">
        <f t="shared" si="9"/>
        <v>1</v>
      </c>
      <c r="K230" s="48">
        <f t="shared" si="10"/>
        <v>0</v>
      </c>
      <c r="L230" s="68">
        <f t="shared" si="11"/>
        <v>0</v>
      </c>
    </row>
    <row r="231" spans="2:12" x14ac:dyDescent="0.85">
      <c r="B231" s="46">
        <v>225</v>
      </c>
      <c r="C231" s="10"/>
      <c r="D231" s="66"/>
      <c r="E231" s="10"/>
      <c r="F231" s="226"/>
      <c r="G231" s="47">
        <v>1</v>
      </c>
      <c r="H231" s="72"/>
      <c r="I231" s="10"/>
      <c r="J231" s="46">
        <f t="shared" si="9"/>
        <v>1</v>
      </c>
      <c r="K231" s="46">
        <f t="shared" si="10"/>
        <v>0</v>
      </c>
      <c r="L231" s="69">
        <f t="shared" si="11"/>
        <v>0</v>
      </c>
    </row>
    <row r="232" spans="2:12" x14ac:dyDescent="0.85">
      <c r="B232" s="48">
        <v>226</v>
      </c>
      <c r="C232" s="44"/>
      <c r="D232" s="50"/>
      <c r="E232" s="44"/>
      <c r="F232" s="227"/>
      <c r="G232" s="49">
        <v>1</v>
      </c>
      <c r="H232" s="73"/>
      <c r="I232" s="44"/>
      <c r="J232" s="48">
        <f t="shared" si="9"/>
        <v>1</v>
      </c>
      <c r="K232" s="48">
        <f t="shared" si="10"/>
        <v>0</v>
      </c>
      <c r="L232" s="68">
        <f t="shared" si="11"/>
        <v>0</v>
      </c>
    </row>
    <row r="233" spans="2:12" x14ac:dyDescent="0.85">
      <c r="B233" s="46">
        <v>227</v>
      </c>
      <c r="C233" s="10"/>
      <c r="D233" s="66"/>
      <c r="E233" s="10"/>
      <c r="F233" s="226"/>
      <c r="G233" s="47">
        <v>1</v>
      </c>
      <c r="H233" s="72"/>
      <c r="I233" s="10"/>
      <c r="J233" s="46">
        <f t="shared" si="9"/>
        <v>1</v>
      </c>
      <c r="K233" s="46">
        <f t="shared" si="10"/>
        <v>0</v>
      </c>
      <c r="L233" s="69">
        <f t="shared" si="11"/>
        <v>0</v>
      </c>
    </row>
    <row r="234" spans="2:12" x14ac:dyDescent="0.85">
      <c r="B234" s="48">
        <v>228</v>
      </c>
      <c r="C234" s="44"/>
      <c r="D234" s="50"/>
      <c r="E234" s="44"/>
      <c r="F234" s="227"/>
      <c r="G234" s="49">
        <v>1</v>
      </c>
      <c r="H234" s="73"/>
      <c r="I234" s="44"/>
      <c r="J234" s="48">
        <f t="shared" si="9"/>
        <v>1</v>
      </c>
      <c r="K234" s="48">
        <f t="shared" si="10"/>
        <v>0</v>
      </c>
      <c r="L234" s="68">
        <f t="shared" si="11"/>
        <v>0</v>
      </c>
    </row>
    <row r="235" spans="2:12" x14ac:dyDescent="0.85">
      <c r="B235" s="46">
        <v>229</v>
      </c>
      <c r="C235" s="10"/>
      <c r="D235" s="66"/>
      <c r="E235" s="10"/>
      <c r="F235" s="226"/>
      <c r="G235" s="47">
        <v>1</v>
      </c>
      <c r="H235" s="72"/>
      <c r="I235" s="10"/>
      <c r="J235" s="46">
        <f t="shared" si="9"/>
        <v>1</v>
      </c>
      <c r="K235" s="46">
        <f t="shared" si="10"/>
        <v>0</v>
      </c>
      <c r="L235" s="69">
        <f t="shared" si="11"/>
        <v>0</v>
      </c>
    </row>
    <row r="236" spans="2:12" x14ac:dyDescent="0.85">
      <c r="B236" s="48">
        <v>230</v>
      </c>
      <c r="C236" s="44"/>
      <c r="D236" s="50"/>
      <c r="E236" s="44"/>
      <c r="F236" s="227"/>
      <c r="G236" s="49">
        <v>1</v>
      </c>
      <c r="H236" s="73"/>
      <c r="I236" s="44"/>
      <c r="J236" s="48">
        <f t="shared" si="9"/>
        <v>1</v>
      </c>
      <c r="K236" s="48">
        <f t="shared" si="10"/>
        <v>0</v>
      </c>
      <c r="L236" s="68">
        <f t="shared" si="11"/>
        <v>0</v>
      </c>
    </row>
    <row r="237" spans="2:12" x14ac:dyDescent="0.85">
      <c r="B237" s="46">
        <v>231</v>
      </c>
      <c r="C237" s="10"/>
      <c r="D237" s="66"/>
      <c r="E237" s="10"/>
      <c r="F237" s="226"/>
      <c r="G237" s="47">
        <v>1</v>
      </c>
      <c r="H237" s="72"/>
      <c r="I237" s="10"/>
      <c r="J237" s="46">
        <f t="shared" si="9"/>
        <v>1</v>
      </c>
      <c r="K237" s="46">
        <f t="shared" si="10"/>
        <v>0</v>
      </c>
      <c r="L237" s="69">
        <f t="shared" si="11"/>
        <v>0</v>
      </c>
    </row>
    <row r="238" spans="2:12" x14ac:dyDescent="0.85">
      <c r="B238" s="48">
        <v>232</v>
      </c>
      <c r="C238" s="44"/>
      <c r="D238" s="50"/>
      <c r="E238" s="44"/>
      <c r="F238" s="227"/>
      <c r="G238" s="49">
        <v>1</v>
      </c>
      <c r="H238" s="73"/>
      <c r="I238" s="44"/>
      <c r="J238" s="48">
        <f t="shared" si="9"/>
        <v>1</v>
      </c>
      <c r="K238" s="48">
        <f t="shared" si="10"/>
        <v>0</v>
      </c>
      <c r="L238" s="68">
        <f t="shared" si="11"/>
        <v>0</v>
      </c>
    </row>
    <row r="239" spans="2:12" x14ac:dyDescent="0.85">
      <c r="B239" s="46">
        <v>233</v>
      </c>
      <c r="C239" s="10"/>
      <c r="D239" s="66"/>
      <c r="E239" s="10"/>
      <c r="F239" s="226"/>
      <c r="G239" s="47">
        <v>1</v>
      </c>
      <c r="H239" s="72"/>
      <c r="I239" s="10"/>
      <c r="J239" s="46">
        <f t="shared" si="9"/>
        <v>1</v>
      </c>
      <c r="K239" s="46">
        <f t="shared" si="10"/>
        <v>0</v>
      </c>
      <c r="L239" s="69">
        <f t="shared" si="11"/>
        <v>0</v>
      </c>
    </row>
    <row r="240" spans="2:12" x14ac:dyDescent="0.85">
      <c r="B240" s="48">
        <v>234</v>
      </c>
      <c r="C240" s="44"/>
      <c r="D240" s="50"/>
      <c r="E240" s="44"/>
      <c r="F240" s="227"/>
      <c r="G240" s="49">
        <v>1</v>
      </c>
      <c r="H240" s="73"/>
      <c r="I240" s="44"/>
      <c r="J240" s="48">
        <f t="shared" si="9"/>
        <v>1</v>
      </c>
      <c r="K240" s="48">
        <f t="shared" si="10"/>
        <v>0</v>
      </c>
      <c r="L240" s="68">
        <f t="shared" si="11"/>
        <v>0</v>
      </c>
    </row>
    <row r="241" spans="2:12" x14ac:dyDescent="0.85">
      <c r="B241" s="46">
        <v>235</v>
      </c>
      <c r="C241" s="10"/>
      <c r="D241" s="66"/>
      <c r="E241" s="10"/>
      <c r="F241" s="226"/>
      <c r="G241" s="47">
        <v>1</v>
      </c>
      <c r="H241" s="72"/>
      <c r="I241" s="10"/>
      <c r="J241" s="46">
        <f t="shared" si="9"/>
        <v>1</v>
      </c>
      <c r="K241" s="46">
        <f t="shared" si="10"/>
        <v>0</v>
      </c>
      <c r="L241" s="69">
        <f t="shared" si="11"/>
        <v>0</v>
      </c>
    </row>
    <row r="242" spans="2:12" x14ac:dyDescent="0.85">
      <c r="B242" s="48">
        <v>236</v>
      </c>
      <c r="C242" s="44"/>
      <c r="D242" s="50"/>
      <c r="E242" s="44"/>
      <c r="F242" s="227"/>
      <c r="G242" s="49">
        <v>1</v>
      </c>
      <c r="H242" s="73"/>
      <c r="I242" s="44"/>
      <c r="J242" s="48">
        <f t="shared" si="9"/>
        <v>1</v>
      </c>
      <c r="K242" s="48">
        <f t="shared" si="10"/>
        <v>0</v>
      </c>
      <c r="L242" s="68">
        <f t="shared" si="11"/>
        <v>0</v>
      </c>
    </row>
    <row r="243" spans="2:12" x14ac:dyDescent="0.85">
      <c r="B243" s="46">
        <v>237</v>
      </c>
      <c r="C243" s="10"/>
      <c r="D243" s="66"/>
      <c r="E243" s="10"/>
      <c r="F243" s="226"/>
      <c r="G243" s="47">
        <v>1</v>
      </c>
      <c r="H243" s="72"/>
      <c r="I243" s="10"/>
      <c r="J243" s="46">
        <f t="shared" si="9"/>
        <v>1</v>
      </c>
      <c r="K243" s="46">
        <f t="shared" si="10"/>
        <v>0</v>
      </c>
      <c r="L243" s="69">
        <f t="shared" si="11"/>
        <v>0</v>
      </c>
    </row>
    <row r="244" spans="2:12" x14ac:dyDescent="0.85">
      <c r="B244" s="48">
        <v>238</v>
      </c>
      <c r="C244" s="44"/>
      <c r="D244" s="50"/>
      <c r="E244" s="44"/>
      <c r="F244" s="227"/>
      <c r="G244" s="49">
        <v>1</v>
      </c>
      <c r="H244" s="73"/>
      <c r="I244" s="44"/>
      <c r="J244" s="48">
        <f t="shared" si="9"/>
        <v>1</v>
      </c>
      <c r="K244" s="48">
        <f t="shared" si="10"/>
        <v>0</v>
      </c>
      <c r="L244" s="68">
        <f t="shared" si="11"/>
        <v>0</v>
      </c>
    </row>
    <row r="245" spans="2:12" x14ac:dyDescent="0.85">
      <c r="B245" s="46">
        <v>239</v>
      </c>
      <c r="C245" s="10"/>
      <c r="D245" s="66"/>
      <c r="E245" s="10"/>
      <c r="F245" s="226"/>
      <c r="G245" s="47">
        <v>1</v>
      </c>
      <c r="H245" s="72"/>
      <c r="I245" s="10"/>
      <c r="J245" s="46">
        <f t="shared" si="9"/>
        <v>1</v>
      </c>
      <c r="K245" s="46">
        <f t="shared" si="10"/>
        <v>0</v>
      </c>
      <c r="L245" s="69">
        <f t="shared" si="11"/>
        <v>0</v>
      </c>
    </row>
    <row r="246" spans="2:12" x14ac:dyDescent="0.85">
      <c r="B246" s="48">
        <v>240</v>
      </c>
      <c r="C246" s="44"/>
      <c r="D246" s="50"/>
      <c r="E246" s="44"/>
      <c r="F246" s="227"/>
      <c r="G246" s="49">
        <v>1</v>
      </c>
      <c r="H246" s="73"/>
      <c r="I246" s="44"/>
      <c r="J246" s="48">
        <f t="shared" si="9"/>
        <v>1</v>
      </c>
      <c r="K246" s="48">
        <f t="shared" si="10"/>
        <v>0</v>
      </c>
      <c r="L246" s="68">
        <f t="shared" si="11"/>
        <v>0</v>
      </c>
    </row>
    <row r="247" spans="2:12" x14ac:dyDescent="0.85">
      <c r="B247" s="46">
        <v>241</v>
      </c>
      <c r="C247" s="10"/>
      <c r="D247" s="66"/>
      <c r="E247" s="10"/>
      <c r="F247" s="226"/>
      <c r="G247" s="47">
        <v>1</v>
      </c>
      <c r="H247" s="72"/>
      <c r="I247" s="10"/>
      <c r="J247" s="46">
        <f t="shared" si="9"/>
        <v>1</v>
      </c>
      <c r="K247" s="46">
        <f t="shared" si="10"/>
        <v>0</v>
      </c>
      <c r="L247" s="69">
        <f t="shared" si="11"/>
        <v>0</v>
      </c>
    </row>
    <row r="248" spans="2:12" x14ac:dyDescent="0.85">
      <c r="B248" s="48">
        <v>242</v>
      </c>
      <c r="C248" s="44"/>
      <c r="D248" s="50"/>
      <c r="E248" s="44"/>
      <c r="F248" s="227"/>
      <c r="G248" s="49">
        <v>1</v>
      </c>
      <c r="H248" s="73"/>
      <c r="I248" s="44"/>
      <c r="J248" s="48">
        <f t="shared" si="9"/>
        <v>1</v>
      </c>
      <c r="K248" s="48">
        <f t="shared" si="10"/>
        <v>0</v>
      </c>
      <c r="L248" s="68">
        <f t="shared" si="11"/>
        <v>0</v>
      </c>
    </row>
    <row r="249" spans="2:12" x14ac:dyDescent="0.85">
      <c r="B249" s="46">
        <v>243</v>
      </c>
      <c r="C249" s="10"/>
      <c r="D249" s="66"/>
      <c r="E249" s="10"/>
      <c r="F249" s="226"/>
      <c r="G249" s="47">
        <v>1</v>
      </c>
      <c r="H249" s="72"/>
      <c r="I249" s="10"/>
      <c r="J249" s="46">
        <f t="shared" si="9"/>
        <v>1</v>
      </c>
      <c r="K249" s="46">
        <f t="shared" si="10"/>
        <v>0</v>
      </c>
      <c r="L249" s="69">
        <f t="shared" si="11"/>
        <v>0</v>
      </c>
    </row>
    <row r="250" spans="2:12" x14ac:dyDescent="0.85">
      <c r="B250" s="48">
        <v>244</v>
      </c>
      <c r="C250" s="44"/>
      <c r="D250" s="50"/>
      <c r="E250" s="44"/>
      <c r="F250" s="227"/>
      <c r="G250" s="49">
        <v>1</v>
      </c>
      <c r="H250" s="73"/>
      <c r="I250" s="44"/>
      <c r="J250" s="48">
        <f t="shared" si="9"/>
        <v>1</v>
      </c>
      <c r="K250" s="48">
        <f t="shared" si="10"/>
        <v>0</v>
      </c>
      <c r="L250" s="68">
        <f t="shared" si="11"/>
        <v>0</v>
      </c>
    </row>
    <row r="251" spans="2:12" x14ac:dyDescent="0.85">
      <c r="B251" s="46">
        <v>245</v>
      </c>
      <c r="C251" s="10"/>
      <c r="D251" s="66"/>
      <c r="E251" s="10"/>
      <c r="F251" s="226"/>
      <c r="G251" s="47">
        <v>1</v>
      </c>
      <c r="H251" s="72"/>
      <c r="I251" s="10"/>
      <c r="J251" s="46">
        <f t="shared" si="9"/>
        <v>1</v>
      </c>
      <c r="K251" s="46">
        <f t="shared" si="10"/>
        <v>0</v>
      </c>
      <c r="L251" s="69">
        <f t="shared" si="11"/>
        <v>0</v>
      </c>
    </row>
    <row r="252" spans="2:12" x14ac:dyDescent="0.85">
      <c r="B252" s="48">
        <v>246</v>
      </c>
      <c r="C252" s="44"/>
      <c r="D252" s="50"/>
      <c r="E252" s="44"/>
      <c r="F252" s="227"/>
      <c r="G252" s="49">
        <v>1</v>
      </c>
      <c r="H252" s="73"/>
      <c r="I252" s="44"/>
      <c r="J252" s="48">
        <f t="shared" si="9"/>
        <v>1</v>
      </c>
      <c r="K252" s="48">
        <f t="shared" si="10"/>
        <v>0</v>
      </c>
      <c r="L252" s="68">
        <f t="shared" si="11"/>
        <v>0</v>
      </c>
    </row>
    <row r="253" spans="2:12" x14ac:dyDescent="0.85">
      <c r="B253" s="46">
        <v>247</v>
      </c>
      <c r="C253" s="10"/>
      <c r="D253" s="66"/>
      <c r="E253" s="10"/>
      <c r="F253" s="226"/>
      <c r="G253" s="47">
        <v>1</v>
      </c>
      <c r="H253" s="72"/>
      <c r="I253" s="10"/>
      <c r="J253" s="46">
        <f t="shared" si="9"/>
        <v>1</v>
      </c>
      <c r="K253" s="46">
        <f t="shared" si="10"/>
        <v>0</v>
      </c>
      <c r="L253" s="69">
        <f t="shared" si="11"/>
        <v>0</v>
      </c>
    </row>
    <row r="254" spans="2:12" x14ac:dyDescent="0.85">
      <c r="B254" s="48">
        <v>248</v>
      </c>
      <c r="C254" s="44"/>
      <c r="D254" s="50"/>
      <c r="E254" s="44"/>
      <c r="F254" s="227"/>
      <c r="G254" s="49">
        <v>1</v>
      </c>
      <c r="H254" s="73"/>
      <c r="I254" s="44"/>
      <c r="J254" s="48">
        <f t="shared" si="9"/>
        <v>1</v>
      </c>
      <c r="K254" s="48">
        <f t="shared" si="10"/>
        <v>0</v>
      </c>
      <c r="L254" s="68">
        <f t="shared" si="11"/>
        <v>0</v>
      </c>
    </row>
    <row r="255" spans="2:12" x14ac:dyDescent="0.85">
      <c r="B255" s="46">
        <v>249</v>
      </c>
      <c r="C255" s="10"/>
      <c r="D255" s="66"/>
      <c r="E255" s="10"/>
      <c r="F255" s="226"/>
      <c r="G255" s="47">
        <v>1</v>
      </c>
      <c r="H255" s="72"/>
      <c r="I255" s="10"/>
      <c r="J255" s="46">
        <f t="shared" si="9"/>
        <v>1</v>
      </c>
      <c r="K255" s="46">
        <f t="shared" si="10"/>
        <v>0</v>
      </c>
      <c r="L255" s="69">
        <f t="shared" si="11"/>
        <v>0</v>
      </c>
    </row>
    <row r="256" spans="2:12" x14ac:dyDescent="0.85">
      <c r="B256" s="48">
        <v>250</v>
      </c>
      <c r="C256" s="44"/>
      <c r="D256" s="50"/>
      <c r="E256" s="44"/>
      <c r="F256" s="227"/>
      <c r="G256" s="49">
        <v>1</v>
      </c>
      <c r="H256" s="73"/>
      <c r="I256" s="44"/>
      <c r="J256" s="48">
        <f t="shared" si="9"/>
        <v>1</v>
      </c>
      <c r="K256" s="48">
        <f t="shared" si="10"/>
        <v>0</v>
      </c>
      <c r="L256" s="68">
        <f t="shared" si="11"/>
        <v>0</v>
      </c>
    </row>
    <row r="257" spans="2:12" x14ac:dyDescent="0.85">
      <c r="B257" s="46">
        <v>251</v>
      </c>
      <c r="C257" s="10"/>
      <c r="D257" s="66"/>
      <c r="E257" s="10"/>
      <c r="F257" s="226"/>
      <c r="G257" s="47">
        <v>1</v>
      </c>
      <c r="H257" s="72"/>
      <c r="I257" s="10"/>
      <c r="J257" s="46">
        <f t="shared" si="9"/>
        <v>1</v>
      </c>
      <c r="K257" s="46">
        <f t="shared" si="10"/>
        <v>0</v>
      </c>
      <c r="L257" s="69">
        <f t="shared" si="11"/>
        <v>0</v>
      </c>
    </row>
    <row r="258" spans="2:12" x14ac:dyDescent="0.85">
      <c r="B258" s="48">
        <v>252</v>
      </c>
      <c r="C258" s="44"/>
      <c r="D258" s="50"/>
      <c r="E258" s="44"/>
      <c r="F258" s="227"/>
      <c r="G258" s="49">
        <v>1</v>
      </c>
      <c r="H258" s="73"/>
      <c r="I258" s="44"/>
      <c r="J258" s="48">
        <f t="shared" si="9"/>
        <v>1</v>
      </c>
      <c r="K258" s="48">
        <f t="shared" si="10"/>
        <v>0</v>
      </c>
      <c r="L258" s="68">
        <f t="shared" si="11"/>
        <v>0</v>
      </c>
    </row>
    <row r="259" spans="2:12" x14ac:dyDescent="0.85">
      <c r="B259" s="46">
        <v>253</v>
      </c>
      <c r="C259" s="10"/>
      <c r="D259" s="66"/>
      <c r="E259" s="10"/>
      <c r="F259" s="226"/>
      <c r="G259" s="47">
        <v>1</v>
      </c>
      <c r="H259" s="72"/>
      <c r="I259" s="10"/>
      <c r="J259" s="46">
        <f t="shared" si="9"/>
        <v>1</v>
      </c>
      <c r="K259" s="46">
        <f t="shared" si="10"/>
        <v>0</v>
      </c>
      <c r="L259" s="69">
        <f t="shared" si="11"/>
        <v>0</v>
      </c>
    </row>
    <row r="260" spans="2:12" x14ac:dyDescent="0.85">
      <c r="B260" s="48">
        <v>254</v>
      </c>
      <c r="C260" s="44"/>
      <c r="D260" s="50"/>
      <c r="E260" s="44"/>
      <c r="F260" s="227"/>
      <c r="G260" s="49">
        <v>1</v>
      </c>
      <c r="H260" s="73"/>
      <c r="I260" s="44"/>
      <c r="J260" s="48">
        <f t="shared" si="9"/>
        <v>1</v>
      </c>
      <c r="K260" s="48">
        <f t="shared" si="10"/>
        <v>0</v>
      </c>
      <c r="L260" s="68">
        <f t="shared" si="11"/>
        <v>0</v>
      </c>
    </row>
    <row r="261" spans="2:12" x14ac:dyDescent="0.85">
      <c r="B261" s="46">
        <v>255</v>
      </c>
      <c r="C261" s="10"/>
      <c r="D261" s="66"/>
      <c r="E261" s="10"/>
      <c r="F261" s="226"/>
      <c r="G261" s="47">
        <v>1</v>
      </c>
      <c r="H261" s="72"/>
      <c r="I261" s="10"/>
      <c r="J261" s="46">
        <f t="shared" si="9"/>
        <v>1</v>
      </c>
      <c r="K261" s="46">
        <f t="shared" si="10"/>
        <v>0</v>
      </c>
      <c r="L261" s="69">
        <f t="shared" si="11"/>
        <v>0</v>
      </c>
    </row>
    <row r="262" spans="2:12" x14ac:dyDescent="0.85">
      <c r="B262" s="48">
        <v>256</v>
      </c>
      <c r="C262" s="44"/>
      <c r="D262" s="50"/>
      <c r="E262" s="44"/>
      <c r="F262" s="227"/>
      <c r="G262" s="49">
        <v>1</v>
      </c>
      <c r="H262" s="73"/>
      <c r="I262" s="44"/>
      <c r="J262" s="48">
        <f t="shared" si="9"/>
        <v>1</v>
      </c>
      <c r="K262" s="48">
        <f t="shared" si="10"/>
        <v>0</v>
      </c>
      <c r="L262" s="68">
        <f t="shared" si="11"/>
        <v>0</v>
      </c>
    </row>
    <row r="263" spans="2:12" x14ac:dyDescent="0.85">
      <c r="B263" s="46">
        <v>257</v>
      </c>
      <c r="C263" s="10"/>
      <c r="D263" s="66"/>
      <c r="E263" s="10"/>
      <c r="F263" s="226"/>
      <c r="G263" s="47">
        <v>1</v>
      </c>
      <c r="H263" s="72"/>
      <c r="I263" s="10"/>
      <c r="J263" s="46">
        <f t="shared" ref="J263:J326" si="12">IF(ISBLANK(H263),1,H263)</f>
        <v>1</v>
      </c>
      <c r="K263" s="46">
        <f t="shared" ref="K263:K326" si="13">IF(COUNTIF(FreeElements, E263)&gt;0, F263, 0)</f>
        <v>0</v>
      </c>
      <c r="L263" s="69">
        <f t="shared" ref="L263:L326" si="14">J263*K263</f>
        <v>0</v>
      </c>
    </row>
    <row r="264" spans="2:12" x14ac:dyDescent="0.85">
      <c r="B264" s="48">
        <v>258</v>
      </c>
      <c r="C264" s="44"/>
      <c r="D264" s="50"/>
      <c r="E264" s="44"/>
      <c r="F264" s="227"/>
      <c r="G264" s="49">
        <v>1</v>
      </c>
      <c r="H264" s="73"/>
      <c r="I264" s="44"/>
      <c r="J264" s="48">
        <f t="shared" si="12"/>
        <v>1</v>
      </c>
      <c r="K264" s="48">
        <f t="shared" si="13"/>
        <v>0</v>
      </c>
      <c r="L264" s="68">
        <f t="shared" si="14"/>
        <v>0</v>
      </c>
    </row>
    <row r="265" spans="2:12" x14ac:dyDescent="0.85">
      <c r="B265" s="46">
        <v>259</v>
      </c>
      <c r="C265" s="10"/>
      <c r="D265" s="66"/>
      <c r="E265" s="10"/>
      <c r="F265" s="226"/>
      <c r="G265" s="47">
        <v>1</v>
      </c>
      <c r="H265" s="72"/>
      <c r="I265" s="10"/>
      <c r="J265" s="46">
        <f t="shared" si="12"/>
        <v>1</v>
      </c>
      <c r="K265" s="46">
        <f t="shared" si="13"/>
        <v>0</v>
      </c>
      <c r="L265" s="69">
        <f t="shared" si="14"/>
        <v>0</v>
      </c>
    </row>
    <row r="266" spans="2:12" x14ac:dyDescent="0.85">
      <c r="B266" s="48">
        <v>260</v>
      </c>
      <c r="C266" s="44"/>
      <c r="D266" s="50"/>
      <c r="E266" s="44"/>
      <c r="F266" s="227"/>
      <c r="G266" s="49">
        <v>1</v>
      </c>
      <c r="H266" s="73"/>
      <c r="I266" s="44"/>
      <c r="J266" s="48">
        <f t="shared" si="12"/>
        <v>1</v>
      </c>
      <c r="K266" s="48">
        <f t="shared" si="13"/>
        <v>0</v>
      </c>
      <c r="L266" s="68">
        <f t="shared" si="14"/>
        <v>0</v>
      </c>
    </row>
    <row r="267" spans="2:12" x14ac:dyDescent="0.85">
      <c r="B267" s="46">
        <v>261</v>
      </c>
      <c r="C267" s="10"/>
      <c r="D267" s="66"/>
      <c r="E267" s="10"/>
      <c r="F267" s="226"/>
      <c r="G267" s="47">
        <v>1</v>
      </c>
      <c r="H267" s="72"/>
      <c r="I267" s="10"/>
      <c r="J267" s="46">
        <f t="shared" si="12"/>
        <v>1</v>
      </c>
      <c r="K267" s="46">
        <f t="shared" si="13"/>
        <v>0</v>
      </c>
      <c r="L267" s="69">
        <f t="shared" si="14"/>
        <v>0</v>
      </c>
    </row>
    <row r="268" spans="2:12" x14ac:dyDescent="0.85">
      <c r="B268" s="48">
        <v>262</v>
      </c>
      <c r="C268" s="44"/>
      <c r="D268" s="50"/>
      <c r="E268" s="44"/>
      <c r="F268" s="227"/>
      <c r="G268" s="49">
        <v>1</v>
      </c>
      <c r="H268" s="73"/>
      <c r="I268" s="44"/>
      <c r="J268" s="48">
        <f t="shared" si="12"/>
        <v>1</v>
      </c>
      <c r="K268" s="48">
        <f t="shared" si="13"/>
        <v>0</v>
      </c>
      <c r="L268" s="68">
        <f t="shared" si="14"/>
        <v>0</v>
      </c>
    </row>
    <row r="269" spans="2:12" x14ac:dyDescent="0.85">
      <c r="B269" s="46">
        <v>263</v>
      </c>
      <c r="C269" s="10"/>
      <c r="D269" s="66"/>
      <c r="E269" s="10"/>
      <c r="F269" s="226"/>
      <c r="G269" s="47">
        <v>1</v>
      </c>
      <c r="H269" s="72"/>
      <c r="I269" s="10"/>
      <c r="J269" s="46">
        <f t="shared" si="12"/>
        <v>1</v>
      </c>
      <c r="K269" s="46">
        <f t="shared" si="13"/>
        <v>0</v>
      </c>
      <c r="L269" s="69">
        <f t="shared" si="14"/>
        <v>0</v>
      </c>
    </row>
    <row r="270" spans="2:12" x14ac:dyDescent="0.85">
      <c r="B270" s="48">
        <v>264</v>
      </c>
      <c r="C270" s="44"/>
      <c r="D270" s="50"/>
      <c r="E270" s="44"/>
      <c r="F270" s="227"/>
      <c r="G270" s="49">
        <v>1</v>
      </c>
      <c r="H270" s="73"/>
      <c r="I270" s="44"/>
      <c r="J270" s="48">
        <f t="shared" si="12"/>
        <v>1</v>
      </c>
      <c r="K270" s="48">
        <f t="shared" si="13"/>
        <v>0</v>
      </c>
      <c r="L270" s="68">
        <f t="shared" si="14"/>
        <v>0</v>
      </c>
    </row>
    <row r="271" spans="2:12" x14ac:dyDescent="0.85">
      <c r="B271" s="46">
        <v>265</v>
      </c>
      <c r="C271" s="10"/>
      <c r="D271" s="66"/>
      <c r="E271" s="10"/>
      <c r="F271" s="226"/>
      <c r="G271" s="47">
        <v>1</v>
      </c>
      <c r="H271" s="72"/>
      <c r="I271" s="10"/>
      <c r="J271" s="46">
        <f t="shared" si="12"/>
        <v>1</v>
      </c>
      <c r="K271" s="46">
        <f t="shared" si="13"/>
        <v>0</v>
      </c>
      <c r="L271" s="69">
        <f t="shared" si="14"/>
        <v>0</v>
      </c>
    </row>
    <row r="272" spans="2:12" x14ac:dyDescent="0.85">
      <c r="B272" s="48">
        <v>266</v>
      </c>
      <c r="C272" s="44"/>
      <c r="D272" s="50"/>
      <c r="E272" s="44"/>
      <c r="F272" s="227"/>
      <c r="G272" s="49">
        <v>1</v>
      </c>
      <c r="H272" s="73"/>
      <c r="I272" s="44"/>
      <c r="J272" s="48">
        <f t="shared" si="12"/>
        <v>1</v>
      </c>
      <c r="K272" s="48">
        <f t="shared" si="13"/>
        <v>0</v>
      </c>
      <c r="L272" s="68">
        <f t="shared" si="14"/>
        <v>0</v>
      </c>
    </row>
    <row r="273" spans="2:12" x14ac:dyDescent="0.85">
      <c r="B273" s="46">
        <v>267</v>
      </c>
      <c r="C273" s="10"/>
      <c r="D273" s="66"/>
      <c r="E273" s="10"/>
      <c r="F273" s="226"/>
      <c r="G273" s="47">
        <v>1</v>
      </c>
      <c r="H273" s="72"/>
      <c r="I273" s="10"/>
      <c r="J273" s="46">
        <f t="shared" si="12"/>
        <v>1</v>
      </c>
      <c r="K273" s="46">
        <f t="shared" si="13"/>
        <v>0</v>
      </c>
      <c r="L273" s="69">
        <f t="shared" si="14"/>
        <v>0</v>
      </c>
    </row>
    <row r="274" spans="2:12" x14ac:dyDescent="0.85">
      <c r="B274" s="48">
        <v>268</v>
      </c>
      <c r="C274" s="44"/>
      <c r="D274" s="50"/>
      <c r="E274" s="44"/>
      <c r="F274" s="227"/>
      <c r="G274" s="49">
        <v>1</v>
      </c>
      <c r="H274" s="73"/>
      <c r="I274" s="44"/>
      <c r="J274" s="48">
        <f t="shared" si="12"/>
        <v>1</v>
      </c>
      <c r="K274" s="48">
        <f t="shared" si="13"/>
        <v>0</v>
      </c>
      <c r="L274" s="68">
        <f t="shared" si="14"/>
        <v>0</v>
      </c>
    </row>
    <row r="275" spans="2:12" x14ac:dyDescent="0.85">
      <c r="B275" s="46">
        <v>269</v>
      </c>
      <c r="C275" s="10"/>
      <c r="D275" s="66"/>
      <c r="E275" s="10"/>
      <c r="F275" s="226"/>
      <c r="G275" s="47">
        <v>1</v>
      </c>
      <c r="H275" s="72"/>
      <c r="I275" s="10"/>
      <c r="J275" s="46">
        <f t="shared" si="12"/>
        <v>1</v>
      </c>
      <c r="K275" s="46">
        <f t="shared" si="13"/>
        <v>0</v>
      </c>
      <c r="L275" s="69">
        <f t="shared" si="14"/>
        <v>0</v>
      </c>
    </row>
    <row r="276" spans="2:12" x14ac:dyDescent="0.85">
      <c r="B276" s="48">
        <v>270</v>
      </c>
      <c r="C276" s="44"/>
      <c r="D276" s="50"/>
      <c r="E276" s="44"/>
      <c r="F276" s="227"/>
      <c r="G276" s="49">
        <v>1</v>
      </c>
      <c r="H276" s="73"/>
      <c r="I276" s="44"/>
      <c r="J276" s="48">
        <f t="shared" si="12"/>
        <v>1</v>
      </c>
      <c r="K276" s="48">
        <f t="shared" si="13"/>
        <v>0</v>
      </c>
      <c r="L276" s="68">
        <f t="shared" si="14"/>
        <v>0</v>
      </c>
    </row>
    <row r="277" spans="2:12" x14ac:dyDescent="0.85">
      <c r="B277" s="46">
        <v>271</v>
      </c>
      <c r="C277" s="10"/>
      <c r="D277" s="66"/>
      <c r="E277" s="10"/>
      <c r="F277" s="226"/>
      <c r="G277" s="47">
        <v>1</v>
      </c>
      <c r="H277" s="72"/>
      <c r="I277" s="10"/>
      <c r="J277" s="46">
        <f t="shared" si="12"/>
        <v>1</v>
      </c>
      <c r="K277" s="46">
        <f t="shared" si="13"/>
        <v>0</v>
      </c>
      <c r="L277" s="69">
        <f t="shared" si="14"/>
        <v>0</v>
      </c>
    </row>
    <row r="278" spans="2:12" x14ac:dyDescent="0.85">
      <c r="B278" s="48">
        <v>272</v>
      </c>
      <c r="C278" s="44"/>
      <c r="D278" s="50"/>
      <c r="E278" s="44"/>
      <c r="F278" s="227"/>
      <c r="G278" s="49">
        <v>1</v>
      </c>
      <c r="H278" s="73"/>
      <c r="I278" s="44"/>
      <c r="J278" s="48">
        <f t="shared" si="12"/>
        <v>1</v>
      </c>
      <c r="K278" s="48">
        <f t="shared" si="13"/>
        <v>0</v>
      </c>
      <c r="L278" s="68">
        <f t="shared" si="14"/>
        <v>0</v>
      </c>
    </row>
    <row r="279" spans="2:12" x14ac:dyDescent="0.85">
      <c r="B279" s="46">
        <v>273</v>
      </c>
      <c r="C279" s="10"/>
      <c r="D279" s="66"/>
      <c r="E279" s="10"/>
      <c r="F279" s="226"/>
      <c r="G279" s="47">
        <v>1</v>
      </c>
      <c r="H279" s="72"/>
      <c r="I279" s="10"/>
      <c r="J279" s="46">
        <f t="shared" si="12"/>
        <v>1</v>
      </c>
      <c r="K279" s="46">
        <f t="shared" si="13"/>
        <v>0</v>
      </c>
      <c r="L279" s="69">
        <f t="shared" si="14"/>
        <v>0</v>
      </c>
    </row>
    <row r="280" spans="2:12" x14ac:dyDescent="0.85">
      <c r="B280" s="48">
        <v>274</v>
      </c>
      <c r="C280" s="44"/>
      <c r="D280" s="50"/>
      <c r="E280" s="44"/>
      <c r="F280" s="227"/>
      <c r="G280" s="49">
        <v>1</v>
      </c>
      <c r="H280" s="73"/>
      <c r="I280" s="44"/>
      <c r="J280" s="48">
        <f t="shared" si="12"/>
        <v>1</v>
      </c>
      <c r="K280" s="48">
        <f t="shared" si="13"/>
        <v>0</v>
      </c>
      <c r="L280" s="68">
        <f t="shared" si="14"/>
        <v>0</v>
      </c>
    </row>
    <row r="281" spans="2:12" x14ac:dyDescent="0.85">
      <c r="B281" s="46">
        <v>275</v>
      </c>
      <c r="C281" s="10"/>
      <c r="D281" s="66"/>
      <c r="E281" s="10"/>
      <c r="F281" s="226"/>
      <c r="G281" s="47">
        <v>1</v>
      </c>
      <c r="H281" s="72"/>
      <c r="I281" s="10"/>
      <c r="J281" s="46">
        <f t="shared" si="12"/>
        <v>1</v>
      </c>
      <c r="K281" s="46">
        <f t="shared" si="13"/>
        <v>0</v>
      </c>
      <c r="L281" s="69">
        <f t="shared" si="14"/>
        <v>0</v>
      </c>
    </row>
    <row r="282" spans="2:12" x14ac:dyDescent="0.85">
      <c r="B282" s="48">
        <v>276</v>
      </c>
      <c r="C282" s="44"/>
      <c r="D282" s="50"/>
      <c r="E282" s="44"/>
      <c r="F282" s="227"/>
      <c r="G282" s="49">
        <v>1</v>
      </c>
      <c r="H282" s="73"/>
      <c r="I282" s="44"/>
      <c r="J282" s="48">
        <f t="shared" si="12"/>
        <v>1</v>
      </c>
      <c r="K282" s="48">
        <f t="shared" si="13"/>
        <v>0</v>
      </c>
      <c r="L282" s="68">
        <f t="shared" si="14"/>
        <v>0</v>
      </c>
    </row>
    <row r="283" spans="2:12" x14ac:dyDescent="0.85">
      <c r="B283" s="46">
        <v>277</v>
      </c>
      <c r="C283" s="10"/>
      <c r="D283" s="66"/>
      <c r="E283" s="10"/>
      <c r="F283" s="226"/>
      <c r="G283" s="47">
        <v>1</v>
      </c>
      <c r="H283" s="72"/>
      <c r="I283" s="10"/>
      <c r="J283" s="46">
        <f t="shared" si="12"/>
        <v>1</v>
      </c>
      <c r="K283" s="46">
        <f t="shared" si="13"/>
        <v>0</v>
      </c>
      <c r="L283" s="69">
        <f t="shared" si="14"/>
        <v>0</v>
      </c>
    </row>
    <row r="284" spans="2:12" x14ac:dyDescent="0.85">
      <c r="B284" s="48">
        <v>278</v>
      </c>
      <c r="C284" s="44"/>
      <c r="D284" s="50"/>
      <c r="E284" s="44"/>
      <c r="F284" s="227"/>
      <c r="G284" s="49">
        <v>1</v>
      </c>
      <c r="H284" s="73"/>
      <c r="I284" s="44"/>
      <c r="J284" s="48">
        <f t="shared" si="12"/>
        <v>1</v>
      </c>
      <c r="K284" s="48">
        <f t="shared" si="13"/>
        <v>0</v>
      </c>
      <c r="L284" s="68">
        <f t="shared" si="14"/>
        <v>0</v>
      </c>
    </row>
    <row r="285" spans="2:12" x14ac:dyDescent="0.85">
      <c r="B285" s="46">
        <v>279</v>
      </c>
      <c r="C285" s="10"/>
      <c r="D285" s="66"/>
      <c r="E285" s="10"/>
      <c r="F285" s="226"/>
      <c r="G285" s="47">
        <v>1</v>
      </c>
      <c r="H285" s="72"/>
      <c r="I285" s="10"/>
      <c r="J285" s="46">
        <f t="shared" si="12"/>
        <v>1</v>
      </c>
      <c r="K285" s="46">
        <f t="shared" si="13"/>
        <v>0</v>
      </c>
      <c r="L285" s="69">
        <f t="shared" si="14"/>
        <v>0</v>
      </c>
    </row>
    <row r="286" spans="2:12" x14ac:dyDescent="0.85">
      <c r="B286" s="48">
        <v>280</v>
      </c>
      <c r="C286" s="44"/>
      <c r="D286" s="50"/>
      <c r="E286" s="44"/>
      <c r="F286" s="227"/>
      <c r="G286" s="49">
        <v>1</v>
      </c>
      <c r="H286" s="73"/>
      <c r="I286" s="44"/>
      <c r="J286" s="48">
        <f t="shared" si="12"/>
        <v>1</v>
      </c>
      <c r="K286" s="48">
        <f t="shared" si="13"/>
        <v>0</v>
      </c>
      <c r="L286" s="68">
        <f t="shared" si="14"/>
        <v>0</v>
      </c>
    </row>
    <row r="287" spans="2:12" x14ac:dyDescent="0.85">
      <c r="B287" s="46">
        <v>281</v>
      </c>
      <c r="C287" s="10"/>
      <c r="D287" s="66"/>
      <c r="E287" s="10"/>
      <c r="F287" s="226"/>
      <c r="G287" s="47">
        <v>1</v>
      </c>
      <c r="H287" s="72"/>
      <c r="I287" s="10"/>
      <c r="J287" s="46">
        <f t="shared" si="12"/>
        <v>1</v>
      </c>
      <c r="K287" s="46">
        <f t="shared" si="13"/>
        <v>0</v>
      </c>
      <c r="L287" s="69">
        <f t="shared" si="14"/>
        <v>0</v>
      </c>
    </row>
    <row r="288" spans="2:12" x14ac:dyDescent="0.85">
      <c r="B288" s="48">
        <v>282</v>
      </c>
      <c r="C288" s="44"/>
      <c r="D288" s="50"/>
      <c r="E288" s="44"/>
      <c r="F288" s="227"/>
      <c r="G288" s="49">
        <v>1</v>
      </c>
      <c r="H288" s="73"/>
      <c r="I288" s="44"/>
      <c r="J288" s="48">
        <f t="shared" si="12"/>
        <v>1</v>
      </c>
      <c r="K288" s="48">
        <f t="shared" si="13"/>
        <v>0</v>
      </c>
      <c r="L288" s="68">
        <f t="shared" si="14"/>
        <v>0</v>
      </c>
    </row>
    <row r="289" spans="2:12" x14ac:dyDescent="0.85">
      <c r="B289" s="46">
        <v>283</v>
      </c>
      <c r="C289" s="10"/>
      <c r="D289" s="66"/>
      <c r="E289" s="10"/>
      <c r="F289" s="226"/>
      <c r="G289" s="47">
        <v>1</v>
      </c>
      <c r="H289" s="72"/>
      <c r="I289" s="10"/>
      <c r="J289" s="46">
        <f t="shared" si="12"/>
        <v>1</v>
      </c>
      <c r="K289" s="46">
        <f t="shared" si="13"/>
        <v>0</v>
      </c>
      <c r="L289" s="69">
        <f t="shared" si="14"/>
        <v>0</v>
      </c>
    </row>
    <row r="290" spans="2:12" x14ac:dyDescent="0.85">
      <c r="B290" s="48">
        <v>284</v>
      </c>
      <c r="C290" s="44"/>
      <c r="D290" s="50"/>
      <c r="E290" s="44"/>
      <c r="F290" s="227"/>
      <c r="G290" s="49">
        <v>1</v>
      </c>
      <c r="H290" s="73"/>
      <c r="I290" s="44"/>
      <c r="J290" s="48">
        <f t="shared" si="12"/>
        <v>1</v>
      </c>
      <c r="K290" s="48">
        <f t="shared" si="13"/>
        <v>0</v>
      </c>
      <c r="L290" s="68">
        <f t="shared" si="14"/>
        <v>0</v>
      </c>
    </row>
    <row r="291" spans="2:12" x14ac:dyDescent="0.85">
      <c r="B291" s="46">
        <v>285</v>
      </c>
      <c r="C291" s="10"/>
      <c r="D291" s="66"/>
      <c r="E291" s="10"/>
      <c r="F291" s="226"/>
      <c r="G291" s="47">
        <v>1</v>
      </c>
      <c r="H291" s="72"/>
      <c r="I291" s="10"/>
      <c r="J291" s="46">
        <f t="shared" si="12"/>
        <v>1</v>
      </c>
      <c r="K291" s="46">
        <f t="shared" si="13"/>
        <v>0</v>
      </c>
      <c r="L291" s="69">
        <f t="shared" si="14"/>
        <v>0</v>
      </c>
    </row>
    <row r="292" spans="2:12" x14ac:dyDescent="0.85">
      <c r="B292" s="48">
        <v>286</v>
      </c>
      <c r="C292" s="44"/>
      <c r="D292" s="50"/>
      <c r="E292" s="44"/>
      <c r="F292" s="227"/>
      <c r="G292" s="49">
        <v>1</v>
      </c>
      <c r="H292" s="73"/>
      <c r="I292" s="44"/>
      <c r="J292" s="48">
        <f t="shared" si="12"/>
        <v>1</v>
      </c>
      <c r="K292" s="48">
        <f t="shared" si="13"/>
        <v>0</v>
      </c>
      <c r="L292" s="68">
        <f t="shared" si="14"/>
        <v>0</v>
      </c>
    </row>
    <row r="293" spans="2:12" x14ac:dyDescent="0.85">
      <c r="B293" s="46">
        <v>287</v>
      </c>
      <c r="C293" s="10"/>
      <c r="D293" s="66"/>
      <c r="E293" s="10"/>
      <c r="F293" s="226"/>
      <c r="G293" s="47">
        <v>1</v>
      </c>
      <c r="H293" s="72"/>
      <c r="I293" s="10"/>
      <c r="J293" s="46">
        <f t="shared" si="12"/>
        <v>1</v>
      </c>
      <c r="K293" s="46">
        <f t="shared" si="13"/>
        <v>0</v>
      </c>
      <c r="L293" s="69">
        <f t="shared" si="14"/>
        <v>0</v>
      </c>
    </row>
    <row r="294" spans="2:12" x14ac:dyDescent="0.85">
      <c r="B294" s="48">
        <v>288</v>
      </c>
      <c r="C294" s="44"/>
      <c r="D294" s="50"/>
      <c r="E294" s="44"/>
      <c r="F294" s="227"/>
      <c r="G294" s="49">
        <v>1</v>
      </c>
      <c r="H294" s="73"/>
      <c r="I294" s="44"/>
      <c r="J294" s="48">
        <f t="shared" si="12"/>
        <v>1</v>
      </c>
      <c r="K294" s="48">
        <f t="shared" si="13"/>
        <v>0</v>
      </c>
      <c r="L294" s="68">
        <f t="shared" si="14"/>
        <v>0</v>
      </c>
    </row>
    <row r="295" spans="2:12" x14ac:dyDescent="0.85">
      <c r="B295" s="46">
        <v>289</v>
      </c>
      <c r="C295" s="10"/>
      <c r="D295" s="66"/>
      <c r="E295" s="10"/>
      <c r="F295" s="226"/>
      <c r="G295" s="47">
        <v>1</v>
      </c>
      <c r="H295" s="72"/>
      <c r="I295" s="10"/>
      <c r="J295" s="46">
        <f t="shared" si="12"/>
        <v>1</v>
      </c>
      <c r="K295" s="46">
        <f t="shared" si="13"/>
        <v>0</v>
      </c>
      <c r="L295" s="69">
        <f t="shared" si="14"/>
        <v>0</v>
      </c>
    </row>
    <row r="296" spans="2:12" x14ac:dyDescent="0.85">
      <c r="B296" s="48">
        <v>290</v>
      </c>
      <c r="C296" s="44"/>
      <c r="D296" s="50"/>
      <c r="E296" s="44"/>
      <c r="F296" s="227"/>
      <c r="G296" s="49">
        <v>1</v>
      </c>
      <c r="H296" s="73"/>
      <c r="I296" s="44"/>
      <c r="J296" s="48">
        <f t="shared" si="12"/>
        <v>1</v>
      </c>
      <c r="K296" s="48">
        <f t="shared" si="13"/>
        <v>0</v>
      </c>
      <c r="L296" s="68">
        <f t="shared" si="14"/>
        <v>0</v>
      </c>
    </row>
    <row r="297" spans="2:12" x14ac:dyDescent="0.85">
      <c r="B297" s="46">
        <v>291</v>
      </c>
      <c r="C297" s="10"/>
      <c r="D297" s="66"/>
      <c r="E297" s="10"/>
      <c r="F297" s="226"/>
      <c r="G297" s="47">
        <v>1</v>
      </c>
      <c r="H297" s="72"/>
      <c r="I297" s="10"/>
      <c r="J297" s="46">
        <f t="shared" si="12"/>
        <v>1</v>
      </c>
      <c r="K297" s="46">
        <f t="shared" si="13"/>
        <v>0</v>
      </c>
      <c r="L297" s="69">
        <f t="shared" si="14"/>
        <v>0</v>
      </c>
    </row>
    <row r="298" spans="2:12" x14ac:dyDescent="0.85">
      <c r="B298" s="48">
        <v>292</v>
      </c>
      <c r="C298" s="44"/>
      <c r="D298" s="50"/>
      <c r="E298" s="44"/>
      <c r="F298" s="227"/>
      <c r="G298" s="49">
        <v>1</v>
      </c>
      <c r="H298" s="73"/>
      <c r="I298" s="44"/>
      <c r="J298" s="48">
        <f t="shared" si="12"/>
        <v>1</v>
      </c>
      <c r="K298" s="48">
        <f t="shared" si="13"/>
        <v>0</v>
      </c>
      <c r="L298" s="68">
        <f t="shared" si="14"/>
        <v>0</v>
      </c>
    </row>
    <row r="299" spans="2:12" x14ac:dyDescent="0.85">
      <c r="B299" s="46">
        <v>293</v>
      </c>
      <c r="C299" s="10"/>
      <c r="D299" s="66"/>
      <c r="E299" s="10"/>
      <c r="F299" s="226"/>
      <c r="G299" s="47">
        <v>1</v>
      </c>
      <c r="H299" s="72"/>
      <c r="I299" s="10"/>
      <c r="J299" s="46">
        <f t="shared" si="12"/>
        <v>1</v>
      </c>
      <c r="K299" s="46">
        <f t="shared" si="13"/>
        <v>0</v>
      </c>
      <c r="L299" s="69">
        <f t="shared" si="14"/>
        <v>0</v>
      </c>
    </row>
    <row r="300" spans="2:12" x14ac:dyDescent="0.85">
      <c r="B300" s="48">
        <v>294</v>
      </c>
      <c r="C300" s="44"/>
      <c r="D300" s="50"/>
      <c r="E300" s="44"/>
      <c r="F300" s="227"/>
      <c r="G300" s="49">
        <v>1</v>
      </c>
      <c r="H300" s="73"/>
      <c r="I300" s="44"/>
      <c r="J300" s="48">
        <f t="shared" si="12"/>
        <v>1</v>
      </c>
      <c r="K300" s="48">
        <f t="shared" si="13"/>
        <v>0</v>
      </c>
      <c r="L300" s="68">
        <f t="shared" si="14"/>
        <v>0</v>
      </c>
    </row>
    <row r="301" spans="2:12" x14ac:dyDescent="0.85">
      <c r="B301" s="46">
        <v>295</v>
      </c>
      <c r="C301" s="10"/>
      <c r="D301" s="66"/>
      <c r="E301" s="10"/>
      <c r="F301" s="226"/>
      <c r="G301" s="47">
        <v>1</v>
      </c>
      <c r="H301" s="72"/>
      <c r="I301" s="10"/>
      <c r="J301" s="46">
        <f t="shared" si="12"/>
        <v>1</v>
      </c>
      <c r="K301" s="46">
        <f t="shared" si="13"/>
        <v>0</v>
      </c>
      <c r="L301" s="69">
        <f t="shared" si="14"/>
        <v>0</v>
      </c>
    </row>
    <row r="302" spans="2:12" x14ac:dyDescent="0.85">
      <c r="B302" s="48">
        <v>296</v>
      </c>
      <c r="C302" s="44"/>
      <c r="D302" s="50"/>
      <c r="E302" s="44"/>
      <c r="F302" s="227"/>
      <c r="G302" s="49">
        <v>1</v>
      </c>
      <c r="H302" s="73"/>
      <c r="I302" s="44"/>
      <c r="J302" s="48">
        <f t="shared" si="12"/>
        <v>1</v>
      </c>
      <c r="K302" s="48">
        <f t="shared" si="13"/>
        <v>0</v>
      </c>
      <c r="L302" s="68">
        <f t="shared" si="14"/>
        <v>0</v>
      </c>
    </row>
    <row r="303" spans="2:12" x14ac:dyDescent="0.85">
      <c r="B303" s="46">
        <v>297</v>
      </c>
      <c r="C303" s="10"/>
      <c r="D303" s="66"/>
      <c r="E303" s="10"/>
      <c r="F303" s="226"/>
      <c r="G303" s="47">
        <v>1</v>
      </c>
      <c r="H303" s="72"/>
      <c r="I303" s="10"/>
      <c r="J303" s="46">
        <f t="shared" si="12"/>
        <v>1</v>
      </c>
      <c r="K303" s="46">
        <f t="shared" si="13"/>
        <v>0</v>
      </c>
      <c r="L303" s="69">
        <f t="shared" si="14"/>
        <v>0</v>
      </c>
    </row>
    <row r="304" spans="2:12" x14ac:dyDescent="0.85">
      <c r="B304" s="48">
        <v>298</v>
      </c>
      <c r="C304" s="44"/>
      <c r="D304" s="50"/>
      <c r="E304" s="44"/>
      <c r="F304" s="227"/>
      <c r="G304" s="49">
        <v>1</v>
      </c>
      <c r="H304" s="73"/>
      <c r="I304" s="44"/>
      <c r="J304" s="48">
        <f t="shared" si="12"/>
        <v>1</v>
      </c>
      <c r="K304" s="48">
        <f t="shared" si="13"/>
        <v>0</v>
      </c>
      <c r="L304" s="68">
        <f t="shared" si="14"/>
        <v>0</v>
      </c>
    </row>
    <row r="305" spans="2:12" x14ac:dyDescent="0.85">
      <c r="B305" s="46">
        <v>299</v>
      </c>
      <c r="C305" s="10"/>
      <c r="D305" s="66"/>
      <c r="E305" s="10"/>
      <c r="F305" s="226"/>
      <c r="G305" s="47">
        <v>1</v>
      </c>
      <c r="H305" s="72"/>
      <c r="I305" s="10"/>
      <c r="J305" s="46">
        <f t="shared" si="12"/>
        <v>1</v>
      </c>
      <c r="K305" s="46">
        <f t="shared" si="13"/>
        <v>0</v>
      </c>
      <c r="L305" s="69">
        <f t="shared" si="14"/>
        <v>0</v>
      </c>
    </row>
    <row r="306" spans="2:12" x14ac:dyDescent="0.85">
      <c r="B306" s="48">
        <v>300</v>
      </c>
      <c r="C306" s="44"/>
      <c r="D306" s="50"/>
      <c r="E306" s="44"/>
      <c r="F306" s="227"/>
      <c r="G306" s="49">
        <v>1</v>
      </c>
      <c r="H306" s="73"/>
      <c r="I306" s="44"/>
      <c r="J306" s="48">
        <f t="shared" si="12"/>
        <v>1</v>
      </c>
      <c r="K306" s="48">
        <f t="shared" si="13"/>
        <v>0</v>
      </c>
      <c r="L306" s="68">
        <f t="shared" si="14"/>
        <v>0</v>
      </c>
    </row>
    <row r="307" spans="2:12" x14ac:dyDescent="0.85">
      <c r="B307" s="46">
        <v>301</v>
      </c>
      <c r="C307" s="10"/>
      <c r="D307" s="66"/>
      <c r="E307" s="10"/>
      <c r="F307" s="226"/>
      <c r="G307" s="47">
        <v>1</v>
      </c>
      <c r="H307" s="72"/>
      <c r="I307" s="10"/>
      <c r="J307" s="46">
        <f t="shared" si="12"/>
        <v>1</v>
      </c>
      <c r="K307" s="46">
        <f t="shared" si="13"/>
        <v>0</v>
      </c>
      <c r="L307" s="69">
        <f t="shared" si="14"/>
        <v>0</v>
      </c>
    </row>
    <row r="308" spans="2:12" x14ac:dyDescent="0.85">
      <c r="B308" s="48">
        <v>302</v>
      </c>
      <c r="C308" s="44"/>
      <c r="D308" s="50"/>
      <c r="E308" s="44"/>
      <c r="F308" s="227"/>
      <c r="G308" s="49">
        <v>1</v>
      </c>
      <c r="H308" s="73"/>
      <c r="I308" s="44"/>
      <c r="J308" s="48">
        <f t="shared" si="12"/>
        <v>1</v>
      </c>
      <c r="K308" s="48">
        <f t="shared" si="13"/>
        <v>0</v>
      </c>
      <c r="L308" s="68">
        <f t="shared" si="14"/>
        <v>0</v>
      </c>
    </row>
    <row r="309" spans="2:12" x14ac:dyDescent="0.85">
      <c r="B309" s="46">
        <v>303</v>
      </c>
      <c r="C309" s="10"/>
      <c r="D309" s="66"/>
      <c r="E309" s="10"/>
      <c r="F309" s="226"/>
      <c r="G309" s="47">
        <v>1</v>
      </c>
      <c r="H309" s="72"/>
      <c r="I309" s="10"/>
      <c r="J309" s="46">
        <f t="shared" si="12"/>
        <v>1</v>
      </c>
      <c r="K309" s="46">
        <f t="shared" si="13"/>
        <v>0</v>
      </c>
      <c r="L309" s="69">
        <f t="shared" si="14"/>
        <v>0</v>
      </c>
    </row>
    <row r="310" spans="2:12" x14ac:dyDescent="0.85">
      <c r="B310" s="48">
        <v>304</v>
      </c>
      <c r="C310" s="44"/>
      <c r="D310" s="50"/>
      <c r="E310" s="44"/>
      <c r="F310" s="227"/>
      <c r="G310" s="49">
        <v>1</v>
      </c>
      <c r="H310" s="73"/>
      <c r="I310" s="44"/>
      <c r="J310" s="48">
        <f t="shared" si="12"/>
        <v>1</v>
      </c>
      <c r="K310" s="48">
        <f t="shared" si="13"/>
        <v>0</v>
      </c>
      <c r="L310" s="68">
        <f t="shared" si="14"/>
        <v>0</v>
      </c>
    </row>
    <row r="311" spans="2:12" x14ac:dyDescent="0.85">
      <c r="B311" s="46">
        <v>305</v>
      </c>
      <c r="C311" s="10"/>
      <c r="D311" s="66"/>
      <c r="E311" s="10"/>
      <c r="F311" s="226"/>
      <c r="G311" s="47">
        <v>1</v>
      </c>
      <c r="H311" s="72"/>
      <c r="I311" s="10"/>
      <c r="J311" s="46">
        <f t="shared" si="12"/>
        <v>1</v>
      </c>
      <c r="K311" s="46">
        <f t="shared" si="13"/>
        <v>0</v>
      </c>
      <c r="L311" s="69">
        <f t="shared" si="14"/>
        <v>0</v>
      </c>
    </row>
    <row r="312" spans="2:12" x14ac:dyDescent="0.85">
      <c r="B312" s="48">
        <v>306</v>
      </c>
      <c r="C312" s="44"/>
      <c r="D312" s="50"/>
      <c r="E312" s="44"/>
      <c r="F312" s="227"/>
      <c r="G312" s="49">
        <v>1</v>
      </c>
      <c r="H312" s="73"/>
      <c r="I312" s="44"/>
      <c r="J312" s="48">
        <f t="shared" si="12"/>
        <v>1</v>
      </c>
      <c r="K312" s="48">
        <f t="shared" si="13"/>
        <v>0</v>
      </c>
      <c r="L312" s="68">
        <f t="shared" si="14"/>
        <v>0</v>
      </c>
    </row>
    <row r="313" spans="2:12" x14ac:dyDescent="0.85">
      <c r="B313" s="46">
        <v>307</v>
      </c>
      <c r="C313" s="10"/>
      <c r="D313" s="66"/>
      <c r="E313" s="10"/>
      <c r="F313" s="226"/>
      <c r="G313" s="47">
        <v>1</v>
      </c>
      <c r="H313" s="72"/>
      <c r="I313" s="10"/>
      <c r="J313" s="46">
        <f t="shared" si="12"/>
        <v>1</v>
      </c>
      <c r="K313" s="46">
        <f t="shared" si="13"/>
        <v>0</v>
      </c>
      <c r="L313" s="69">
        <f t="shared" si="14"/>
        <v>0</v>
      </c>
    </row>
    <row r="314" spans="2:12" x14ac:dyDescent="0.85">
      <c r="B314" s="48">
        <v>308</v>
      </c>
      <c r="C314" s="44"/>
      <c r="D314" s="50"/>
      <c r="E314" s="44"/>
      <c r="F314" s="227"/>
      <c r="G314" s="49">
        <v>1</v>
      </c>
      <c r="H314" s="73"/>
      <c r="I314" s="44"/>
      <c r="J314" s="48">
        <f t="shared" si="12"/>
        <v>1</v>
      </c>
      <c r="K314" s="48">
        <f t="shared" si="13"/>
        <v>0</v>
      </c>
      <c r="L314" s="68">
        <f t="shared" si="14"/>
        <v>0</v>
      </c>
    </row>
    <row r="315" spans="2:12" x14ac:dyDescent="0.85">
      <c r="B315" s="46">
        <v>309</v>
      </c>
      <c r="C315" s="10"/>
      <c r="D315" s="66"/>
      <c r="E315" s="10"/>
      <c r="F315" s="226"/>
      <c r="G315" s="47">
        <v>1</v>
      </c>
      <c r="H315" s="72"/>
      <c r="I315" s="10"/>
      <c r="J315" s="46">
        <f t="shared" si="12"/>
        <v>1</v>
      </c>
      <c r="K315" s="46">
        <f t="shared" si="13"/>
        <v>0</v>
      </c>
      <c r="L315" s="69">
        <f t="shared" si="14"/>
        <v>0</v>
      </c>
    </row>
    <row r="316" spans="2:12" x14ac:dyDescent="0.85">
      <c r="B316" s="48">
        <v>310</v>
      </c>
      <c r="C316" s="44"/>
      <c r="D316" s="50"/>
      <c r="E316" s="44"/>
      <c r="F316" s="227"/>
      <c r="G316" s="49">
        <v>1</v>
      </c>
      <c r="H316" s="73"/>
      <c r="I316" s="44"/>
      <c r="J316" s="48">
        <f t="shared" si="12"/>
        <v>1</v>
      </c>
      <c r="K316" s="48">
        <f t="shared" si="13"/>
        <v>0</v>
      </c>
      <c r="L316" s="68">
        <f t="shared" si="14"/>
        <v>0</v>
      </c>
    </row>
    <row r="317" spans="2:12" x14ac:dyDescent="0.85">
      <c r="B317" s="46">
        <v>311</v>
      </c>
      <c r="C317" s="10"/>
      <c r="D317" s="66"/>
      <c r="E317" s="10"/>
      <c r="F317" s="226"/>
      <c r="G317" s="47">
        <v>1</v>
      </c>
      <c r="H317" s="72"/>
      <c r="I317" s="10"/>
      <c r="J317" s="46">
        <f t="shared" si="12"/>
        <v>1</v>
      </c>
      <c r="K317" s="46">
        <f t="shared" si="13"/>
        <v>0</v>
      </c>
      <c r="L317" s="69">
        <f t="shared" si="14"/>
        <v>0</v>
      </c>
    </row>
    <row r="318" spans="2:12" x14ac:dyDescent="0.85">
      <c r="B318" s="48">
        <v>312</v>
      </c>
      <c r="C318" s="44"/>
      <c r="D318" s="50"/>
      <c r="E318" s="44"/>
      <c r="F318" s="227"/>
      <c r="G318" s="49">
        <v>1</v>
      </c>
      <c r="H318" s="73"/>
      <c r="I318" s="44"/>
      <c r="J318" s="48">
        <f t="shared" si="12"/>
        <v>1</v>
      </c>
      <c r="K318" s="48">
        <f t="shared" si="13"/>
        <v>0</v>
      </c>
      <c r="L318" s="68">
        <f t="shared" si="14"/>
        <v>0</v>
      </c>
    </row>
    <row r="319" spans="2:12" x14ac:dyDescent="0.85">
      <c r="B319" s="46">
        <v>313</v>
      </c>
      <c r="C319" s="10"/>
      <c r="D319" s="66"/>
      <c r="E319" s="10"/>
      <c r="F319" s="226"/>
      <c r="G319" s="47">
        <v>1</v>
      </c>
      <c r="H319" s="72"/>
      <c r="I319" s="10"/>
      <c r="J319" s="46">
        <f t="shared" si="12"/>
        <v>1</v>
      </c>
      <c r="K319" s="46">
        <f t="shared" si="13"/>
        <v>0</v>
      </c>
      <c r="L319" s="69">
        <f t="shared" si="14"/>
        <v>0</v>
      </c>
    </row>
    <row r="320" spans="2:12" x14ac:dyDescent="0.85">
      <c r="B320" s="48">
        <v>314</v>
      </c>
      <c r="C320" s="44"/>
      <c r="D320" s="50"/>
      <c r="E320" s="44"/>
      <c r="F320" s="227"/>
      <c r="G320" s="49">
        <v>1</v>
      </c>
      <c r="H320" s="73"/>
      <c r="I320" s="44"/>
      <c r="J320" s="48">
        <f t="shared" si="12"/>
        <v>1</v>
      </c>
      <c r="K320" s="48">
        <f t="shared" si="13"/>
        <v>0</v>
      </c>
      <c r="L320" s="68">
        <f t="shared" si="14"/>
        <v>0</v>
      </c>
    </row>
    <row r="321" spans="2:12" x14ac:dyDescent="0.85">
      <c r="B321" s="46">
        <v>315</v>
      </c>
      <c r="C321" s="10"/>
      <c r="D321" s="66"/>
      <c r="E321" s="10"/>
      <c r="F321" s="226"/>
      <c r="G321" s="47">
        <v>1</v>
      </c>
      <c r="H321" s="72"/>
      <c r="I321" s="10"/>
      <c r="J321" s="46">
        <f t="shared" si="12"/>
        <v>1</v>
      </c>
      <c r="K321" s="46">
        <f t="shared" si="13"/>
        <v>0</v>
      </c>
      <c r="L321" s="69">
        <f t="shared" si="14"/>
        <v>0</v>
      </c>
    </row>
    <row r="322" spans="2:12" x14ac:dyDescent="0.85">
      <c r="B322" s="48">
        <v>316</v>
      </c>
      <c r="C322" s="44"/>
      <c r="D322" s="50"/>
      <c r="E322" s="44"/>
      <c r="F322" s="227"/>
      <c r="G322" s="49">
        <v>1</v>
      </c>
      <c r="H322" s="73"/>
      <c r="I322" s="44"/>
      <c r="J322" s="48">
        <f t="shared" si="12"/>
        <v>1</v>
      </c>
      <c r="K322" s="48">
        <f t="shared" si="13"/>
        <v>0</v>
      </c>
      <c r="L322" s="68">
        <f t="shared" si="14"/>
        <v>0</v>
      </c>
    </row>
    <row r="323" spans="2:12" x14ac:dyDescent="0.85">
      <c r="B323" s="46">
        <v>317</v>
      </c>
      <c r="C323" s="10"/>
      <c r="D323" s="66"/>
      <c r="E323" s="10"/>
      <c r="F323" s="226"/>
      <c r="G323" s="47">
        <v>1</v>
      </c>
      <c r="H323" s="72"/>
      <c r="I323" s="10"/>
      <c r="J323" s="46">
        <f t="shared" si="12"/>
        <v>1</v>
      </c>
      <c r="K323" s="46">
        <f t="shared" si="13"/>
        <v>0</v>
      </c>
      <c r="L323" s="69">
        <f t="shared" si="14"/>
        <v>0</v>
      </c>
    </row>
    <row r="324" spans="2:12" x14ac:dyDescent="0.85">
      <c r="B324" s="48">
        <v>318</v>
      </c>
      <c r="C324" s="44"/>
      <c r="D324" s="50"/>
      <c r="E324" s="44"/>
      <c r="F324" s="227"/>
      <c r="G324" s="49">
        <v>1</v>
      </c>
      <c r="H324" s="73"/>
      <c r="I324" s="44"/>
      <c r="J324" s="48">
        <f t="shared" si="12"/>
        <v>1</v>
      </c>
      <c r="K324" s="48">
        <f t="shared" si="13"/>
        <v>0</v>
      </c>
      <c r="L324" s="68">
        <f t="shared" si="14"/>
        <v>0</v>
      </c>
    </row>
    <row r="325" spans="2:12" x14ac:dyDescent="0.85">
      <c r="B325" s="46">
        <v>319</v>
      </c>
      <c r="C325" s="10"/>
      <c r="D325" s="66"/>
      <c r="E325" s="10"/>
      <c r="F325" s="226"/>
      <c r="G325" s="47">
        <v>1</v>
      </c>
      <c r="H325" s="72"/>
      <c r="I325" s="10"/>
      <c r="J325" s="46">
        <f t="shared" si="12"/>
        <v>1</v>
      </c>
      <c r="K325" s="46">
        <f t="shared" si="13"/>
        <v>0</v>
      </c>
      <c r="L325" s="69">
        <f t="shared" si="14"/>
        <v>0</v>
      </c>
    </row>
    <row r="326" spans="2:12" x14ac:dyDescent="0.85">
      <c r="B326" s="48">
        <v>320</v>
      </c>
      <c r="C326" s="44"/>
      <c r="D326" s="50"/>
      <c r="E326" s="44"/>
      <c r="F326" s="227"/>
      <c r="G326" s="49">
        <v>1</v>
      </c>
      <c r="H326" s="73"/>
      <c r="I326" s="44"/>
      <c r="J326" s="48">
        <f t="shared" si="12"/>
        <v>1</v>
      </c>
      <c r="K326" s="48">
        <f t="shared" si="13"/>
        <v>0</v>
      </c>
      <c r="L326" s="68">
        <f t="shared" si="14"/>
        <v>0</v>
      </c>
    </row>
    <row r="327" spans="2:12" x14ac:dyDescent="0.85">
      <c r="B327" s="46">
        <v>321</v>
      </c>
      <c r="C327" s="10"/>
      <c r="D327" s="66"/>
      <c r="E327" s="10"/>
      <c r="F327" s="226"/>
      <c r="G327" s="47">
        <v>1</v>
      </c>
      <c r="H327" s="72"/>
      <c r="I327" s="10"/>
      <c r="J327" s="46">
        <f t="shared" ref="J327:J390" si="15">IF(ISBLANK(H327),1,H327)</f>
        <v>1</v>
      </c>
      <c r="K327" s="46">
        <f t="shared" ref="K327:K390" si="16">IF(COUNTIF(FreeElements, E327)&gt;0, F327, 0)</f>
        <v>0</v>
      </c>
      <c r="L327" s="69">
        <f t="shared" ref="L327:L390" si="17">J327*K327</f>
        <v>0</v>
      </c>
    </row>
    <row r="328" spans="2:12" x14ac:dyDescent="0.85">
      <c r="B328" s="48">
        <v>322</v>
      </c>
      <c r="C328" s="44"/>
      <c r="D328" s="50"/>
      <c r="E328" s="44"/>
      <c r="F328" s="227"/>
      <c r="G328" s="49">
        <v>1</v>
      </c>
      <c r="H328" s="73"/>
      <c r="I328" s="44"/>
      <c r="J328" s="48">
        <f t="shared" si="15"/>
        <v>1</v>
      </c>
      <c r="K328" s="48">
        <f t="shared" si="16"/>
        <v>0</v>
      </c>
      <c r="L328" s="68">
        <f t="shared" si="17"/>
        <v>0</v>
      </c>
    </row>
    <row r="329" spans="2:12" x14ac:dyDescent="0.85">
      <c r="B329" s="46">
        <v>323</v>
      </c>
      <c r="C329" s="10"/>
      <c r="D329" s="66"/>
      <c r="E329" s="10"/>
      <c r="F329" s="226"/>
      <c r="G329" s="47">
        <v>1</v>
      </c>
      <c r="H329" s="72"/>
      <c r="I329" s="10"/>
      <c r="J329" s="46">
        <f t="shared" si="15"/>
        <v>1</v>
      </c>
      <c r="K329" s="46">
        <f t="shared" si="16"/>
        <v>0</v>
      </c>
      <c r="L329" s="69">
        <f t="shared" si="17"/>
        <v>0</v>
      </c>
    </row>
    <row r="330" spans="2:12" x14ac:dyDescent="0.85">
      <c r="B330" s="48">
        <v>324</v>
      </c>
      <c r="C330" s="44"/>
      <c r="D330" s="50"/>
      <c r="E330" s="44"/>
      <c r="F330" s="227"/>
      <c r="G330" s="49">
        <v>1</v>
      </c>
      <c r="H330" s="73"/>
      <c r="I330" s="44"/>
      <c r="J330" s="48">
        <f t="shared" si="15"/>
        <v>1</v>
      </c>
      <c r="K330" s="48">
        <f t="shared" si="16"/>
        <v>0</v>
      </c>
      <c r="L330" s="68">
        <f t="shared" si="17"/>
        <v>0</v>
      </c>
    </row>
    <row r="331" spans="2:12" x14ac:dyDescent="0.85">
      <c r="B331" s="46">
        <v>325</v>
      </c>
      <c r="C331" s="10"/>
      <c r="D331" s="66"/>
      <c r="E331" s="10"/>
      <c r="F331" s="226"/>
      <c r="G331" s="47">
        <v>1</v>
      </c>
      <c r="H331" s="72"/>
      <c r="I331" s="10"/>
      <c r="J331" s="46">
        <f t="shared" si="15"/>
        <v>1</v>
      </c>
      <c r="K331" s="46">
        <f t="shared" si="16"/>
        <v>0</v>
      </c>
      <c r="L331" s="69">
        <f t="shared" si="17"/>
        <v>0</v>
      </c>
    </row>
    <row r="332" spans="2:12" x14ac:dyDescent="0.85">
      <c r="B332" s="48">
        <v>326</v>
      </c>
      <c r="C332" s="44"/>
      <c r="D332" s="50"/>
      <c r="E332" s="44"/>
      <c r="F332" s="227"/>
      <c r="G332" s="49">
        <v>1</v>
      </c>
      <c r="H332" s="73"/>
      <c r="I332" s="44"/>
      <c r="J332" s="48">
        <f t="shared" si="15"/>
        <v>1</v>
      </c>
      <c r="K332" s="48">
        <f t="shared" si="16"/>
        <v>0</v>
      </c>
      <c r="L332" s="68">
        <f t="shared" si="17"/>
        <v>0</v>
      </c>
    </row>
    <row r="333" spans="2:12" x14ac:dyDescent="0.85">
      <c r="B333" s="46">
        <v>327</v>
      </c>
      <c r="C333" s="10"/>
      <c r="D333" s="66"/>
      <c r="E333" s="10"/>
      <c r="F333" s="226"/>
      <c r="G333" s="47">
        <v>1</v>
      </c>
      <c r="H333" s="72"/>
      <c r="I333" s="10"/>
      <c r="J333" s="46">
        <f t="shared" si="15"/>
        <v>1</v>
      </c>
      <c r="K333" s="46">
        <f t="shared" si="16"/>
        <v>0</v>
      </c>
      <c r="L333" s="69">
        <f t="shared" si="17"/>
        <v>0</v>
      </c>
    </row>
    <row r="334" spans="2:12" x14ac:dyDescent="0.85">
      <c r="B334" s="48">
        <v>328</v>
      </c>
      <c r="C334" s="44"/>
      <c r="D334" s="50"/>
      <c r="E334" s="44"/>
      <c r="F334" s="227"/>
      <c r="G334" s="49">
        <v>1</v>
      </c>
      <c r="H334" s="73"/>
      <c r="I334" s="44"/>
      <c r="J334" s="48">
        <f t="shared" si="15"/>
        <v>1</v>
      </c>
      <c r="K334" s="48">
        <f t="shared" si="16"/>
        <v>0</v>
      </c>
      <c r="L334" s="68">
        <f t="shared" si="17"/>
        <v>0</v>
      </c>
    </row>
    <row r="335" spans="2:12" x14ac:dyDescent="0.85">
      <c r="B335" s="46">
        <v>329</v>
      </c>
      <c r="C335" s="10"/>
      <c r="D335" s="66"/>
      <c r="E335" s="10"/>
      <c r="F335" s="226"/>
      <c r="G335" s="47">
        <v>1</v>
      </c>
      <c r="H335" s="72"/>
      <c r="I335" s="10"/>
      <c r="J335" s="46">
        <f t="shared" si="15"/>
        <v>1</v>
      </c>
      <c r="K335" s="46">
        <f t="shared" si="16"/>
        <v>0</v>
      </c>
      <c r="L335" s="69">
        <f t="shared" si="17"/>
        <v>0</v>
      </c>
    </row>
    <row r="336" spans="2:12" x14ac:dyDescent="0.85">
      <c r="B336" s="48">
        <v>330</v>
      </c>
      <c r="C336" s="44"/>
      <c r="D336" s="50"/>
      <c r="E336" s="44"/>
      <c r="F336" s="227"/>
      <c r="G336" s="49">
        <v>1</v>
      </c>
      <c r="H336" s="73"/>
      <c r="I336" s="44"/>
      <c r="J336" s="48">
        <f t="shared" si="15"/>
        <v>1</v>
      </c>
      <c r="K336" s="48">
        <f t="shared" si="16"/>
        <v>0</v>
      </c>
      <c r="L336" s="68">
        <f t="shared" si="17"/>
        <v>0</v>
      </c>
    </row>
    <row r="337" spans="2:12" x14ac:dyDescent="0.85">
      <c r="B337" s="46">
        <v>331</v>
      </c>
      <c r="C337" s="10"/>
      <c r="D337" s="66"/>
      <c r="E337" s="10"/>
      <c r="F337" s="226"/>
      <c r="G337" s="47">
        <v>1</v>
      </c>
      <c r="H337" s="72"/>
      <c r="I337" s="10"/>
      <c r="J337" s="46">
        <f t="shared" si="15"/>
        <v>1</v>
      </c>
      <c r="K337" s="46">
        <f t="shared" si="16"/>
        <v>0</v>
      </c>
      <c r="L337" s="69">
        <f t="shared" si="17"/>
        <v>0</v>
      </c>
    </row>
    <row r="338" spans="2:12" x14ac:dyDescent="0.85">
      <c r="B338" s="48">
        <v>332</v>
      </c>
      <c r="C338" s="44"/>
      <c r="D338" s="50"/>
      <c r="E338" s="44"/>
      <c r="F338" s="227"/>
      <c r="G338" s="49">
        <v>1</v>
      </c>
      <c r="H338" s="73"/>
      <c r="I338" s="44"/>
      <c r="J338" s="48">
        <f t="shared" si="15"/>
        <v>1</v>
      </c>
      <c r="K338" s="48">
        <f t="shared" si="16"/>
        <v>0</v>
      </c>
      <c r="L338" s="68">
        <f t="shared" si="17"/>
        <v>0</v>
      </c>
    </row>
    <row r="339" spans="2:12" x14ac:dyDescent="0.85">
      <c r="B339" s="46">
        <v>333</v>
      </c>
      <c r="C339" s="10"/>
      <c r="D339" s="66"/>
      <c r="E339" s="10"/>
      <c r="F339" s="226"/>
      <c r="G339" s="47">
        <v>1</v>
      </c>
      <c r="H339" s="72"/>
      <c r="I339" s="10"/>
      <c r="J339" s="46">
        <f t="shared" si="15"/>
        <v>1</v>
      </c>
      <c r="K339" s="46">
        <f t="shared" si="16"/>
        <v>0</v>
      </c>
      <c r="L339" s="69">
        <f t="shared" si="17"/>
        <v>0</v>
      </c>
    </row>
    <row r="340" spans="2:12" x14ac:dyDescent="0.85">
      <c r="B340" s="48">
        <v>334</v>
      </c>
      <c r="C340" s="44"/>
      <c r="D340" s="50"/>
      <c r="E340" s="44"/>
      <c r="F340" s="227"/>
      <c r="G340" s="49">
        <v>1</v>
      </c>
      <c r="H340" s="73"/>
      <c r="I340" s="44"/>
      <c r="J340" s="48">
        <f t="shared" si="15"/>
        <v>1</v>
      </c>
      <c r="K340" s="48">
        <f t="shared" si="16"/>
        <v>0</v>
      </c>
      <c r="L340" s="68">
        <f t="shared" si="17"/>
        <v>0</v>
      </c>
    </row>
    <row r="341" spans="2:12" x14ac:dyDescent="0.85">
      <c r="B341" s="46">
        <v>335</v>
      </c>
      <c r="C341" s="10"/>
      <c r="D341" s="66"/>
      <c r="E341" s="10"/>
      <c r="F341" s="226"/>
      <c r="G341" s="47">
        <v>1</v>
      </c>
      <c r="H341" s="72"/>
      <c r="I341" s="10"/>
      <c r="J341" s="46">
        <f t="shared" si="15"/>
        <v>1</v>
      </c>
      <c r="K341" s="46">
        <f t="shared" si="16"/>
        <v>0</v>
      </c>
      <c r="L341" s="69">
        <f t="shared" si="17"/>
        <v>0</v>
      </c>
    </row>
    <row r="342" spans="2:12" x14ac:dyDescent="0.85">
      <c r="B342" s="48">
        <v>336</v>
      </c>
      <c r="C342" s="44"/>
      <c r="D342" s="50"/>
      <c r="E342" s="44"/>
      <c r="F342" s="227"/>
      <c r="G342" s="49">
        <v>1</v>
      </c>
      <c r="H342" s="73"/>
      <c r="I342" s="44"/>
      <c r="J342" s="48">
        <f t="shared" si="15"/>
        <v>1</v>
      </c>
      <c r="K342" s="48">
        <f t="shared" si="16"/>
        <v>0</v>
      </c>
      <c r="L342" s="68">
        <f t="shared" si="17"/>
        <v>0</v>
      </c>
    </row>
    <row r="343" spans="2:12" x14ac:dyDescent="0.85">
      <c r="B343" s="46">
        <v>337</v>
      </c>
      <c r="C343" s="10"/>
      <c r="D343" s="66"/>
      <c r="E343" s="10"/>
      <c r="F343" s="226"/>
      <c r="G343" s="47">
        <v>1</v>
      </c>
      <c r="H343" s="72"/>
      <c r="I343" s="10"/>
      <c r="J343" s="46">
        <f t="shared" si="15"/>
        <v>1</v>
      </c>
      <c r="K343" s="46">
        <f t="shared" si="16"/>
        <v>0</v>
      </c>
      <c r="L343" s="69">
        <f t="shared" si="17"/>
        <v>0</v>
      </c>
    </row>
    <row r="344" spans="2:12" x14ac:dyDescent="0.85">
      <c r="B344" s="48">
        <v>338</v>
      </c>
      <c r="C344" s="44"/>
      <c r="D344" s="50"/>
      <c r="E344" s="44"/>
      <c r="F344" s="227"/>
      <c r="G344" s="49">
        <v>1</v>
      </c>
      <c r="H344" s="73"/>
      <c r="I344" s="44"/>
      <c r="J344" s="48">
        <f t="shared" si="15"/>
        <v>1</v>
      </c>
      <c r="K344" s="48">
        <f t="shared" si="16"/>
        <v>0</v>
      </c>
      <c r="L344" s="68">
        <f t="shared" si="17"/>
        <v>0</v>
      </c>
    </row>
    <row r="345" spans="2:12" x14ac:dyDescent="0.85">
      <c r="B345" s="46">
        <v>339</v>
      </c>
      <c r="C345" s="10"/>
      <c r="D345" s="66"/>
      <c r="E345" s="10"/>
      <c r="F345" s="226"/>
      <c r="G345" s="47">
        <v>1</v>
      </c>
      <c r="H345" s="72"/>
      <c r="I345" s="10"/>
      <c r="J345" s="46">
        <f t="shared" si="15"/>
        <v>1</v>
      </c>
      <c r="K345" s="46">
        <f t="shared" si="16"/>
        <v>0</v>
      </c>
      <c r="L345" s="69">
        <f t="shared" si="17"/>
        <v>0</v>
      </c>
    </row>
    <row r="346" spans="2:12" x14ac:dyDescent="0.85">
      <c r="B346" s="48">
        <v>340</v>
      </c>
      <c r="C346" s="44"/>
      <c r="D346" s="50"/>
      <c r="E346" s="44"/>
      <c r="F346" s="227"/>
      <c r="G346" s="49">
        <v>1</v>
      </c>
      <c r="H346" s="73"/>
      <c r="I346" s="44"/>
      <c r="J346" s="48">
        <f t="shared" si="15"/>
        <v>1</v>
      </c>
      <c r="K346" s="48">
        <f t="shared" si="16"/>
        <v>0</v>
      </c>
      <c r="L346" s="68">
        <f t="shared" si="17"/>
        <v>0</v>
      </c>
    </row>
    <row r="347" spans="2:12" x14ac:dyDescent="0.85">
      <c r="B347" s="46">
        <v>341</v>
      </c>
      <c r="C347" s="10"/>
      <c r="D347" s="66"/>
      <c r="E347" s="10"/>
      <c r="F347" s="226"/>
      <c r="G347" s="47">
        <v>1</v>
      </c>
      <c r="H347" s="72"/>
      <c r="I347" s="10"/>
      <c r="J347" s="46">
        <f t="shared" si="15"/>
        <v>1</v>
      </c>
      <c r="K347" s="46">
        <f t="shared" si="16"/>
        <v>0</v>
      </c>
      <c r="L347" s="69">
        <f t="shared" si="17"/>
        <v>0</v>
      </c>
    </row>
    <row r="348" spans="2:12" x14ac:dyDescent="0.85">
      <c r="B348" s="48">
        <v>342</v>
      </c>
      <c r="C348" s="44"/>
      <c r="D348" s="50"/>
      <c r="E348" s="44"/>
      <c r="F348" s="227"/>
      <c r="G348" s="49">
        <v>1</v>
      </c>
      <c r="H348" s="73"/>
      <c r="I348" s="44"/>
      <c r="J348" s="48">
        <f t="shared" si="15"/>
        <v>1</v>
      </c>
      <c r="K348" s="48">
        <f t="shared" si="16"/>
        <v>0</v>
      </c>
      <c r="L348" s="68">
        <f t="shared" si="17"/>
        <v>0</v>
      </c>
    </row>
    <row r="349" spans="2:12" x14ac:dyDescent="0.85">
      <c r="B349" s="46">
        <v>343</v>
      </c>
      <c r="C349" s="10"/>
      <c r="D349" s="66"/>
      <c r="E349" s="10"/>
      <c r="F349" s="226"/>
      <c r="G349" s="47">
        <v>1</v>
      </c>
      <c r="H349" s="72"/>
      <c r="I349" s="10"/>
      <c r="J349" s="46">
        <f t="shared" si="15"/>
        <v>1</v>
      </c>
      <c r="K349" s="46">
        <f t="shared" si="16"/>
        <v>0</v>
      </c>
      <c r="L349" s="69">
        <f t="shared" si="17"/>
        <v>0</v>
      </c>
    </row>
    <row r="350" spans="2:12" x14ac:dyDescent="0.85">
      <c r="B350" s="48">
        <v>344</v>
      </c>
      <c r="C350" s="44"/>
      <c r="D350" s="50"/>
      <c r="E350" s="44"/>
      <c r="F350" s="227"/>
      <c r="G350" s="49">
        <v>1</v>
      </c>
      <c r="H350" s="73"/>
      <c r="I350" s="44"/>
      <c r="J350" s="48">
        <f t="shared" si="15"/>
        <v>1</v>
      </c>
      <c r="K350" s="48">
        <f t="shared" si="16"/>
        <v>0</v>
      </c>
      <c r="L350" s="68">
        <f t="shared" si="17"/>
        <v>0</v>
      </c>
    </row>
    <row r="351" spans="2:12" x14ac:dyDescent="0.85">
      <c r="B351" s="46">
        <v>345</v>
      </c>
      <c r="C351" s="10"/>
      <c r="D351" s="66"/>
      <c r="E351" s="10"/>
      <c r="F351" s="226"/>
      <c r="G351" s="47">
        <v>1</v>
      </c>
      <c r="H351" s="72"/>
      <c r="I351" s="10"/>
      <c r="J351" s="46">
        <f t="shared" si="15"/>
        <v>1</v>
      </c>
      <c r="K351" s="46">
        <f t="shared" si="16"/>
        <v>0</v>
      </c>
      <c r="L351" s="69">
        <f t="shared" si="17"/>
        <v>0</v>
      </c>
    </row>
    <row r="352" spans="2:12" x14ac:dyDescent="0.85">
      <c r="B352" s="48">
        <v>346</v>
      </c>
      <c r="C352" s="44"/>
      <c r="D352" s="50"/>
      <c r="E352" s="44"/>
      <c r="F352" s="227"/>
      <c r="G352" s="49">
        <v>1</v>
      </c>
      <c r="H352" s="73"/>
      <c r="I352" s="44"/>
      <c r="J352" s="48">
        <f t="shared" si="15"/>
        <v>1</v>
      </c>
      <c r="K352" s="48">
        <f t="shared" si="16"/>
        <v>0</v>
      </c>
      <c r="L352" s="68">
        <f t="shared" si="17"/>
        <v>0</v>
      </c>
    </row>
    <row r="353" spans="2:12" x14ac:dyDescent="0.85">
      <c r="B353" s="46">
        <v>347</v>
      </c>
      <c r="C353" s="10"/>
      <c r="D353" s="66"/>
      <c r="E353" s="10"/>
      <c r="F353" s="226"/>
      <c r="G353" s="47">
        <v>1</v>
      </c>
      <c r="H353" s="72"/>
      <c r="I353" s="10"/>
      <c r="J353" s="46">
        <f t="shared" si="15"/>
        <v>1</v>
      </c>
      <c r="K353" s="46">
        <f t="shared" si="16"/>
        <v>0</v>
      </c>
      <c r="L353" s="69">
        <f t="shared" si="17"/>
        <v>0</v>
      </c>
    </row>
    <row r="354" spans="2:12" x14ac:dyDescent="0.85">
      <c r="B354" s="48">
        <v>348</v>
      </c>
      <c r="C354" s="44"/>
      <c r="D354" s="50"/>
      <c r="E354" s="44"/>
      <c r="F354" s="227"/>
      <c r="G354" s="49">
        <v>1</v>
      </c>
      <c r="H354" s="73"/>
      <c r="I354" s="44"/>
      <c r="J354" s="48">
        <f t="shared" si="15"/>
        <v>1</v>
      </c>
      <c r="K354" s="48">
        <f t="shared" si="16"/>
        <v>0</v>
      </c>
      <c r="L354" s="68">
        <f t="shared" si="17"/>
        <v>0</v>
      </c>
    </row>
    <row r="355" spans="2:12" x14ac:dyDescent="0.85">
      <c r="B355" s="46">
        <v>349</v>
      </c>
      <c r="C355" s="10"/>
      <c r="D355" s="66"/>
      <c r="E355" s="10"/>
      <c r="F355" s="226"/>
      <c r="G355" s="47">
        <v>1</v>
      </c>
      <c r="H355" s="72"/>
      <c r="I355" s="10"/>
      <c r="J355" s="46">
        <f t="shared" si="15"/>
        <v>1</v>
      </c>
      <c r="K355" s="46">
        <f t="shared" si="16"/>
        <v>0</v>
      </c>
      <c r="L355" s="69">
        <f t="shared" si="17"/>
        <v>0</v>
      </c>
    </row>
    <row r="356" spans="2:12" x14ac:dyDescent="0.85">
      <c r="B356" s="48">
        <v>350</v>
      </c>
      <c r="C356" s="44"/>
      <c r="D356" s="50"/>
      <c r="E356" s="44"/>
      <c r="F356" s="227"/>
      <c r="G356" s="49">
        <v>1</v>
      </c>
      <c r="H356" s="73"/>
      <c r="I356" s="44"/>
      <c r="J356" s="48">
        <f t="shared" si="15"/>
        <v>1</v>
      </c>
      <c r="K356" s="48">
        <f t="shared" si="16"/>
        <v>0</v>
      </c>
      <c r="L356" s="68">
        <f t="shared" si="17"/>
        <v>0</v>
      </c>
    </row>
    <row r="357" spans="2:12" x14ac:dyDescent="0.85">
      <c r="B357" s="46">
        <v>351</v>
      </c>
      <c r="C357" s="10"/>
      <c r="D357" s="66"/>
      <c r="E357" s="10"/>
      <c r="F357" s="226"/>
      <c r="G357" s="47">
        <v>1</v>
      </c>
      <c r="H357" s="72"/>
      <c r="I357" s="10"/>
      <c r="J357" s="46">
        <f t="shared" si="15"/>
        <v>1</v>
      </c>
      <c r="K357" s="46">
        <f t="shared" si="16"/>
        <v>0</v>
      </c>
      <c r="L357" s="69">
        <f t="shared" si="17"/>
        <v>0</v>
      </c>
    </row>
    <row r="358" spans="2:12" x14ac:dyDescent="0.85">
      <c r="B358" s="48">
        <v>352</v>
      </c>
      <c r="C358" s="44"/>
      <c r="D358" s="50"/>
      <c r="E358" s="44"/>
      <c r="F358" s="227"/>
      <c r="G358" s="49">
        <v>1</v>
      </c>
      <c r="H358" s="73"/>
      <c r="I358" s="44"/>
      <c r="J358" s="48">
        <f t="shared" si="15"/>
        <v>1</v>
      </c>
      <c r="K358" s="48">
        <f t="shared" si="16"/>
        <v>0</v>
      </c>
      <c r="L358" s="68">
        <f t="shared" si="17"/>
        <v>0</v>
      </c>
    </row>
    <row r="359" spans="2:12" x14ac:dyDescent="0.85">
      <c r="B359" s="46">
        <v>353</v>
      </c>
      <c r="C359" s="10"/>
      <c r="D359" s="66"/>
      <c r="E359" s="10"/>
      <c r="F359" s="226"/>
      <c r="G359" s="47">
        <v>1</v>
      </c>
      <c r="H359" s="72"/>
      <c r="I359" s="10"/>
      <c r="J359" s="46">
        <f t="shared" si="15"/>
        <v>1</v>
      </c>
      <c r="K359" s="46">
        <f t="shared" si="16"/>
        <v>0</v>
      </c>
      <c r="L359" s="69">
        <f t="shared" si="17"/>
        <v>0</v>
      </c>
    </row>
    <row r="360" spans="2:12" x14ac:dyDescent="0.85">
      <c r="B360" s="48">
        <v>354</v>
      </c>
      <c r="C360" s="44"/>
      <c r="D360" s="50"/>
      <c r="E360" s="44"/>
      <c r="F360" s="227"/>
      <c r="G360" s="49">
        <v>1</v>
      </c>
      <c r="H360" s="73"/>
      <c r="I360" s="44"/>
      <c r="J360" s="48">
        <f t="shared" si="15"/>
        <v>1</v>
      </c>
      <c r="K360" s="48">
        <f t="shared" si="16"/>
        <v>0</v>
      </c>
      <c r="L360" s="68">
        <f t="shared" si="17"/>
        <v>0</v>
      </c>
    </row>
    <row r="361" spans="2:12" x14ac:dyDescent="0.85">
      <c r="B361" s="46">
        <v>355</v>
      </c>
      <c r="C361" s="10"/>
      <c r="D361" s="66"/>
      <c r="E361" s="10"/>
      <c r="F361" s="226"/>
      <c r="G361" s="47">
        <v>1</v>
      </c>
      <c r="H361" s="72"/>
      <c r="I361" s="10"/>
      <c r="J361" s="46">
        <f t="shared" si="15"/>
        <v>1</v>
      </c>
      <c r="K361" s="46">
        <f t="shared" si="16"/>
        <v>0</v>
      </c>
      <c r="L361" s="69">
        <f t="shared" si="17"/>
        <v>0</v>
      </c>
    </row>
    <row r="362" spans="2:12" x14ac:dyDescent="0.85">
      <c r="B362" s="48">
        <v>356</v>
      </c>
      <c r="C362" s="44"/>
      <c r="D362" s="50"/>
      <c r="E362" s="44"/>
      <c r="F362" s="227"/>
      <c r="G362" s="49">
        <v>1</v>
      </c>
      <c r="H362" s="73"/>
      <c r="I362" s="44"/>
      <c r="J362" s="48">
        <f t="shared" si="15"/>
        <v>1</v>
      </c>
      <c r="K362" s="48">
        <f t="shared" si="16"/>
        <v>0</v>
      </c>
      <c r="L362" s="68">
        <f t="shared" si="17"/>
        <v>0</v>
      </c>
    </row>
    <row r="363" spans="2:12" x14ac:dyDescent="0.85">
      <c r="B363" s="46">
        <v>357</v>
      </c>
      <c r="C363" s="10"/>
      <c r="D363" s="66"/>
      <c r="E363" s="10"/>
      <c r="F363" s="226"/>
      <c r="G363" s="47">
        <v>1</v>
      </c>
      <c r="H363" s="72"/>
      <c r="I363" s="10"/>
      <c r="J363" s="46">
        <f t="shared" si="15"/>
        <v>1</v>
      </c>
      <c r="K363" s="46">
        <f t="shared" si="16"/>
        <v>0</v>
      </c>
      <c r="L363" s="69">
        <f t="shared" si="17"/>
        <v>0</v>
      </c>
    </row>
    <row r="364" spans="2:12" x14ac:dyDescent="0.85">
      <c r="B364" s="48">
        <v>358</v>
      </c>
      <c r="C364" s="44"/>
      <c r="D364" s="50"/>
      <c r="E364" s="44"/>
      <c r="F364" s="227"/>
      <c r="G364" s="49">
        <v>1</v>
      </c>
      <c r="H364" s="73"/>
      <c r="I364" s="44"/>
      <c r="J364" s="48">
        <f t="shared" si="15"/>
        <v>1</v>
      </c>
      <c r="K364" s="48">
        <f t="shared" si="16"/>
        <v>0</v>
      </c>
      <c r="L364" s="68">
        <f t="shared" si="17"/>
        <v>0</v>
      </c>
    </row>
    <row r="365" spans="2:12" x14ac:dyDescent="0.85">
      <c r="B365" s="46">
        <v>359</v>
      </c>
      <c r="C365" s="10"/>
      <c r="D365" s="66"/>
      <c r="E365" s="10"/>
      <c r="F365" s="226"/>
      <c r="G365" s="47">
        <v>1</v>
      </c>
      <c r="H365" s="72"/>
      <c r="I365" s="10"/>
      <c r="J365" s="46">
        <f t="shared" si="15"/>
        <v>1</v>
      </c>
      <c r="K365" s="46">
        <f t="shared" si="16"/>
        <v>0</v>
      </c>
      <c r="L365" s="69">
        <f t="shared" si="17"/>
        <v>0</v>
      </c>
    </row>
    <row r="366" spans="2:12" x14ac:dyDescent="0.85">
      <c r="B366" s="48">
        <v>360</v>
      </c>
      <c r="C366" s="44"/>
      <c r="D366" s="50"/>
      <c r="E366" s="44"/>
      <c r="F366" s="227"/>
      <c r="G366" s="49">
        <v>1</v>
      </c>
      <c r="H366" s="73"/>
      <c r="I366" s="44"/>
      <c r="J366" s="48">
        <f t="shared" si="15"/>
        <v>1</v>
      </c>
      <c r="K366" s="48">
        <f t="shared" si="16"/>
        <v>0</v>
      </c>
      <c r="L366" s="68">
        <f t="shared" si="17"/>
        <v>0</v>
      </c>
    </row>
    <row r="367" spans="2:12" x14ac:dyDescent="0.85">
      <c r="B367" s="46">
        <v>361</v>
      </c>
      <c r="C367" s="10"/>
      <c r="D367" s="66"/>
      <c r="E367" s="10"/>
      <c r="F367" s="226"/>
      <c r="G367" s="47">
        <v>1</v>
      </c>
      <c r="H367" s="72"/>
      <c r="I367" s="10"/>
      <c r="J367" s="46">
        <f t="shared" si="15"/>
        <v>1</v>
      </c>
      <c r="K367" s="46">
        <f t="shared" si="16"/>
        <v>0</v>
      </c>
      <c r="L367" s="69">
        <f t="shared" si="17"/>
        <v>0</v>
      </c>
    </row>
    <row r="368" spans="2:12" x14ac:dyDescent="0.85">
      <c r="B368" s="48">
        <v>362</v>
      </c>
      <c r="C368" s="44"/>
      <c r="D368" s="50"/>
      <c r="E368" s="44"/>
      <c r="F368" s="227"/>
      <c r="G368" s="49">
        <v>1</v>
      </c>
      <c r="H368" s="73"/>
      <c r="I368" s="44"/>
      <c r="J368" s="48">
        <f t="shared" si="15"/>
        <v>1</v>
      </c>
      <c r="K368" s="48">
        <f t="shared" si="16"/>
        <v>0</v>
      </c>
      <c r="L368" s="68">
        <f t="shared" si="17"/>
        <v>0</v>
      </c>
    </row>
    <row r="369" spans="2:12" x14ac:dyDescent="0.85">
      <c r="B369" s="46">
        <v>363</v>
      </c>
      <c r="C369" s="10"/>
      <c r="D369" s="66"/>
      <c r="E369" s="10"/>
      <c r="F369" s="226"/>
      <c r="G369" s="47">
        <v>1</v>
      </c>
      <c r="H369" s="72"/>
      <c r="I369" s="10"/>
      <c r="J369" s="46">
        <f t="shared" si="15"/>
        <v>1</v>
      </c>
      <c r="K369" s="46">
        <f t="shared" si="16"/>
        <v>0</v>
      </c>
      <c r="L369" s="69">
        <f t="shared" si="17"/>
        <v>0</v>
      </c>
    </row>
    <row r="370" spans="2:12" x14ac:dyDescent="0.85">
      <c r="B370" s="48">
        <v>364</v>
      </c>
      <c r="C370" s="44"/>
      <c r="D370" s="50"/>
      <c r="E370" s="44"/>
      <c r="F370" s="227"/>
      <c r="G370" s="49">
        <v>1</v>
      </c>
      <c r="H370" s="73"/>
      <c r="I370" s="44"/>
      <c r="J370" s="48">
        <f t="shared" si="15"/>
        <v>1</v>
      </c>
      <c r="K370" s="48">
        <f t="shared" si="16"/>
        <v>0</v>
      </c>
      <c r="L370" s="68">
        <f t="shared" si="17"/>
        <v>0</v>
      </c>
    </row>
    <row r="371" spans="2:12" x14ac:dyDescent="0.85">
      <c r="B371" s="46">
        <v>365</v>
      </c>
      <c r="C371" s="10"/>
      <c r="D371" s="66"/>
      <c r="E371" s="10"/>
      <c r="F371" s="226"/>
      <c r="G371" s="47">
        <v>1</v>
      </c>
      <c r="H371" s="72"/>
      <c r="I371" s="10"/>
      <c r="J371" s="46">
        <f t="shared" si="15"/>
        <v>1</v>
      </c>
      <c r="K371" s="46">
        <f t="shared" si="16"/>
        <v>0</v>
      </c>
      <c r="L371" s="69">
        <f t="shared" si="17"/>
        <v>0</v>
      </c>
    </row>
    <row r="372" spans="2:12" x14ac:dyDescent="0.85">
      <c r="B372" s="48">
        <v>366</v>
      </c>
      <c r="C372" s="44"/>
      <c r="D372" s="50"/>
      <c r="E372" s="44"/>
      <c r="F372" s="227"/>
      <c r="G372" s="49">
        <v>1</v>
      </c>
      <c r="H372" s="73"/>
      <c r="I372" s="44"/>
      <c r="J372" s="48">
        <f t="shared" si="15"/>
        <v>1</v>
      </c>
      <c r="K372" s="48">
        <f t="shared" si="16"/>
        <v>0</v>
      </c>
      <c r="L372" s="68">
        <f t="shared" si="17"/>
        <v>0</v>
      </c>
    </row>
    <row r="373" spans="2:12" x14ac:dyDescent="0.85">
      <c r="B373" s="46">
        <v>367</v>
      </c>
      <c r="C373" s="10"/>
      <c r="D373" s="66"/>
      <c r="E373" s="10"/>
      <c r="F373" s="226"/>
      <c r="G373" s="47">
        <v>1</v>
      </c>
      <c r="H373" s="72"/>
      <c r="I373" s="10"/>
      <c r="J373" s="46">
        <f t="shared" si="15"/>
        <v>1</v>
      </c>
      <c r="K373" s="46">
        <f t="shared" si="16"/>
        <v>0</v>
      </c>
      <c r="L373" s="69">
        <f t="shared" si="17"/>
        <v>0</v>
      </c>
    </row>
    <row r="374" spans="2:12" x14ac:dyDescent="0.85">
      <c r="B374" s="48">
        <v>368</v>
      </c>
      <c r="C374" s="44"/>
      <c r="D374" s="50"/>
      <c r="E374" s="44"/>
      <c r="F374" s="227"/>
      <c r="G374" s="49">
        <v>1</v>
      </c>
      <c r="H374" s="73"/>
      <c r="I374" s="44"/>
      <c r="J374" s="48">
        <f t="shared" si="15"/>
        <v>1</v>
      </c>
      <c r="K374" s="48">
        <f t="shared" si="16"/>
        <v>0</v>
      </c>
      <c r="L374" s="68">
        <f t="shared" si="17"/>
        <v>0</v>
      </c>
    </row>
    <row r="375" spans="2:12" x14ac:dyDescent="0.85">
      <c r="B375" s="46">
        <v>369</v>
      </c>
      <c r="C375" s="10"/>
      <c r="D375" s="66"/>
      <c r="E375" s="10"/>
      <c r="F375" s="226"/>
      <c r="G375" s="47">
        <v>1</v>
      </c>
      <c r="H375" s="72"/>
      <c r="I375" s="10"/>
      <c r="J375" s="46">
        <f t="shared" si="15"/>
        <v>1</v>
      </c>
      <c r="K375" s="46">
        <f t="shared" si="16"/>
        <v>0</v>
      </c>
      <c r="L375" s="69">
        <f t="shared" si="17"/>
        <v>0</v>
      </c>
    </row>
    <row r="376" spans="2:12" x14ac:dyDescent="0.85">
      <c r="B376" s="48">
        <v>370</v>
      </c>
      <c r="C376" s="44"/>
      <c r="D376" s="50"/>
      <c r="E376" s="44"/>
      <c r="F376" s="227"/>
      <c r="G376" s="49">
        <v>1</v>
      </c>
      <c r="H376" s="73"/>
      <c r="I376" s="44"/>
      <c r="J376" s="48">
        <f t="shared" si="15"/>
        <v>1</v>
      </c>
      <c r="K376" s="48">
        <f t="shared" si="16"/>
        <v>0</v>
      </c>
      <c r="L376" s="68">
        <f t="shared" si="17"/>
        <v>0</v>
      </c>
    </row>
    <row r="377" spans="2:12" x14ac:dyDescent="0.85">
      <c r="B377" s="46">
        <v>371</v>
      </c>
      <c r="C377" s="10"/>
      <c r="D377" s="66"/>
      <c r="E377" s="10"/>
      <c r="F377" s="226"/>
      <c r="G377" s="47">
        <v>1</v>
      </c>
      <c r="H377" s="72"/>
      <c r="I377" s="10"/>
      <c r="J377" s="46">
        <f t="shared" si="15"/>
        <v>1</v>
      </c>
      <c r="K377" s="46">
        <f t="shared" si="16"/>
        <v>0</v>
      </c>
      <c r="L377" s="69">
        <f t="shared" si="17"/>
        <v>0</v>
      </c>
    </row>
    <row r="378" spans="2:12" x14ac:dyDescent="0.85">
      <c r="B378" s="48">
        <v>372</v>
      </c>
      <c r="C378" s="44"/>
      <c r="D378" s="50"/>
      <c r="E378" s="44"/>
      <c r="F378" s="227"/>
      <c r="G378" s="49">
        <v>1</v>
      </c>
      <c r="H378" s="73"/>
      <c r="I378" s="44"/>
      <c r="J378" s="48">
        <f t="shared" si="15"/>
        <v>1</v>
      </c>
      <c r="K378" s="48">
        <f t="shared" si="16"/>
        <v>0</v>
      </c>
      <c r="L378" s="68">
        <f t="shared" si="17"/>
        <v>0</v>
      </c>
    </row>
    <row r="379" spans="2:12" x14ac:dyDescent="0.85">
      <c r="B379" s="46">
        <v>373</v>
      </c>
      <c r="C379" s="10"/>
      <c r="D379" s="66"/>
      <c r="E379" s="10"/>
      <c r="F379" s="226"/>
      <c r="G379" s="47">
        <v>1</v>
      </c>
      <c r="H379" s="72"/>
      <c r="I379" s="10"/>
      <c r="J379" s="46">
        <f t="shared" si="15"/>
        <v>1</v>
      </c>
      <c r="K379" s="46">
        <f t="shared" si="16"/>
        <v>0</v>
      </c>
      <c r="L379" s="69">
        <f t="shared" si="17"/>
        <v>0</v>
      </c>
    </row>
    <row r="380" spans="2:12" x14ac:dyDescent="0.85">
      <c r="B380" s="48">
        <v>374</v>
      </c>
      <c r="C380" s="44"/>
      <c r="D380" s="50"/>
      <c r="E380" s="44"/>
      <c r="F380" s="227"/>
      <c r="G380" s="49">
        <v>1</v>
      </c>
      <c r="H380" s="73"/>
      <c r="I380" s="44"/>
      <c r="J380" s="48">
        <f t="shared" si="15"/>
        <v>1</v>
      </c>
      <c r="K380" s="48">
        <f t="shared" si="16"/>
        <v>0</v>
      </c>
      <c r="L380" s="68">
        <f t="shared" si="17"/>
        <v>0</v>
      </c>
    </row>
    <row r="381" spans="2:12" x14ac:dyDescent="0.85">
      <c r="B381" s="46">
        <v>375</v>
      </c>
      <c r="C381" s="10"/>
      <c r="D381" s="66"/>
      <c r="E381" s="10"/>
      <c r="F381" s="226"/>
      <c r="G381" s="47">
        <v>1</v>
      </c>
      <c r="H381" s="72"/>
      <c r="I381" s="10"/>
      <c r="J381" s="46">
        <f t="shared" si="15"/>
        <v>1</v>
      </c>
      <c r="K381" s="46">
        <f t="shared" si="16"/>
        <v>0</v>
      </c>
      <c r="L381" s="69">
        <f t="shared" si="17"/>
        <v>0</v>
      </c>
    </row>
    <row r="382" spans="2:12" x14ac:dyDescent="0.85">
      <c r="B382" s="48">
        <v>376</v>
      </c>
      <c r="C382" s="44"/>
      <c r="D382" s="50"/>
      <c r="E382" s="44"/>
      <c r="F382" s="227"/>
      <c r="G382" s="49">
        <v>1</v>
      </c>
      <c r="H382" s="73"/>
      <c r="I382" s="44"/>
      <c r="J382" s="48">
        <f t="shared" si="15"/>
        <v>1</v>
      </c>
      <c r="K382" s="48">
        <f t="shared" si="16"/>
        <v>0</v>
      </c>
      <c r="L382" s="68">
        <f t="shared" si="17"/>
        <v>0</v>
      </c>
    </row>
    <row r="383" spans="2:12" x14ac:dyDescent="0.85">
      <c r="B383" s="46">
        <v>377</v>
      </c>
      <c r="C383" s="10"/>
      <c r="D383" s="66"/>
      <c r="E383" s="10"/>
      <c r="F383" s="226"/>
      <c r="G383" s="47">
        <v>1</v>
      </c>
      <c r="H383" s="72"/>
      <c r="I383" s="10"/>
      <c r="J383" s="46">
        <f t="shared" si="15"/>
        <v>1</v>
      </c>
      <c r="K383" s="46">
        <f t="shared" si="16"/>
        <v>0</v>
      </c>
      <c r="L383" s="69">
        <f t="shared" si="17"/>
        <v>0</v>
      </c>
    </row>
    <row r="384" spans="2:12" x14ac:dyDescent="0.85">
      <c r="B384" s="48">
        <v>378</v>
      </c>
      <c r="C384" s="44"/>
      <c r="D384" s="50"/>
      <c r="E384" s="44"/>
      <c r="F384" s="227"/>
      <c r="G384" s="49">
        <v>1</v>
      </c>
      <c r="H384" s="73"/>
      <c r="I384" s="44"/>
      <c r="J384" s="48">
        <f t="shared" si="15"/>
        <v>1</v>
      </c>
      <c r="K384" s="48">
        <f t="shared" si="16"/>
        <v>0</v>
      </c>
      <c r="L384" s="68">
        <f t="shared" si="17"/>
        <v>0</v>
      </c>
    </row>
    <row r="385" spans="2:12" x14ac:dyDescent="0.85">
      <c r="B385" s="46">
        <v>379</v>
      </c>
      <c r="C385" s="10"/>
      <c r="D385" s="66"/>
      <c r="E385" s="10"/>
      <c r="F385" s="226"/>
      <c r="G385" s="47">
        <v>1</v>
      </c>
      <c r="H385" s="72"/>
      <c r="I385" s="10"/>
      <c r="J385" s="46">
        <f t="shared" si="15"/>
        <v>1</v>
      </c>
      <c r="K385" s="46">
        <f t="shared" si="16"/>
        <v>0</v>
      </c>
      <c r="L385" s="69">
        <f t="shared" si="17"/>
        <v>0</v>
      </c>
    </row>
    <row r="386" spans="2:12" x14ac:dyDescent="0.85">
      <c r="B386" s="48">
        <v>380</v>
      </c>
      <c r="C386" s="44"/>
      <c r="D386" s="50"/>
      <c r="E386" s="44"/>
      <c r="F386" s="227"/>
      <c r="G386" s="49">
        <v>1</v>
      </c>
      <c r="H386" s="73"/>
      <c r="I386" s="44"/>
      <c r="J386" s="48">
        <f t="shared" si="15"/>
        <v>1</v>
      </c>
      <c r="K386" s="48">
        <f t="shared" si="16"/>
        <v>0</v>
      </c>
      <c r="L386" s="68">
        <f t="shared" si="17"/>
        <v>0</v>
      </c>
    </row>
    <row r="387" spans="2:12" x14ac:dyDescent="0.85">
      <c r="B387" s="46">
        <v>381</v>
      </c>
      <c r="C387" s="10"/>
      <c r="D387" s="66"/>
      <c r="E387" s="10"/>
      <c r="F387" s="226"/>
      <c r="G387" s="47">
        <v>1</v>
      </c>
      <c r="H387" s="72"/>
      <c r="I387" s="10"/>
      <c r="J387" s="46">
        <f t="shared" si="15"/>
        <v>1</v>
      </c>
      <c r="K387" s="46">
        <f t="shared" si="16"/>
        <v>0</v>
      </c>
      <c r="L387" s="69">
        <f t="shared" si="17"/>
        <v>0</v>
      </c>
    </row>
    <row r="388" spans="2:12" x14ac:dyDescent="0.85">
      <c r="B388" s="48">
        <v>382</v>
      </c>
      <c r="C388" s="44"/>
      <c r="D388" s="50"/>
      <c r="E388" s="44"/>
      <c r="F388" s="227"/>
      <c r="G388" s="49">
        <v>1</v>
      </c>
      <c r="H388" s="73"/>
      <c r="I388" s="44"/>
      <c r="J388" s="48">
        <f t="shared" si="15"/>
        <v>1</v>
      </c>
      <c r="K388" s="48">
        <f t="shared" si="16"/>
        <v>0</v>
      </c>
      <c r="L388" s="68">
        <f t="shared" si="17"/>
        <v>0</v>
      </c>
    </row>
    <row r="389" spans="2:12" x14ac:dyDescent="0.85">
      <c r="B389" s="46">
        <v>383</v>
      </c>
      <c r="C389" s="10"/>
      <c r="D389" s="66"/>
      <c r="E389" s="10"/>
      <c r="F389" s="226"/>
      <c r="G389" s="47">
        <v>1</v>
      </c>
      <c r="H389" s="72"/>
      <c r="I389" s="10"/>
      <c r="J389" s="46">
        <f t="shared" si="15"/>
        <v>1</v>
      </c>
      <c r="K389" s="46">
        <f t="shared" si="16"/>
        <v>0</v>
      </c>
      <c r="L389" s="69">
        <f t="shared" si="17"/>
        <v>0</v>
      </c>
    </row>
    <row r="390" spans="2:12" x14ac:dyDescent="0.85">
      <c r="B390" s="48">
        <v>384</v>
      </c>
      <c r="C390" s="44"/>
      <c r="D390" s="50"/>
      <c r="E390" s="44"/>
      <c r="F390" s="227"/>
      <c r="G390" s="49">
        <v>1</v>
      </c>
      <c r="H390" s="73"/>
      <c r="I390" s="44"/>
      <c r="J390" s="48">
        <f t="shared" si="15"/>
        <v>1</v>
      </c>
      <c r="K390" s="48">
        <f t="shared" si="16"/>
        <v>0</v>
      </c>
      <c r="L390" s="68">
        <f t="shared" si="17"/>
        <v>0</v>
      </c>
    </row>
    <row r="391" spans="2:12" x14ac:dyDescent="0.85">
      <c r="B391" s="46">
        <v>385</v>
      </c>
      <c r="C391" s="10"/>
      <c r="D391" s="66"/>
      <c r="E391" s="10"/>
      <c r="F391" s="226"/>
      <c r="G391" s="47">
        <v>1</v>
      </c>
      <c r="H391" s="72"/>
      <c r="I391" s="10"/>
      <c r="J391" s="46">
        <f t="shared" ref="J391:J454" si="18">IF(ISBLANK(H391),1,H391)</f>
        <v>1</v>
      </c>
      <c r="K391" s="46">
        <f t="shared" ref="K391:K454" si="19">IF(COUNTIF(FreeElements, E391)&gt;0, F391, 0)</f>
        <v>0</v>
      </c>
      <c r="L391" s="69">
        <f t="shared" ref="L391:L454" si="20">J391*K391</f>
        <v>0</v>
      </c>
    </row>
    <row r="392" spans="2:12" x14ac:dyDescent="0.85">
      <c r="B392" s="48">
        <v>386</v>
      </c>
      <c r="C392" s="44"/>
      <c r="D392" s="50"/>
      <c r="E392" s="44"/>
      <c r="F392" s="227"/>
      <c r="G392" s="49">
        <v>1</v>
      </c>
      <c r="H392" s="73"/>
      <c r="I392" s="44"/>
      <c r="J392" s="48">
        <f t="shared" si="18"/>
        <v>1</v>
      </c>
      <c r="K392" s="48">
        <f t="shared" si="19"/>
        <v>0</v>
      </c>
      <c r="L392" s="68">
        <f t="shared" si="20"/>
        <v>0</v>
      </c>
    </row>
    <row r="393" spans="2:12" x14ac:dyDescent="0.85">
      <c r="B393" s="46">
        <v>387</v>
      </c>
      <c r="C393" s="10"/>
      <c r="D393" s="66"/>
      <c r="E393" s="10"/>
      <c r="F393" s="226"/>
      <c r="G393" s="47">
        <v>1</v>
      </c>
      <c r="H393" s="72"/>
      <c r="I393" s="10"/>
      <c r="J393" s="46">
        <f t="shared" si="18"/>
        <v>1</v>
      </c>
      <c r="K393" s="46">
        <f t="shared" si="19"/>
        <v>0</v>
      </c>
      <c r="L393" s="69">
        <f t="shared" si="20"/>
        <v>0</v>
      </c>
    </row>
    <row r="394" spans="2:12" x14ac:dyDescent="0.85">
      <c r="B394" s="48">
        <v>388</v>
      </c>
      <c r="C394" s="44"/>
      <c r="D394" s="50"/>
      <c r="E394" s="44"/>
      <c r="F394" s="227"/>
      <c r="G394" s="49">
        <v>1</v>
      </c>
      <c r="H394" s="73"/>
      <c r="I394" s="44"/>
      <c r="J394" s="48">
        <f t="shared" si="18"/>
        <v>1</v>
      </c>
      <c r="K394" s="48">
        <f t="shared" si="19"/>
        <v>0</v>
      </c>
      <c r="L394" s="68">
        <f t="shared" si="20"/>
        <v>0</v>
      </c>
    </row>
    <row r="395" spans="2:12" x14ac:dyDescent="0.85">
      <c r="B395" s="46">
        <v>389</v>
      </c>
      <c r="C395" s="10"/>
      <c r="D395" s="66"/>
      <c r="E395" s="10"/>
      <c r="F395" s="226"/>
      <c r="G395" s="47">
        <v>1</v>
      </c>
      <c r="H395" s="72"/>
      <c r="I395" s="10"/>
      <c r="J395" s="46">
        <f t="shared" si="18"/>
        <v>1</v>
      </c>
      <c r="K395" s="46">
        <f t="shared" si="19"/>
        <v>0</v>
      </c>
      <c r="L395" s="69">
        <f t="shared" si="20"/>
        <v>0</v>
      </c>
    </row>
    <row r="396" spans="2:12" x14ac:dyDescent="0.85">
      <c r="B396" s="48">
        <v>390</v>
      </c>
      <c r="C396" s="44"/>
      <c r="D396" s="50"/>
      <c r="E396" s="44"/>
      <c r="F396" s="227"/>
      <c r="G396" s="49">
        <v>1</v>
      </c>
      <c r="H396" s="73"/>
      <c r="I396" s="44"/>
      <c r="J396" s="48">
        <f t="shared" si="18"/>
        <v>1</v>
      </c>
      <c r="K396" s="48">
        <f t="shared" si="19"/>
        <v>0</v>
      </c>
      <c r="L396" s="68">
        <f t="shared" si="20"/>
        <v>0</v>
      </c>
    </row>
    <row r="397" spans="2:12" x14ac:dyDescent="0.85">
      <c r="B397" s="46">
        <v>391</v>
      </c>
      <c r="C397" s="10"/>
      <c r="D397" s="66"/>
      <c r="E397" s="10"/>
      <c r="F397" s="226"/>
      <c r="G397" s="47">
        <v>1</v>
      </c>
      <c r="H397" s="72"/>
      <c r="I397" s="10"/>
      <c r="J397" s="46">
        <f t="shared" si="18"/>
        <v>1</v>
      </c>
      <c r="K397" s="46">
        <f t="shared" si="19"/>
        <v>0</v>
      </c>
      <c r="L397" s="69">
        <f t="shared" si="20"/>
        <v>0</v>
      </c>
    </row>
    <row r="398" spans="2:12" x14ac:dyDescent="0.85">
      <c r="B398" s="48">
        <v>392</v>
      </c>
      <c r="C398" s="44"/>
      <c r="D398" s="50"/>
      <c r="E398" s="44"/>
      <c r="F398" s="227"/>
      <c r="G398" s="49">
        <v>1</v>
      </c>
      <c r="H398" s="73"/>
      <c r="I398" s="44"/>
      <c r="J398" s="48">
        <f t="shared" si="18"/>
        <v>1</v>
      </c>
      <c r="K398" s="48">
        <f t="shared" si="19"/>
        <v>0</v>
      </c>
      <c r="L398" s="68">
        <f t="shared" si="20"/>
        <v>0</v>
      </c>
    </row>
    <row r="399" spans="2:12" x14ac:dyDescent="0.85">
      <c r="B399" s="46">
        <v>393</v>
      </c>
      <c r="C399" s="10"/>
      <c r="D399" s="66"/>
      <c r="E399" s="10"/>
      <c r="F399" s="226"/>
      <c r="G399" s="47">
        <v>1</v>
      </c>
      <c r="H399" s="72"/>
      <c r="I399" s="10"/>
      <c r="J399" s="46">
        <f t="shared" si="18"/>
        <v>1</v>
      </c>
      <c r="K399" s="46">
        <f t="shared" si="19"/>
        <v>0</v>
      </c>
      <c r="L399" s="69">
        <f t="shared" si="20"/>
        <v>0</v>
      </c>
    </row>
    <row r="400" spans="2:12" x14ac:dyDescent="0.85">
      <c r="B400" s="48">
        <v>394</v>
      </c>
      <c r="C400" s="44"/>
      <c r="D400" s="50"/>
      <c r="E400" s="44"/>
      <c r="F400" s="227"/>
      <c r="G400" s="49">
        <v>1</v>
      </c>
      <c r="H400" s="73"/>
      <c r="I400" s="44"/>
      <c r="J400" s="48">
        <f t="shared" si="18"/>
        <v>1</v>
      </c>
      <c r="K400" s="48">
        <f t="shared" si="19"/>
        <v>0</v>
      </c>
      <c r="L400" s="68">
        <f t="shared" si="20"/>
        <v>0</v>
      </c>
    </row>
    <row r="401" spans="2:12" x14ac:dyDescent="0.85">
      <c r="B401" s="46">
        <v>395</v>
      </c>
      <c r="C401" s="10"/>
      <c r="D401" s="66"/>
      <c r="E401" s="10"/>
      <c r="F401" s="226"/>
      <c r="G401" s="47">
        <v>1</v>
      </c>
      <c r="H401" s="72"/>
      <c r="I401" s="10"/>
      <c r="J401" s="46">
        <f t="shared" si="18"/>
        <v>1</v>
      </c>
      <c r="K401" s="46">
        <f t="shared" si="19"/>
        <v>0</v>
      </c>
      <c r="L401" s="69">
        <f t="shared" si="20"/>
        <v>0</v>
      </c>
    </row>
    <row r="402" spans="2:12" x14ac:dyDescent="0.85">
      <c r="B402" s="48">
        <v>396</v>
      </c>
      <c r="C402" s="44"/>
      <c r="D402" s="50"/>
      <c r="E402" s="44"/>
      <c r="F402" s="227"/>
      <c r="G402" s="49">
        <v>1</v>
      </c>
      <c r="H402" s="73"/>
      <c r="I402" s="44"/>
      <c r="J402" s="48">
        <f t="shared" si="18"/>
        <v>1</v>
      </c>
      <c r="K402" s="48">
        <f t="shared" si="19"/>
        <v>0</v>
      </c>
      <c r="L402" s="68">
        <f t="shared" si="20"/>
        <v>0</v>
      </c>
    </row>
    <row r="403" spans="2:12" x14ac:dyDescent="0.85">
      <c r="B403" s="46">
        <v>397</v>
      </c>
      <c r="C403" s="10"/>
      <c r="D403" s="66"/>
      <c r="E403" s="10"/>
      <c r="F403" s="226"/>
      <c r="G403" s="47">
        <v>1</v>
      </c>
      <c r="H403" s="72"/>
      <c r="I403" s="10"/>
      <c r="J403" s="46">
        <f t="shared" si="18"/>
        <v>1</v>
      </c>
      <c r="K403" s="46">
        <f t="shared" si="19"/>
        <v>0</v>
      </c>
      <c r="L403" s="69">
        <f t="shared" si="20"/>
        <v>0</v>
      </c>
    </row>
    <row r="404" spans="2:12" x14ac:dyDescent="0.85">
      <c r="B404" s="48">
        <v>398</v>
      </c>
      <c r="C404" s="44"/>
      <c r="D404" s="50"/>
      <c r="E404" s="44"/>
      <c r="F404" s="227"/>
      <c r="G404" s="49">
        <v>1</v>
      </c>
      <c r="H404" s="73"/>
      <c r="I404" s="44"/>
      <c r="J404" s="48">
        <f t="shared" si="18"/>
        <v>1</v>
      </c>
      <c r="K404" s="48">
        <f t="shared" si="19"/>
        <v>0</v>
      </c>
      <c r="L404" s="68">
        <f t="shared" si="20"/>
        <v>0</v>
      </c>
    </row>
    <row r="405" spans="2:12" x14ac:dyDescent="0.85">
      <c r="B405" s="46">
        <v>399</v>
      </c>
      <c r="C405" s="10"/>
      <c r="D405" s="66"/>
      <c r="E405" s="10"/>
      <c r="F405" s="226"/>
      <c r="G405" s="47">
        <v>1</v>
      </c>
      <c r="H405" s="72"/>
      <c r="I405" s="10"/>
      <c r="J405" s="46">
        <f t="shared" si="18"/>
        <v>1</v>
      </c>
      <c r="K405" s="46">
        <f t="shared" si="19"/>
        <v>0</v>
      </c>
      <c r="L405" s="69">
        <f t="shared" si="20"/>
        <v>0</v>
      </c>
    </row>
    <row r="406" spans="2:12" x14ac:dyDescent="0.85">
      <c r="B406" s="48">
        <v>400</v>
      </c>
      <c r="C406" s="44"/>
      <c r="D406" s="50"/>
      <c r="E406" s="44"/>
      <c r="F406" s="227"/>
      <c r="G406" s="49">
        <v>1</v>
      </c>
      <c r="H406" s="73"/>
      <c r="I406" s="44"/>
      <c r="J406" s="48">
        <f t="shared" si="18"/>
        <v>1</v>
      </c>
      <c r="K406" s="48">
        <f t="shared" si="19"/>
        <v>0</v>
      </c>
      <c r="L406" s="68">
        <f t="shared" si="20"/>
        <v>0</v>
      </c>
    </row>
    <row r="407" spans="2:12" x14ac:dyDescent="0.85">
      <c r="B407" s="46">
        <v>401</v>
      </c>
      <c r="C407" s="10"/>
      <c r="D407" s="66"/>
      <c r="E407" s="10"/>
      <c r="F407" s="226"/>
      <c r="G407" s="47">
        <v>1</v>
      </c>
      <c r="H407" s="72"/>
      <c r="I407" s="10"/>
      <c r="J407" s="46">
        <f t="shared" si="18"/>
        <v>1</v>
      </c>
      <c r="K407" s="46">
        <f t="shared" si="19"/>
        <v>0</v>
      </c>
      <c r="L407" s="69">
        <f t="shared" si="20"/>
        <v>0</v>
      </c>
    </row>
    <row r="408" spans="2:12" x14ac:dyDescent="0.85">
      <c r="B408" s="48">
        <v>402</v>
      </c>
      <c r="C408" s="44"/>
      <c r="D408" s="50"/>
      <c r="E408" s="44"/>
      <c r="F408" s="227"/>
      <c r="G408" s="49">
        <v>1</v>
      </c>
      <c r="H408" s="73"/>
      <c r="I408" s="44"/>
      <c r="J408" s="48">
        <f t="shared" si="18"/>
        <v>1</v>
      </c>
      <c r="K408" s="48">
        <f t="shared" si="19"/>
        <v>0</v>
      </c>
      <c r="L408" s="68">
        <f t="shared" si="20"/>
        <v>0</v>
      </c>
    </row>
    <row r="409" spans="2:12" x14ac:dyDescent="0.85">
      <c r="B409" s="46">
        <v>403</v>
      </c>
      <c r="C409" s="10"/>
      <c r="D409" s="66"/>
      <c r="E409" s="10"/>
      <c r="F409" s="226"/>
      <c r="G409" s="47">
        <v>1</v>
      </c>
      <c r="H409" s="72"/>
      <c r="I409" s="10"/>
      <c r="J409" s="46">
        <f t="shared" si="18"/>
        <v>1</v>
      </c>
      <c r="K409" s="46">
        <f t="shared" si="19"/>
        <v>0</v>
      </c>
      <c r="L409" s="69">
        <f t="shared" si="20"/>
        <v>0</v>
      </c>
    </row>
    <row r="410" spans="2:12" x14ac:dyDescent="0.85">
      <c r="B410" s="48">
        <v>404</v>
      </c>
      <c r="C410" s="44"/>
      <c r="D410" s="50"/>
      <c r="E410" s="44"/>
      <c r="F410" s="227"/>
      <c r="G410" s="49">
        <v>1</v>
      </c>
      <c r="H410" s="73"/>
      <c r="I410" s="44"/>
      <c r="J410" s="48">
        <f t="shared" si="18"/>
        <v>1</v>
      </c>
      <c r="K410" s="48">
        <f t="shared" si="19"/>
        <v>0</v>
      </c>
      <c r="L410" s="68">
        <f t="shared" si="20"/>
        <v>0</v>
      </c>
    </row>
    <row r="411" spans="2:12" x14ac:dyDescent="0.85">
      <c r="B411" s="46">
        <v>405</v>
      </c>
      <c r="C411" s="10"/>
      <c r="D411" s="66"/>
      <c r="E411" s="10"/>
      <c r="F411" s="226"/>
      <c r="G411" s="47">
        <v>1</v>
      </c>
      <c r="H411" s="72"/>
      <c r="I411" s="10"/>
      <c r="J411" s="46">
        <f t="shared" si="18"/>
        <v>1</v>
      </c>
      <c r="K411" s="46">
        <f t="shared" si="19"/>
        <v>0</v>
      </c>
      <c r="L411" s="69">
        <f t="shared" si="20"/>
        <v>0</v>
      </c>
    </row>
    <row r="412" spans="2:12" x14ac:dyDescent="0.85">
      <c r="B412" s="48">
        <v>406</v>
      </c>
      <c r="C412" s="44"/>
      <c r="D412" s="50"/>
      <c r="E412" s="44"/>
      <c r="F412" s="227"/>
      <c r="G412" s="49">
        <v>1</v>
      </c>
      <c r="H412" s="73"/>
      <c r="I412" s="44"/>
      <c r="J412" s="48">
        <f t="shared" si="18"/>
        <v>1</v>
      </c>
      <c r="K412" s="48">
        <f t="shared" si="19"/>
        <v>0</v>
      </c>
      <c r="L412" s="68">
        <f t="shared" si="20"/>
        <v>0</v>
      </c>
    </row>
    <row r="413" spans="2:12" x14ac:dyDescent="0.85">
      <c r="B413" s="46">
        <v>407</v>
      </c>
      <c r="C413" s="10"/>
      <c r="D413" s="66"/>
      <c r="E413" s="10"/>
      <c r="F413" s="226"/>
      <c r="G413" s="47">
        <v>1</v>
      </c>
      <c r="H413" s="72"/>
      <c r="I413" s="10"/>
      <c r="J413" s="46">
        <f t="shared" si="18"/>
        <v>1</v>
      </c>
      <c r="K413" s="46">
        <f t="shared" si="19"/>
        <v>0</v>
      </c>
      <c r="L413" s="69">
        <f t="shared" si="20"/>
        <v>0</v>
      </c>
    </row>
    <row r="414" spans="2:12" x14ac:dyDescent="0.85">
      <c r="B414" s="48">
        <v>408</v>
      </c>
      <c r="C414" s="44"/>
      <c r="D414" s="50"/>
      <c r="E414" s="44"/>
      <c r="F414" s="227"/>
      <c r="G414" s="49">
        <v>1</v>
      </c>
      <c r="H414" s="73"/>
      <c r="I414" s="44"/>
      <c r="J414" s="48">
        <f t="shared" si="18"/>
        <v>1</v>
      </c>
      <c r="K414" s="48">
        <f t="shared" si="19"/>
        <v>0</v>
      </c>
      <c r="L414" s="68">
        <f t="shared" si="20"/>
        <v>0</v>
      </c>
    </row>
    <row r="415" spans="2:12" x14ac:dyDescent="0.85">
      <c r="B415" s="46">
        <v>409</v>
      </c>
      <c r="C415" s="10"/>
      <c r="D415" s="66"/>
      <c r="E415" s="10"/>
      <c r="F415" s="226"/>
      <c r="G415" s="47">
        <v>1</v>
      </c>
      <c r="H415" s="72"/>
      <c r="I415" s="10"/>
      <c r="J415" s="46">
        <f t="shared" si="18"/>
        <v>1</v>
      </c>
      <c r="K415" s="46">
        <f t="shared" si="19"/>
        <v>0</v>
      </c>
      <c r="L415" s="69">
        <f t="shared" si="20"/>
        <v>0</v>
      </c>
    </row>
    <row r="416" spans="2:12" x14ac:dyDescent="0.85">
      <c r="B416" s="48">
        <v>410</v>
      </c>
      <c r="C416" s="44"/>
      <c r="D416" s="50"/>
      <c r="E416" s="44"/>
      <c r="F416" s="227"/>
      <c r="G416" s="49">
        <v>1</v>
      </c>
      <c r="H416" s="73"/>
      <c r="I416" s="44"/>
      <c r="J416" s="48">
        <f t="shared" si="18"/>
        <v>1</v>
      </c>
      <c r="K416" s="48">
        <f t="shared" si="19"/>
        <v>0</v>
      </c>
      <c r="L416" s="68">
        <f t="shared" si="20"/>
        <v>0</v>
      </c>
    </row>
    <row r="417" spans="2:12" x14ac:dyDescent="0.85">
      <c r="B417" s="46">
        <v>411</v>
      </c>
      <c r="C417" s="10"/>
      <c r="D417" s="66"/>
      <c r="E417" s="10"/>
      <c r="F417" s="226"/>
      <c r="G417" s="47">
        <v>1</v>
      </c>
      <c r="H417" s="72"/>
      <c r="I417" s="10"/>
      <c r="J417" s="46">
        <f t="shared" si="18"/>
        <v>1</v>
      </c>
      <c r="K417" s="46">
        <f t="shared" si="19"/>
        <v>0</v>
      </c>
      <c r="L417" s="69">
        <f t="shared" si="20"/>
        <v>0</v>
      </c>
    </row>
    <row r="418" spans="2:12" x14ac:dyDescent="0.85">
      <c r="B418" s="48">
        <v>412</v>
      </c>
      <c r="C418" s="44"/>
      <c r="D418" s="50"/>
      <c r="E418" s="44"/>
      <c r="F418" s="227"/>
      <c r="G418" s="49">
        <v>1</v>
      </c>
      <c r="H418" s="73"/>
      <c r="I418" s="44"/>
      <c r="J418" s="48">
        <f t="shared" si="18"/>
        <v>1</v>
      </c>
      <c r="K418" s="48">
        <f t="shared" si="19"/>
        <v>0</v>
      </c>
      <c r="L418" s="68">
        <f t="shared" si="20"/>
        <v>0</v>
      </c>
    </row>
    <row r="419" spans="2:12" x14ac:dyDescent="0.85">
      <c r="B419" s="46">
        <v>413</v>
      </c>
      <c r="C419" s="10"/>
      <c r="D419" s="66"/>
      <c r="E419" s="10"/>
      <c r="F419" s="226"/>
      <c r="G419" s="47">
        <v>1</v>
      </c>
      <c r="H419" s="72"/>
      <c r="I419" s="10"/>
      <c r="J419" s="46">
        <f t="shared" si="18"/>
        <v>1</v>
      </c>
      <c r="K419" s="46">
        <f t="shared" si="19"/>
        <v>0</v>
      </c>
      <c r="L419" s="69">
        <f t="shared" si="20"/>
        <v>0</v>
      </c>
    </row>
    <row r="420" spans="2:12" x14ac:dyDescent="0.85">
      <c r="B420" s="48">
        <v>414</v>
      </c>
      <c r="C420" s="44"/>
      <c r="D420" s="50"/>
      <c r="E420" s="44"/>
      <c r="F420" s="227"/>
      <c r="G420" s="49">
        <v>1</v>
      </c>
      <c r="H420" s="73"/>
      <c r="I420" s="44"/>
      <c r="J420" s="48">
        <f t="shared" si="18"/>
        <v>1</v>
      </c>
      <c r="K420" s="48">
        <f t="shared" si="19"/>
        <v>0</v>
      </c>
      <c r="L420" s="68">
        <f t="shared" si="20"/>
        <v>0</v>
      </c>
    </row>
    <row r="421" spans="2:12" x14ac:dyDescent="0.85">
      <c r="B421" s="46">
        <v>415</v>
      </c>
      <c r="C421" s="10"/>
      <c r="D421" s="66"/>
      <c r="E421" s="10"/>
      <c r="F421" s="226"/>
      <c r="G421" s="47">
        <v>1</v>
      </c>
      <c r="H421" s="72"/>
      <c r="I421" s="10"/>
      <c r="J421" s="46">
        <f t="shared" si="18"/>
        <v>1</v>
      </c>
      <c r="K421" s="46">
        <f t="shared" si="19"/>
        <v>0</v>
      </c>
      <c r="L421" s="69">
        <f t="shared" si="20"/>
        <v>0</v>
      </c>
    </row>
    <row r="422" spans="2:12" x14ac:dyDescent="0.85">
      <c r="B422" s="48">
        <v>416</v>
      </c>
      <c r="C422" s="44"/>
      <c r="D422" s="50"/>
      <c r="E422" s="44"/>
      <c r="F422" s="227"/>
      <c r="G422" s="49">
        <v>1</v>
      </c>
      <c r="H422" s="73"/>
      <c r="I422" s="44"/>
      <c r="J422" s="48">
        <f t="shared" si="18"/>
        <v>1</v>
      </c>
      <c r="K422" s="48">
        <f t="shared" si="19"/>
        <v>0</v>
      </c>
      <c r="L422" s="68">
        <f t="shared" si="20"/>
        <v>0</v>
      </c>
    </row>
    <row r="423" spans="2:12" x14ac:dyDescent="0.85">
      <c r="B423" s="46">
        <v>417</v>
      </c>
      <c r="C423" s="10"/>
      <c r="D423" s="66"/>
      <c r="E423" s="10"/>
      <c r="F423" s="226"/>
      <c r="G423" s="47">
        <v>1</v>
      </c>
      <c r="H423" s="72"/>
      <c r="I423" s="10"/>
      <c r="J423" s="46">
        <f t="shared" si="18"/>
        <v>1</v>
      </c>
      <c r="K423" s="46">
        <f t="shared" si="19"/>
        <v>0</v>
      </c>
      <c r="L423" s="69">
        <f t="shared" si="20"/>
        <v>0</v>
      </c>
    </row>
    <row r="424" spans="2:12" x14ac:dyDescent="0.85">
      <c r="B424" s="48">
        <v>418</v>
      </c>
      <c r="C424" s="44"/>
      <c r="D424" s="50"/>
      <c r="E424" s="44"/>
      <c r="F424" s="227"/>
      <c r="G424" s="49">
        <v>1</v>
      </c>
      <c r="H424" s="73"/>
      <c r="I424" s="44"/>
      <c r="J424" s="48">
        <f t="shared" si="18"/>
        <v>1</v>
      </c>
      <c r="K424" s="48">
        <f t="shared" si="19"/>
        <v>0</v>
      </c>
      <c r="L424" s="68">
        <f t="shared" si="20"/>
        <v>0</v>
      </c>
    </row>
    <row r="425" spans="2:12" x14ac:dyDescent="0.85">
      <c r="B425" s="46">
        <v>419</v>
      </c>
      <c r="C425" s="10"/>
      <c r="D425" s="66"/>
      <c r="E425" s="10"/>
      <c r="F425" s="226"/>
      <c r="G425" s="47">
        <v>1</v>
      </c>
      <c r="H425" s="72"/>
      <c r="I425" s="10"/>
      <c r="J425" s="46">
        <f t="shared" si="18"/>
        <v>1</v>
      </c>
      <c r="K425" s="46">
        <f t="shared" si="19"/>
        <v>0</v>
      </c>
      <c r="L425" s="69">
        <f t="shared" si="20"/>
        <v>0</v>
      </c>
    </row>
    <row r="426" spans="2:12" x14ac:dyDescent="0.85">
      <c r="B426" s="48">
        <v>420</v>
      </c>
      <c r="C426" s="44"/>
      <c r="D426" s="50"/>
      <c r="E426" s="44"/>
      <c r="F426" s="227"/>
      <c r="G426" s="49">
        <v>1</v>
      </c>
      <c r="H426" s="73"/>
      <c r="I426" s="44"/>
      <c r="J426" s="48">
        <f t="shared" si="18"/>
        <v>1</v>
      </c>
      <c r="K426" s="48">
        <f t="shared" si="19"/>
        <v>0</v>
      </c>
      <c r="L426" s="68">
        <f t="shared" si="20"/>
        <v>0</v>
      </c>
    </row>
    <row r="427" spans="2:12" x14ac:dyDescent="0.85">
      <c r="B427" s="46">
        <v>421</v>
      </c>
      <c r="C427" s="10"/>
      <c r="D427" s="66"/>
      <c r="E427" s="10"/>
      <c r="F427" s="226"/>
      <c r="G427" s="47">
        <v>1</v>
      </c>
      <c r="H427" s="72"/>
      <c r="I427" s="10"/>
      <c r="J427" s="46">
        <f t="shared" si="18"/>
        <v>1</v>
      </c>
      <c r="K427" s="46">
        <f t="shared" si="19"/>
        <v>0</v>
      </c>
      <c r="L427" s="69">
        <f t="shared" si="20"/>
        <v>0</v>
      </c>
    </row>
    <row r="428" spans="2:12" x14ac:dyDescent="0.85">
      <c r="B428" s="48">
        <v>422</v>
      </c>
      <c r="C428" s="44"/>
      <c r="D428" s="50"/>
      <c r="E428" s="44"/>
      <c r="F428" s="227"/>
      <c r="G428" s="49">
        <v>1</v>
      </c>
      <c r="H428" s="73"/>
      <c r="I428" s="44"/>
      <c r="J428" s="48">
        <f t="shared" si="18"/>
        <v>1</v>
      </c>
      <c r="K428" s="48">
        <f t="shared" si="19"/>
        <v>0</v>
      </c>
      <c r="L428" s="68">
        <f t="shared" si="20"/>
        <v>0</v>
      </c>
    </row>
    <row r="429" spans="2:12" x14ac:dyDescent="0.85">
      <c r="B429" s="46">
        <v>423</v>
      </c>
      <c r="C429" s="10"/>
      <c r="D429" s="66"/>
      <c r="E429" s="10"/>
      <c r="F429" s="226"/>
      <c r="G429" s="47">
        <v>1</v>
      </c>
      <c r="H429" s="72"/>
      <c r="I429" s="10"/>
      <c r="J429" s="46">
        <f t="shared" si="18"/>
        <v>1</v>
      </c>
      <c r="K429" s="46">
        <f t="shared" si="19"/>
        <v>0</v>
      </c>
      <c r="L429" s="69">
        <f t="shared" si="20"/>
        <v>0</v>
      </c>
    </row>
    <row r="430" spans="2:12" x14ac:dyDescent="0.85">
      <c r="B430" s="48">
        <v>424</v>
      </c>
      <c r="C430" s="44"/>
      <c r="D430" s="50"/>
      <c r="E430" s="44"/>
      <c r="F430" s="227"/>
      <c r="G430" s="49">
        <v>1</v>
      </c>
      <c r="H430" s="73"/>
      <c r="I430" s="44"/>
      <c r="J430" s="48">
        <f t="shared" si="18"/>
        <v>1</v>
      </c>
      <c r="K430" s="48">
        <f t="shared" si="19"/>
        <v>0</v>
      </c>
      <c r="L430" s="68">
        <f t="shared" si="20"/>
        <v>0</v>
      </c>
    </row>
    <row r="431" spans="2:12" x14ac:dyDescent="0.85">
      <c r="B431" s="46">
        <v>425</v>
      </c>
      <c r="C431" s="10"/>
      <c r="D431" s="66"/>
      <c r="E431" s="10"/>
      <c r="F431" s="226"/>
      <c r="G431" s="47">
        <v>1</v>
      </c>
      <c r="H431" s="72"/>
      <c r="I431" s="10"/>
      <c r="J431" s="46">
        <f t="shared" si="18"/>
        <v>1</v>
      </c>
      <c r="K431" s="46">
        <f t="shared" si="19"/>
        <v>0</v>
      </c>
      <c r="L431" s="69">
        <f t="shared" si="20"/>
        <v>0</v>
      </c>
    </row>
    <row r="432" spans="2:12" x14ac:dyDescent="0.85">
      <c r="B432" s="48">
        <v>426</v>
      </c>
      <c r="C432" s="44"/>
      <c r="D432" s="50"/>
      <c r="E432" s="44"/>
      <c r="F432" s="227"/>
      <c r="G432" s="49">
        <v>1</v>
      </c>
      <c r="H432" s="73"/>
      <c r="I432" s="44"/>
      <c r="J432" s="48">
        <f t="shared" si="18"/>
        <v>1</v>
      </c>
      <c r="K432" s="48">
        <f t="shared" si="19"/>
        <v>0</v>
      </c>
      <c r="L432" s="68">
        <f t="shared" si="20"/>
        <v>0</v>
      </c>
    </row>
    <row r="433" spans="2:12" x14ac:dyDescent="0.85">
      <c r="B433" s="46">
        <v>427</v>
      </c>
      <c r="C433" s="10"/>
      <c r="D433" s="66"/>
      <c r="E433" s="10"/>
      <c r="F433" s="226"/>
      <c r="G433" s="47">
        <v>1</v>
      </c>
      <c r="H433" s="72"/>
      <c r="I433" s="10"/>
      <c r="J433" s="46">
        <f t="shared" si="18"/>
        <v>1</v>
      </c>
      <c r="K433" s="46">
        <f t="shared" si="19"/>
        <v>0</v>
      </c>
      <c r="L433" s="69">
        <f t="shared" si="20"/>
        <v>0</v>
      </c>
    </row>
    <row r="434" spans="2:12" x14ac:dyDescent="0.85">
      <c r="B434" s="48">
        <v>428</v>
      </c>
      <c r="C434" s="44"/>
      <c r="D434" s="50"/>
      <c r="E434" s="44"/>
      <c r="F434" s="227"/>
      <c r="G434" s="49">
        <v>1</v>
      </c>
      <c r="H434" s="73"/>
      <c r="I434" s="44"/>
      <c r="J434" s="48">
        <f t="shared" si="18"/>
        <v>1</v>
      </c>
      <c r="K434" s="48">
        <f t="shared" si="19"/>
        <v>0</v>
      </c>
      <c r="L434" s="68">
        <f t="shared" si="20"/>
        <v>0</v>
      </c>
    </row>
    <row r="435" spans="2:12" x14ac:dyDescent="0.85">
      <c r="B435" s="46">
        <v>429</v>
      </c>
      <c r="C435" s="10"/>
      <c r="D435" s="66"/>
      <c r="E435" s="10"/>
      <c r="F435" s="226"/>
      <c r="G435" s="47">
        <v>1</v>
      </c>
      <c r="H435" s="72"/>
      <c r="I435" s="10"/>
      <c r="J435" s="46">
        <f t="shared" si="18"/>
        <v>1</v>
      </c>
      <c r="K435" s="46">
        <f t="shared" si="19"/>
        <v>0</v>
      </c>
      <c r="L435" s="69">
        <f t="shared" si="20"/>
        <v>0</v>
      </c>
    </row>
    <row r="436" spans="2:12" x14ac:dyDescent="0.85">
      <c r="B436" s="48">
        <v>430</v>
      </c>
      <c r="C436" s="44"/>
      <c r="D436" s="50"/>
      <c r="E436" s="44"/>
      <c r="F436" s="227"/>
      <c r="G436" s="49">
        <v>1</v>
      </c>
      <c r="H436" s="73"/>
      <c r="I436" s="44"/>
      <c r="J436" s="48">
        <f t="shared" si="18"/>
        <v>1</v>
      </c>
      <c r="K436" s="48">
        <f t="shared" si="19"/>
        <v>0</v>
      </c>
      <c r="L436" s="68">
        <f t="shared" si="20"/>
        <v>0</v>
      </c>
    </row>
    <row r="437" spans="2:12" x14ac:dyDescent="0.85">
      <c r="B437" s="46">
        <v>431</v>
      </c>
      <c r="C437" s="10"/>
      <c r="D437" s="66"/>
      <c r="E437" s="10"/>
      <c r="F437" s="226"/>
      <c r="G437" s="47">
        <v>1</v>
      </c>
      <c r="H437" s="72"/>
      <c r="I437" s="10"/>
      <c r="J437" s="46">
        <f t="shared" si="18"/>
        <v>1</v>
      </c>
      <c r="K437" s="46">
        <f t="shared" si="19"/>
        <v>0</v>
      </c>
      <c r="L437" s="69">
        <f t="shared" si="20"/>
        <v>0</v>
      </c>
    </row>
    <row r="438" spans="2:12" x14ac:dyDescent="0.85">
      <c r="B438" s="48">
        <v>432</v>
      </c>
      <c r="C438" s="44"/>
      <c r="D438" s="50"/>
      <c r="E438" s="44"/>
      <c r="F438" s="227"/>
      <c r="G438" s="49">
        <v>1</v>
      </c>
      <c r="H438" s="73"/>
      <c r="I438" s="44"/>
      <c r="J438" s="48">
        <f t="shared" si="18"/>
        <v>1</v>
      </c>
      <c r="K438" s="48">
        <f t="shared" si="19"/>
        <v>0</v>
      </c>
      <c r="L438" s="68">
        <f t="shared" si="20"/>
        <v>0</v>
      </c>
    </row>
    <row r="439" spans="2:12" x14ac:dyDescent="0.85">
      <c r="B439" s="46">
        <v>433</v>
      </c>
      <c r="C439" s="10"/>
      <c r="D439" s="66"/>
      <c r="E439" s="10"/>
      <c r="F439" s="226"/>
      <c r="G439" s="47">
        <v>1</v>
      </c>
      <c r="H439" s="72"/>
      <c r="I439" s="10"/>
      <c r="J439" s="46">
        <f t="shared" si="18"/>
        <v>1</v>
      </c>
      <c r="K439" s="46">
        <f t="shared" si="19"/>
        <v>0</v>
      </c>
      <c r="L439" s="69">
        <f t="shared" si="20"/>
        <v>0</v>
      </c>
    </row>
    <row r="440" spans="2:12" x14ac:dyDescent="0.85">
      <c r="B440" s="48">
        <v>434</v>
      </c>
      <c r="C440" s="44"/>
      <c r="D440" s="50"/>
      <c r="E440" s="44"/>
      <c r="F440" s="227"/>
      <c r="G440" s="49">
        <v>1</v>
      </c>
      <c r="H440" s="73"/>
      <c r="I440" s="44"/>
      <c r="J440" s="48">
        <f t="shared" si="18"/>
        <v>1</v>
      </c>
      <c r="K440" s="48">
        <f t="shared" si="19"/>
        <v>0</v>
      </c>
      <c r="L440" s="68">
        <f t="shared" si="20"/>
        <v>0</v>
      </c>
    </row>
    <row r="441" spans="2:12" x14ac:dyDescent="0.85">
      <c r="B441" s="46">
        <v>435</v>
      </c>
      <c r="C441" s="10"/>
      <c r="D441" s="66"/>
      <c r="E441" s="10"/>
      <c r="F441" s="226"/>
      <c r="G441" s="47">
        <v>1</v>
      </c>
      <c r="H441" s="72"/>
      <c r="I441" s="10"/>
      <c r="J441" s="46">
        <f t="shared" si="18"/>
        <v>1</v>
      </c>
      <c r="K441" s="46">
        <f t="shared" si="19"/>
        <v>0</v>
      </c>
      <c r="L441" s="69">
        <f t="shared" si="20"/>
        <v>0</v>
      </c>
    </row>
    <row r="442" spans="2:12" x14ac:dyDescent="0.85">
      <c r="B442" s="48">
        <v>436</v>
      </c>
      <c r="C442" s="44"/>
      <c r="D442" s="50"/>
      <c r="E442" s="44"/>
      <c r="F442" s="227"/>
      <c r="G442" s="49">
        <v>1</v>
      </c>
      <c r="H442" s="73"/>
      <c r="I442" s="44"/>
      <c r="J442" s="48">
        <f t="shared" si="18"/>
        <v>1</v>
      </c>
      <c r="K442" s="48">
        <f t="shared" si="19"/>
        <v>0</v>
      </c>
      <c r="L442" s="68">
        <f t="shared" si="20"/>
        <v>0</v>
      </c>
    </row>
    <row r="443" spans="2:12" x14ac:dyDescent="0.85">
      <c r="B443" s="46">
        <v>437</v>
      </c>
      <c r="C443" s="10"/>
      <c r="D443" s="66"/>
      <c r="E443" s="10"/>
      <c r="F443" s="226"/>
      <c r="G443" s="47">
        <v>1</v>
      </c>
      <c r="H443" s="72"/>
      <c r="I443" s="10"/>
      <c r="J443" s="46">
        <f t="shared" si="18"/>
        <v>1</v>
      </c>
      <c r="K443" s="46">
        <f t="shared" si="19"/>
        <v>0</v>
      </c>
      <c r="L443" s="69">
        <f t="shared" si="20"/>
        <v>0</v>
      </c>
    </row>
    <row r="444" spans="2:12" x14ac:dyDescent="0.85">
      <c r="B444" s="48">
        <v>438</v>
      </c>
      <c r="C444" s="44"/>
      <c r="D444" s="50"/>
      <c r="E444" s="44"/>
      <c r="F444" s="227"/>
      <c r="G444" s="49">
        <v>1</v>
      </c>
      <c r="H444" s="73"/>
      <c r="I444" s="44"/>
      <c r="J444" s="48">
        <f t="shared" si="18"/>
        <v>1</v>
      </c>
      <c r="K444" s="48">
        <f t="shared" si="19"/>
        <v>0</v>
      </c>
      <c r="L444" s="68">
        <f t="shared" si="20"/>
        <v>0</v>
      </c>
    </row>
    <row r="445" spans="2:12" x14ac:dyDescent="0.85">
      <c r="B445" s="46">
        <v>439</v>
      </c>
      <c r="C445" s="10"/>
      <c r="D445" s="66"/>
      <c r="E445" s="10"/>
      <c r="F445" s="226"/>
      <c r="G445" s="47">
        <v>1</v>
      </c>
      <c r="H445" s="72"/>
      <c r="I445" s="10"/>
      <c r="J445" s="46">
        <f t="shared" si="18"/>
        <v>1</v>
      </c>
      <c r="K445" s="46">
        <f t="shared" si="19"/>
        <v>0</v>
      </c>
      <c r="L445" s="69">
        <f t="shared" si="20"/>
        <v>0</v>
      </c>
    </row>
    <row r="446" spans="2:12" x14ac:dyDescent="0.85">
      <c r="B446" s="48">
        <v>440</v>
      </c>
      <c r="C446" s="44"/>
      <c r="D446" s="50"/>
      <c r="E446" s="44"/>
      <c r="F446" s="227"/>
      <c r="G446" s="49">
        <v>1</v>
      </c>
      <c r="H446" s="73"/>
      <c r="I446" s="44"/>
      <c r="J446" s="48">
        <f t="shared" si="18"/>
        <v>1</v>
      </c>
      <c r="K446" s="48">
        <f t="shared" si="19"/>
        <v>0</v>
      </c>
      <c r="L446" s="68">
        <f t="shared" si="20"/>
        <v>0</v>
      </c>
    </row>
    <row r="447" spans="2:12" x14ac:dyDescent="0.85">
      <c r="B447" s="46">
        <v>441</v>
      </c>
      <c r="C447" s="10"/>
      <c r="D447" s="66"/>
      <c r="E447" s="10"/>
      <c r="F447" s="226"/>
      <c r="G447" s="47">
        <v>1</v>
      </c>
      <c r="H447" s="72"/>
      <c r="I447" s="10"/>
      <c r="J447" s="46">
        <f t="shared" si="18"/>
        <v>1</v>
      </c>
      <c r="K447" s="46">
        <f t="shared" si="19"/>
        <v>0</v>
      </c>
      <c r="L447" s="69">
        <f t="shared" si="20"/>
        <v>0</v>
      </c>
    </row>
    <row r="448" spans="2:12" x14ac:dyDescent="0.85">
      <c r="B448" s="48">
        <v>442</v>
      </c>
      <c r="C448" s="44"/>
      <c r="D448" s="50"/>
      <c r="E448" s="44"/>
      <c r="F448" s="227"/>
      <c r="G448" s="49">
        <v>1</v>
      </c>
      <c r="H448" s="73"/>
      <c r="I448" s="44"/>
      <c r="J448" s="48">
        <f t="shared" si="18"/>
        <v>1</v>
      </c>
      <c r="K448" s="48">
        <f t="shared" si="19"/>
        <v>0</v>
      </c>
      <c r="L448" s="68">
        <f t="shared" si="20"/>
        <v>0</v>
      </c>
    </row>
    <row r="449" spans="2:12" x14ac:dyDescent="0.85">
      <c r="B449" s="46">
        <v>443</v>
      </c>
      <c r="C449" s="10"/>
      <c r="D449" s="66"/>
      <c r="E449" s="10"/>
      <c r="F449" s="226"/>
      <c r="G449" s="47">
        <v>1</v>
      </c>
      <c r="H449" s="72"/>
      <c r="I449" s="10"/>
      <c r="J449" s="46">
        <f t="shared" si="18"/>
        <v>1</v>
      </c>
      <c r="K449" s="46">
        <f t="shared" si="19"/>
        <v>0</v>
      </c>
      <c r="L449" s="69">
        <f t="shared" si="20"/>
        <v>0</v>
      </c>
    </row>
    <row r="450" spans="2:12" x14ac:dyDescent="0.85">
      <c r="B450" s="48">
        <v>444</v>
      </c>
      <c r="C450" s="44"/>
      <c r="D450" s="50"/>
      <c r="E450" s="44"/>
      <c r="F450" s="227"/>
      <c r="G450" s="49">
        <v>1</v>
      </c>
      <c r="H450" s="73"/>
      <c r="I450" s="44"/>
      <c r="J450" s="48">
        <f t="shared" si="18"/>
        <v>1</v>
      </c>
      <c r="K450" s="48">
        <f t="shared" si="19"/>
        <v>0</v>
      </c>
      <c r="L450" s="68">
        <f t="shared" si="20"/>
        <v>0</v>
      </c>
    </row>
    <row r="451" spans="2:12" x14ac:dyDescent="0.85">
      <c r="B451" s="46">
        <v>445</v>
      </c>
      <c r="C451" s="10"/>
      <c r="D451" s="66"/>
      <c r="E451" s="10"/>
      <c r="F451" s="226"/>
      <c r="G451" s="47">
        <v>1</v>
      </c>
      <c r="H451" s="72"/>
      <c r="I451" s="10"/>
      <c r="J451" s="46">
        <f t="shared" si="18"/>
        <v>1</v>
      </c>
      <c r="K451" s="46">
        <f t="shared" si="19"/>
        <v>0</v>
      </c>
      <c r="L451" s="69">
        <f t="shared" si="20"/>
        <v>0</v>
      </c>
    </row>
    <row r="452" spans="2:12" x14ac:dyDescent="0.85">
      <c r="B452" s="48">
        <v>446</v>
      </c>
      <c r="C452" s="44"/>
      <c r="D452" s="50"/>
      <c r="E452" s="44"/>
      <c r="F452" s="227"/>
      <c r="G452" s="49">
        <v>1</v>
      </c>
      <c r="H452" s="73"/>
      <c r="I452" s="44"/>
      <c r="J452" s="48">
        <f t="shared" si="18"/>
        <v>1</v>
      </c>
      <c r="K452" s="48">
        <f t="shared" si="19"/>
        <v>0</v>
      </c>
      <c r="L452" s="68">
        <f t="shared" si="20"/>
        <v>0</v>
      </c>
    </row>
    <row r="453" spans="2:12" x14ac:dyDescent="0.85">
      <c r="B453" s="46">
        <v>447</v>
      </c>
      <c r="C453" s="10"/>
      <c r="D453" s="66"/>
      <c r="E453" s="10"/>
      <c r="F453" s="226"/>
      <c r="G453" s="47">
        <v>1</v>
      </c>
      <c r="H453" s="72"/>
      <c r="I453" s="10"/>
      <c r="J453" s="46">
        <f t="shared" si="18"/>
        <v>1</v>
      </c>
      <c r="K453" s="46">
        <f t="shared" si="19"/>
        <v>0</v>
      </c>
      <c r="L453" s="69">
        <f t="shared" si="20"/>
        <v>0</v>
      </c>
    </row>
    <row r="454" spans="2:12" x14ac:dyDescent="0.85">
      <c r="B454" s="48">
        <v>448</v>
      </c>
      <c r="C454" s="44"/>
      <c r="D454" s="50"/>
      <c r="E454" s="44"/>
      <c r="F454" s="227"/>
      <c r="G454" s="49">
        <v>1</v>
      </c>
      <c r="H454" s="73"/>
      <c r="I454" s="44"/>
      <c r="J454" s="48">
        <f t="shared" si="18"/>
        <v>1</v>
      </c>
      <c r="K454" s="48">
        <f t="shared" si="19"/>
        <v>0</v>
      </c>
      <c r="L454" s="68">
        <f t="shared" si="20"/>
        <v>0</v>
      </c>
    </row>
    <row r="455" spans="2:12" x14ac:dyDescent="0.85">
      <c r="B455" s="46">
        <v>449</v>
      </c>
      <c r="C455" s="10"/>
      <c r="D455" s="66"/>
      <c r="E455" s="10"/>
      <c r="F455" s="226"/>
      <c r="G455" s="47">
        <v>1</v>
      </c>
      <c r="H455" s="72"/>
      <c r="I455" s="10"/>
      <c r="J455" s="46">
        <f t="shared" ref="J455:J518" si="21">IF(ISBLANK(H455),1,H455)</f>
        <v>1</v>
      </c>
      <c r="K455" s="46">
        <f t="shared" ref="K455:K518" si="22">IF(COUNTIF(FreeElements, E455)&gt;0, F455, 0)</f>
        <v>0</v>
      </c>
      <c r="L455" s="69">
        <f t="shared" ref="L455:L518" si="23">J455*K455</f>
        <v>0</v>
      </c>
    </row>
    <row r="456" spans="2:12" x14ac:dyDescent="0.85">
      <c r="B456" s="48">
        <v>450</v>
      </c>
      <c r="C456" s="44"/>
      <c r="D456" s="50"/>
      <c r="E456" s="44"/>
      <c r="F456" s="227"/>
      <c r="G456" s="49">
        <v>1</v>
      </c>
      <c r="H456" s="73"/>
      <c r="I456" s="44"/>
      <c r="J456" s="48">
        <f t="shared" si="21"/>
        <v>1</v>
      </c>
      <c r="K456" s="48">
        <f t="shared" si="22"/>
        <v>0</v>
      </c>
      <c r="L456" s="68">
        <f t="shared" si="23"/>
        <v>0</v>
      </c>
    </row>
    <row r="457" spans="2:12" x14ac:dyDescent="0.85">
      <c r="B457" s="46">
        <v>451</v>
      </c>
      <c r="C457" s="10"/>
      <c r="D457" s="66"/>
      <c r="E457" s="10"/>
      <c r="F457" s="226"/>
      <c r="G457" s="47">
        <v>1</v>
      </c>
      <c r="H457" s="72"/>
      <c r="I457" s="10"/>
      <c r="J457" s="46">
        <f t="shared" si="21"/>
        <v>1</v>
      </c>
      <c r="K457" s="46">
        <f t="shared" si="22"/>
        <v>0</v>
      </c>
      <c r="L457" s="69">
        <f t="shared" si="23"/>
        <v>0</v>
      </c>
    </row>
    <row r="458" spans="2:12" x14ac:dyDescent="0.85">
      <c r="B458" s="48">
        <v>452</v>
      </c>
      <c r="C458" s="44"/>
      <c r="D458" s="50"/>
      <c r="E458" s="44"/>
      <c r="F458" s="227"/>
      <c r="G458" s="49">
        <v>1</v>
      </c>
      <c r="H458" s="73"/>
      <c r="I458" s="44"/>
      <c r="J458" s="48">
        <f t="shared" si="21"/>
        <v>1</v>
      </c>
      <c r="K458" s="48">
        <f t="shared" si="22"/>
        <v>0</v>
      </c>
      <c r="L458" s="68">
        <f t="shared" si="23"/>
        <v>0</v>
      </c>
    </row>
    <row r="459" spans="2:12" x14ac:dyDescent="0.85">
      <c r="B459" s="46">
        <v>453</v>
      </c>
      <c r="C459" s="10"/>
      <c r="D459" s="66"/>
      <c r="E459" s="10"/>
      <c r="F459" s="226"/>
      <c r="G459" s="47">
        <v>1</v>
      </c>
      <c r="H459" s="72"/>
      <c r="I459" s="10"/>
      <c r="J459" s="46">
        <f t="shared" si="21"/>
        <v>1</v>
      </c>
      <c r="K459" s="46">
        <f t="shared" si="22"/>
        <v>0</v>
      </c>
      <c r="L459" s="69">
        <f t="shared" si="23"/>
        <v>0</v>
      </c>
    </row>
    <row r="460" spans="2:12" x14ac:dyDescent="0.85">
      <c r="B460" s="48">
        <v>454</v>
      </c>
      <c r="C460" s="44"/>
      <c r="D460" s="50"/>
      <c r="E460" s="44"/>
      <c r="F460" s="227"/>
      <c r="G460" s="49">
        <v>1</v>
      </c>
      <c r="H460" s="73"/>
      <c r="I460" s="44"/>
      <c r="J460" s="48">
        <f t="shared" si="21"/>
        <v>1</v>
      </c>
      <c r="K460" s="48">
        <f t="shared" si="22"/>
        <v>0</v>
      </c>
      <c r="L460" s="68">
        <f t="shared" si="23"/>
        <v>0</v>
      </c>
    </row>
    <row r="461" spans="2:12" x14ac:dyDescent="0.85">
      <c r="B461" s="46">
        <v>455</v>
      </c>
      <c r="C461" s="10"/>
      <c r="D461" s="66"/>
      <c r="E461" s="10"/>
      <c r="F461" s="226"/>
      <c r="G461" s="47">
        <v>1</v>
      </c>
      <c r="H461" s="72"/>
      <c r="I461" s="10"/>
      <c r="J461" s="46">
        <f t="shared" si="21"/>
        <v>1</v>
      </c>
      <c r="K461" s="46">
        <f t="shared" si="22"/>
        <v>0</v>
      </c>
      <c r="L461" s="69">
        <f t="shared" si="23"/>
        <v>0</v>
      </c>
    </row>
    <row r="462" spans="2:12" x14ac:dyDescent="0.85">
      <c r="B462" s="48">
        <v>456</v>
      </c>
      <c r="C462" s="44"/>
      <c r="D462" s="50"/>
      <c r="E462" s="44"/>
      <c r="F462" s="227"/>
      <c r="G462" s="49">
        <v>1</v>
      </c>
      <c r="H462" s="73"/>
      <c r="I462" s="44"/>
      <c r="J462" s="48">
        <f t="shared" si="21"/>
        <v>1</v>
      </c>
      <c r="K462" s="48">
        <f t="shared" si="22"/>
        <v>0</v>
      </c>
      <c r="L462" s="68">
        <f t="shared" si="23"/>
        <v>0</v>
      </c>
    </row>
    <row r="463" spans="2:12" x14ac:dyDescent="0.85">
      <c r="B463" s="46">
        <v>457</v>
      </c>
      <c r="C463" s="10"/>
      <c r="D463" s="66"/>
      <c r="E463" s="10"/>
      <c r="F463" s="226"/>
      <c r="G463" s="47">
        <v>1</v>
      </c>
      <c r="H463" s="72"/>
      <c r="I463" s="10"/>
      <c r="J463" s="46">
        <f t="shared" si="21"/>
        <v>1</v>
      </c>
      <c r="K463" s="46">
        <f t="shared" si="22"/>
        <v>0</v>
      </c>
      <c r="L463" s="69">
        <f t="shared" si="23"/>
        <v>0</v>
      </c>
    </row>
    <row r="464" spans="2:12" x14ac:dyDescent="0.85">
      <c r="B464" s="48">
        <v>458</v>
      </c>
      <c r="C464" s="44"/>
      <c r="D464" s="50"/>
      <c r="E464" s="44"/>
      <c r="F464" s="227"/>
      <c r="G464" s="49">
        <v>1</v>
      </c>
      <c r="H464" s="73"/>
      <c r="I464" s="44"/>
      <c r="J464" s="48">
        <f t="shared" si="21"/>
        <v>1</v>
      </c>
      <c r="K464" s="48">
        <f t="shared" si="22"/>
        <v>0</v>
      </c>
      <c r="L464" s="68">
        <f t="shared" si="23"/>
        <v>0</v>
      </c>
    </row>
    <row r="465" spans="2:12" x14ac:dyDescent="0.85">
      <c r="B465" s="46">
        <v>459</v>
      </c>
      <c r="C465" s="10"/>
      <c r="D465" s="66"/>
      <c r="E465" s="10"/>
      <c r="F465" s="226"/>
      <c r="G465" s="47">
        <v>1</v>
      </c>
      <c r="H465" s="72"/>
      <c r="I465" s="10"/>
      <c r="J465" s="46">
        <f t="shared" si="21"/>
        <v>1</v>
      </c>
      <c r="K465" s="46">
        <f t="shared" si="22"/>
        <v>0</v>
      </c>
      <c r="L465" s="69">
        <f t="shared" si="23"/>
        <v>0</v>
      </c>
    </row>
    <row r="466" spans="2:12" x14ac:dyDescent="0.85">
      <c r="B466" s="48">
        <v>460</v>
      </c>
      <c r="C466" s="44"/>
      <c r="D466" s="50"/>
      <c r="E466" s="44"/>
      <c r="F466" s="227"/>
      <c r="G466" s="49">
        <v>1</v>
      </c>
      <c r="H466" s="73"/>
      <c r="I466" s="44"/>
      <c r="J466" s="48">
        <f t="shared" si="21"/>
        <v>1</v>
      </c>
      <c r="K466" s="48">
        <f t="shared" si="22"/>
        <v>0</v>
      </c>
      <c r="L466" s="68">
        <f t="shared" si="23"/>
        <v>0</v>
      </c>
    </row>
    <row r="467" spans="2:12" x14ac:dyDescent="0.85">
      <c r="B467" s="46">
        <v>461</v>
      </c>
      <c r="C467" s="10"/>
      <c r="D467" s="66"/>
      <c r="E467" s="10"/>
      <c r="F467" s="226"/>
      <c r="G467" s="47">
        <v>1</v>
      </c>
      <c r="H467" s="72"/>
      <c r="I467" s="10"/>
      <c r="J467" s="46">
        <f t="shared" si="21"/>
        <v>1</v>
      </c>
      <c r="K467" s="46">
        <f t="shared" si="22"/>
        <v>0</v>
      </c>
      <c r="L467" s="69">
        <f t="shared" si="23"/>
        <v>0</v>
      </c>
    </row>
    <row r="468" spans="2:12" x14ac:dyDescent="0.85">
      <c r="B468" s="48">
        <v>462</v>
      </c>
      <c r="C468" s="44"/>
      <c r="D468" s="50"/>
      <c r="E468" s="44"/>
      <c r="F468" s="227"/>
      <c r="G468" s="49">
        <v>1</v>
      </c>
      <c r="H468" s="73"/>
      <c r="I468" s="44"/>
      <c r="J468" s="48">
        <f t="shared" si="21"/>
        <v>1</v>
      </c>
      <c r="K468" s="48">
        <f t="shared" si="22"/>
        <v>0</v>
      </c>
      <c r="L468" s="68">
        <f t="shared" si="23"/>
        <v>0</v>
      </c>
    </row>
    <row r="469" spans="2:12" x14ac:dyDescent="0.85">
      <c r="B469" s="46">
        <v>463</v>
      </c>
      <c r="C469" s="10"/>
      <c r="D469" s="66"/>
      <c r="E469" s="10"/>
      <c r="F469" s="226"/>
      <c r="G469" s="47">
        <v>1</v>
      </c>
      <c r="H469" s="72"/>
      <c r="I469" s="10"/>
      <c r="J469" s="46">
        <f t="shared" si="21"/>
        <v>1</v>
      </c>
      <c r="K469" s="46">
        <f t="shared" si="22"/>
        <v>0</v>
      </c>
      <c r="L469" s="69">
        <f t="shared" si="23"/>
        <v>0</v>
      </c>
    </row>
    <row r="470" spans="2:12" x14ac:dyDescent="0.85">
      <c r="B470" s="48">
        <v>464</v>
      </c>
      <c r="C470" s="44"/>
      <c r="D470" s="50"/>
      <c r="E470" s="44"/>
      <c r="F470" s="227"/>
      <c r="G470" s="49">
        <v>1</v>
      </c>
      <c r="H470" s="73"/>
      <c r="I470" s="44"/>
      <c r="J470" s="48">
        <f t="shared" si="21"/>
        <v>1</v>
      </c>
      <c r="K470" s="48">
        <f t="shared" si="22"/>
        <v>0</v>
      </c>
      <c r="L470" s="68">
        <f t="shared" si="23"/>
        <v>0</v>
      </c>
    </row>
    <row r="471" spans="2:12" x14ac:dyDescent="0.85">
      <c r="B471" s="46">
        <v>465</v>
      </c>
      <c r="C471" s="10"/>
      <c r="D471" s="66"/>
      <c r="E471" s="10"/>
      <c r="F471" s="226"/>
      <c r="G471" s="47">
        <v>1</v>
      </c>
      <c r="H471" s="72"/>
      <c r="I471" s="10"/>
      <c r="J471" s="46">
        <f t="shared" si="21"/>
        <v>1</v>
      </c>
      <c r="K471" s="46">
        <f t="shared" si="22"/>
        <v>0</v>
      </c>
      <c r="L471" s="69">
        <f t="shared" si="23"/>
        <v>0</v>
      </c>
    </row>
    <row r="472" spans="2:12" x14ac:dyDescent="0.85">
      <c r="B472" s="48">
        <v>466</v>
      </c>
      <c r="C472" s="44"/>
      <c r="D472" s="50"/>
      <c r="E472" s="44"/>
      <c r="F472" s="227"/>
      <c r="G472" s="49">
        <v>1</v>
      </c>
      <c r="H472" s="73"/>
      <c r="I472" s="44"/>
      <c r="J472" s="48">
        <f t="shared" si="21"/>
        <v>1</v>
      </c>
      <c r="K472" s="48">
        <f t="shared" si="22"/>
        <v>0</v>
      </c>
      <c r="L472" s="68">
        <f t="shared" si="23"/>
        <v>0</v>
      </c>
    </row>
    <row r="473" spans="2:12" x14ac:dyDescent="0.85">
      <c r="B473" s="46">
        <v>467</v>
      </c>
      <c r="C473" s="10"/>
      <c r="D473" s="66"/>
      <c r="E473" s="10"/>
      <c r="F473" s="226"/>
      <c r="G473" s="47">
        <v>1</v>
      </c>
      <c r="H473" s="72"/>
      <c r="I473" s="10"/>
      <c r="J473" s="46">
        <f t="shared" si="21"/>
        <v>1</v>
      </c>
      <c r="K473" s="46">
        <f t="shared" si="22"/>
        <v>0</v>
      </c>
      <c r="L473" s="69">
        <f t="shared" si="23"/>
        <v>0</v>
      </c>
    </row>
    <row r="474" spans="2:12" x14ac:dyDescent="0.85">
      <c r="B474" s="48">
        <v>468</v>
      </c>
      <c r="C474" s="44"/>
      <c r="D474" s="50"/>
      <c r="E474" s="44"/>
      <c r="F474" s="227"/>
      <c r="G474" s="49">
        <v>1</v>
      </c>
      <c r="H474" s="73"/>
      <c r="I474" s="44"/>
      <c r="J474" s="48">
        <f t="shared" si="21"/>
        <v>1</v>
      </c>
      <c r="K474" s="48">
        <f t="shared" si="22"/>
        <v>0</v>
      </c>
      <c r="L474" s="68">
        <f t="shared" si="23"/>
        <v>0</v>
      </c>
    </row>
    <row r="475" spans="2:12" x14ac:dyDescent="0.85">
      <c r="B475" s="46">
        <v>469</v>
      </c>
      <c r="C475" s="10"/>
      <c r="D475" s="66"/>
      <c r="E475" s="10"/>
      <c r="F475" s="226"/>
      <c r="G475" s="47">
        <v>1</v>
      </c>
      <c r="H475" s="72"/>
      <c r="I475" s="10"/>
      <c r="J475" s="46">
        <f t="shared" si="21"/>
        <v>1</v>
      </c>
      <c r="K475" s="46">
        <f t="shared" si="22"/>
        <v>0</v>
      </c>
      <c r="L475" s="69">
        <f t="shared" si="23"/>
        <v>0</v>
      </c>
    </row>
    <row r="476" spans="2:12" x14ac:dyDescent="0.85">
      <c r="B476" s="48">
        <v>470</v>
      </c>
      <c r="C476" s="44"/>
      <c r="D476" s="50"/>
      <c r="E476" s="44"/>
      <c r="F476" s="227"/>
      <c r="G476" s="49">
        <v>1</v>
      </c>
      <c r="H476" s="73"/>
      <c r="I476" s="44"/>
      <c r="J476" s="48">
        <f t="shared" si="21"/>
        <v>1</v>
      </c>
      <c r="K476" s="48">
        <f t="shared" si="22"/>
        <v>0</v>
      </c>
      <c r="L476" s="68">
        <f t="shared" si="23"/>
        <v>0</v>
      </c>
    </row>
    <row r="477" spans="2:12" x14ac:dyDescent="0.85">
      <c r="B477" s="46">
        <v>471</v>
      </c>
      <c r="C477" s="10"/>
      <c r="D477" s="66"/>
      <c r="E477" s="10"/>
      <c r="F477" s="226"/>
      <c r="G477" s="47">
        <v>1</v>
      </c>
      <c r="H477" s="72"/>
      <c r="I477" s="10"/>
      <c r="J477" s="46">
        <f t="shared" si="21"/>
        <v>1</v>
      </c>
      <c r="K477" s="46">
        <f t="shared" si="22"/>
        <v>0</v>
      </c>
      <c r="L477" s="69">
        <f t="shared" si="23"/>
        <v>0</v>
      </c>
    </row>
    <row r="478" spans="2:12" x14ac:dyDescent="0.85">
      <c r="B478" s="48">
        <v>472</v>
      </c>
      <c r="C478" s="44"/>
      <c r="D478" s="50"/>
      <c r="E478" s="44"/>
      <c r="F478" s="227"/>
      <c r="G478" s="49">
        <v>1</v>
      </c>
      <c r="H478" s="73"/>
      <c r="I478" s="44"/>
      <c r="J478" s="48">
        <f t="shared" si="21"/>
        <v>1</v>
      </c>
      <c r="K478" s="48">
        <f t="shared" si="22"/>
        <v>0</v>
      </c>
      <c r="L478" s="68">
        <f t="shared" si="23"/>
        <v>0</v>
      </c>
    </row>
    <row r="479" spans="2:12" x14ac:dyDescent="0.85">
      <c r="B479" s="46">
        <v>473</v>
      </c>
      <c r="C479" s="10"/>
      <c r="D479" s="66"/>
      <c r="E479" s="10"/>
      <c r="F479" s="226"/>
      <c r="G479" s="47">
        <v>1</v>
      </c>
      <c r="H479" s="72"/>
      <c r="I479" s="10"/>
      <c r="J479" s="46">
        <f t="shared" si="21"/>
        <v>1</v>
      </c>
      <c r="K479" s="46">
        <f t="shared" si="22"/>
        <v>0</v>
      </c>
      <c r="L479" s="69">
        <f t="shared" si="23"/>
        <v>0</v>
      </c>
    </row>
    <row r="480" spans="2:12" x14ac:dyDescent="0.85">
      <c r="B480" s="48">
        <v>474</v>
      </c>
      <c r="C480" s="44"/>
      <c r="D480" s="50"/>
      <c r="E480" s="44"/>
      <c r="F480" s="227"/>
      <c r="G480" s="49">
        <v>1</v>
      </c>
      <c r="H480" s="73"/>
      <c r="I480" s="44"/>
      <c r="J480" s="48">
        <f t="shared" si="21"/>
        <v>1</v>
      </c>
      <c r="K480" s="48">
        <f t="shared" si="22"/>
        <v>0</v>
      </c>
      <c r="L480" s="68">
        <f t="shared" si="23"/>
        <v>0</v>
      </c>
    </row>
    <row r="481" spans="2:12" x14ac:dyDescent="0.85">
      <c r="B481" s="46">
        <v>475</v>
      </c>
      <c r="C481" s="10"/>
      <c r="D481" s="66"/>
      <c r="E481" s="10"/>
      <c r="F481" s="226"/>
      <c r="G481" s="47">
        <v>1</v>
      </c>
      <c r="H481" s="72"/>
      <c r="I481" s="10"/>
      <c r="J481" s="46">
        <f t="shared" si="21"/>
        <v>1</v>
      </c>
      <c r="K481" s="46">
        <f t="shared" si="22"/>
        <v>0</v>
      </c>
      <c r="L481" s="69">
        <f t="shared" si="23"/>
        <v>0</v>
      </c>
    </row>
    <row r="482" spans="2:12" x14ac:dyDescent="0.85">
      <c r="B482" s="48">
        <v>476</v>
      </c>
      <c r="C482" s="44"/>
      <c r="D482" s="50"/>
      <c r="E482" s="44"/>
      <c r="F482" s="227"/>
      <c r="G482" s="49">
        <v>1</v>
      </c>
      <c r="H482" s="73"/>
      <c r="I482" s="44"/>
      <c r="J482" s="48">
        <f t="shared" si="21"/>
        <v>1</v>
      </c>
      <c r="K482" s="48">
        <f t="shared" si="22"/>
        <v>0</v>
      </c>
      <c r="L482" s="68">
        <f t="shared" si="23"/>
        <v>0</v>
      </c>
    </row>
    <row r="483" spans="2:12" x14ac:dyDescent="0.85">
      <c r="B483" s="46">
        <v>477</v>
      </c>
      <c r="C483" s="10"/>
      <c r="D483" s="66"/>
      <c r="E483" s="10"/>
      <c r="F483" s="226"/>
      <c r="G483" s="47">
        <v>1</v>
      </c>
      <c r="H483" s="72"/>
      <c r="I483" s="10"/>
      <c r="J483" s="46">
        <f t="shared" si="21"/>
        <v>1</v>
      </c>
      <c r="K483" s="46">
        <f t="shared" si="22"/>
        <v>0</v>
      </c>
      <c r="L483" s="69">
        <f t="shared" si="23"/>
        <v>0</v>
      </c>
    </row>
    <row r="484" spans="2:12" x14ac:dyDescent="0.85">
      <c r="B484" s="48">
        <v>478</v>
      </c>
      <c r="C484" s="44"/>
      <c r="D484" s="50"/>
      <c r="E484" s="44"/>
      <c r="F484" s="227"/>
      <c r="G484" s="49">
        <v>1</v>
      </c>
      <c r="H484" s="73"/>
      <c r="I484" s="44"/>
      <c r="J484" s="48">
        <f t="shared" si="21"/>
        <v>1</v>
      </c>
      <c r="K484" s="48">
        <f t="shared" si="22"/>
        <v>0</v>
      </c>
      <c r="L484" s="68">
        <f t="shared" si="23"/>
        <v>0</v>
      </c>
    </row>
    <row r="485" spans="2:12" x14ac:dyDescent="0.85">
      <c r="B485" s="46">
        <v>479</v>
      </c>
      <c r="C485" s="10"/>
      <c r="D485" s="66"/>
      <c r="E485" s="10"/>
      <c r="F485" s="226"/>
      <c r="G485" s="47">
        <v>1</v>
      </c>
      <c r="H485" s="72"/>
      <c r="I485" s="10"/>
      <c r="J485" s="46">
        <f t="shared" si="21"/>
        <v>1</v>
      </c>
      <c r="K485" s="46">
        <f t="shared" si="22"/>
        <v>0</v>
      </c>
      <c r="L485" s="69">
        <f t="shared" si="23"/>
        <v>0</v>
      </c>
    </row>
    <row r="486" spans="2:12" x14ac:dyDescent="0.85">
      <c r="B486" s="48">
        <v>480</v>
      </c>
      <c r="C486" s="44"/>
      <c r="D486" s="50"/>
      <c r="E486" s="44"/>
      <c r="F486" s="227"/>
      <c r="G486" s="49">
        <v>1</v>
      </c>
      <c r="H486" s="73"/>
      <c r="I486" s="44"/>
      <c r="J486" s="48">
        <f t="shared" si="21"/>
        <v>1</v>
      </c>
      <c r="K486" s="48">
        <f t="shared" si="22"/>
        <v>0</v>
      </c>
      <c r="L486" s="68">
        <f t="shared" si="23"/>
        <v>0</v>
      </c>
    </row>
    <row r="487" spans="2:12" x14ac:dyDescent="0.85">
      <c r="B487" s="46">
        <v>481</v>
      </c>
      <c r="C487" s="10"/>
      <c r="D487" s="66"/>
      <c r="E487" s="10"/>
      <c r="F487" s="226"/>
      <c r="G487" s="47">
        <v>1</v>
      </c>
      <c r="H487" s="72"/>
      <c r="I487" s="10"/>
      <c r="J487" s="46">
        <f t="shared" si="21"/>
        <v>1</v>
      </c>
      <c r="K487" s="46">
        <f t="shared" si="22"/>
        <v>0</v>
      </c>
      <c r="L487" s="69">
        <f t="shared" si="23"/>
        <v>0</v>
      </c>
    </row>
    <row r="488" spans="2:12" x14ac:dyDescent="0.85">
      <c r="B488" s="48">
        <v>482</v>
      </c>
      <c r="C488" s="44"/>
      <c r="D488" s="50"/>
      <c r="E488" s="44"/>
      <c r="F488" s="227"/>
      <c r="G488" s="49">
        <v>1</v>
      </c>
      <c r="H488" s="73"/>
      <c r="I488" s="44"/>
      <c r="J488" s="48">
        <f t="shared" si="21"/>
        <v>1</v>
      </c>
      <c r="K488" s="48">
        <f t="shared" si="22"/>
        <v>0</v>
      </c>
      <c r="L488" s="68">
        <f t="shared" si="23"/>
        <v>0</v>
      </c>
    </row>
    <row r="489" spans="2:12" x14ac:dyDescent="0.85">
      <c r="B489" s="46">
        <v>483</v>
      </c>
      <c r="C489" s="10"/>
      <c r="D489" s="66"/>
      <c r="E489" s="10"/>
      <c r="F489" s="226"/>
      <c r="G489" s="47">
        <v>1</v>
      </c>
      <c r="H489" s="72"/>
      <c r="I489" s="10"/>
      <c r="J489" s="46">
        <f t="shared" si="21"/>
        <v>1</v>
      </c>
      <c r="K489" s="46">
        <f t="shared" si="22"/>
        <v>0</v>
      </c>
      <c r="L489" s="69">
        <f t="shared" si="23"/>
        <v>0</v>
      </c>
    </row>
    <row r="490" spans="2:12" x14ac:dyDescent="0.85">
      <c r="B490" s="48">
        <v>484</v>
      </c>
      <c r="C490" s="44"/>
      <c r="D490" s="50"/>
      <c r="E490" s="44"/>
      <c r="F490" s="227"/>
      <c r="G490" s="49">
        <v>1</v>
      </c>
      <c r="H490" s="73"/>
      <c r="I490" s="44"/>
      <c r="J490" s="48">
        <f t="shared" si="21"/>
        <v>1</v>
      </c>
      <c r="K490" s="48">
        <f t="shared" si="22"/>
        <v>0</v>
      </c>
      <c r="L490" s="68">
        <f t="shared" si="23"/>
        <v>0</v>
      </c>
    </row>
    <row r="491" spans="2:12" x14ac:dyDescent="0.85">
      <c r="B491" s="46">
        <v>485</v>
      </c>
      <c r="C491" s="10"/>
      <c r="D491" s="66"/>
      <c r="E491" s="10"/>
      <c r="F491" s="226"/>
      <c r="G491" s="47">
        <v>1</v>
      </c>
      <c r="H491" s="72"/>
      <c r="I491" s="10"/>
      <c r="J491" s="46">
        <f t="shared" si="21"/>
        <v>1</v>
      </c>
      <c r="K491" s="46">
        <f t="shared" si="22"/>
        <v>0</v>
      </c>
      <c r="L491" s="69">
        <f t="shared" si="23"/>
        <v>0</v>
      </c>
    </row>
    <row r="492" spans="2:12" x14ac:dyDescent="0.85">
      <c r="B492" s="48">
        <v>486</v>
      </c>
      <c r="C492" s="44"/>
      <c r="D492" s="50"/>
      <c r="E492" s="44"/>
      <c r="F492" s="227"/>
      <c r="G492" s="49">
        <v>1</v>
      </c>
      <c r="H492" s="73"/>
      <c r="I492" s="44"/>
      <c r="J492" s="48">
        <f t="shared" si="21"/>
        <v>1</v>
      </c>
      <c r="K492" s="48">
        <f t="shared" si="22"/>
        <v>0</v>
      </c>
      <c r="L492" s="68">
        <f t="shared" si="23"/>
        <v>0</v>
      </c>
    </row>
    <row r="493" spans="2:12" x14ac:dyDescent="0.85">
      <c r="B493" s="46">
        <v>487</v>
      </c>
      <c r="C493" s="10"/>
      <c r="D493" s="66"/>
      <c r="E493" s="10"/>
      <c r="F493" s="226"/>
      <c r="G493" s="47">
        <v>1</v>
      </c>
      <c r="H493" s="72"/>
      <c r="I493" s="10"/>
      <c r="J493" s="46">
        <f t="shared" si="21"/>
        <v>1</v>
      </c>
      <c r="K493" s="46">
        <f t="shared" si="22"/>
        <v>0</v>
      </c>
      <c r="L493" s="69">
        <f t="shared" si="23"/>
        <v>0</v>
      </c>
    </row>
    <row r="494" spans="2:12" x14ac:dyDescent="0.85">
      <c r="B494" s="48">
        <v>488</v>
      </c>
      <c r="C494" s="44"/>
      <c r="D494" s="50"/>
      <c r="E494" s="44"/>
      <c r="F494" s="227"/>
      <c r="G494" s="49">
        <v>1</v>
      </c>
      <c r="H494" s="73"/>
      <c r="I494" s="44"/>
      <c r="J494" s="48">
        <f t="shared" si="21"/>
        <v>1</v>
      </c>
      <c r="K494" s="48">
        <f t="shared" si="22"/>
        <v>0</v>
      </c>
      <c r="L494" s="68">
        <f t="shared" si="23"/>
        <v>0</v>
      </c>
    </row>
    <row r="495" spans="2:12" x14ac:dyDescent="0.85">
      <c r="B495" s="46">
        <v>489</v>
      </c>
      <c r="C495" s="10"/>
      <c r="D495" s="66"/>
      <c r="E495" s="10"/>
      <c r="F495" s="226"/>
      <c r="G495" s="47">
        <v>1</v>
      </c>
      <c r="H495" s="72"/>
      <c r="I495" s="10"/>
      <c r="J495" s="46">
        <f t="shared" si="21"/>
        <v>1</v>
      </c>
      <c r="K495" s="46">
        <f t="shared" si="22"/>
        <v>0</v>
      </c>
      <c r="L495" s="69">
        <f t="shared" si="23"/>
        <v>0</v>
      </c>
    </row>
    <row r="496" spans="2:12" x14ac:dyDescent="0.85">
      <c r="B496" s="48">
        <v>490</v>
      </c>
      <c r="C496" s="44"/>
      <c r="D496" s="50"/>
      <c r="E496" s="44"/>
      <c r="F496" s="227"/>
      <c r="G496" s="49">
        <v>1</v>
      </c>
      <c r="H496" s="73"/>
      <c r="I496" s="44"/>
      <c r="J496" s="48">
        <f t="shared" si="21"/>
        <v>1</v>
      </c>
      <c r="K496" s="48">
        <f t="shared" si="22"/>
        <v>0</v>
      </c>
      <c r="L496" s="68">
        <f t="shared" si="23"/>
        <v>0</v>
      </c>
    </row>
    <row r="497" spans="2:12" x14ac:dyDescent="0.85">
      <c r="B497" s="46">
        <v>491</v>
      </c>
      <c r="C497" s="10"/>
      <c r="D497" s="66"/>
      <c r="E497" s="10"/>
      <c r="F497" s="226"/>
      <c r="G497" s="47">
        <v>1</v>
      </c>
      <c r="H497" s="72"/>
      <c r="I497" s="10"/>
      <c r="J497" s="46">
        <f t="shared" si="21"/>
        <v>1</v>
      </c>
      <c r="K497" s="46">
        <f t="shared" si="22"/>
        <v>0</v>
      </c>
      <c r="L497" s="69">
        <f t="shared" si="23"/>
        <v>0</v>
      </c>
    </row>
    <row r="498" spans="2:12" x14ac:dyDescent="0.85">
      <c r="B498" s="48">
        <v>492</v>
      </c>
      <c r="C498" s="44"/>
      <c r="D498" s="50"/>
      <c r="E498" s="44"/>
      <c r="F498" s="227"/>
      <c r="G498" s="49">
        <v>1</v>
      </c>
      <c r="H498" s="73"/>
      <c r="I498" s="44"/>
      <c r="J498" s="48">
        <f t="shared" si="21"/>
        <v>1</v>
      </c>
      <c r="K498" s="48">
        <f t="shared" si="22"/>
        <v>0</v>
      </c>
      <c r="L498" s="68">
        <f t="shared" si="23"/>
        <v>0</v>
      </c>
    </row>
    <row r="499" spans="2:12" x14ac:dyDescent="0.85">
      <c r="B499" s="46">
        <v>493</v>
      </c>
      <c r="C499" s="10"/>
      <c r="D499" s="66"/>
      <c r="E499" s="10"/>
      <c r="F499" s="226"/>
      <c r="G499" s="47">
        <v>1</v>
      </c>
      <c r="H499" s="72"/>
      <c r="I499" s="10"/>
      <c r="J499" s="46">
        <f t="shared" si="21"/>
        <v>1</v>
      </c>
      <c r="K499" s="46">
        <f t="shared" si="22"/>
        <v>0</v>
      </c>
      <c r="L499" s="69">
        <f t="shared" si="23"/>
        <v>0</v>
      </c>
    </row>
    <row r="500" spans="2:12" x14ac:dyDescent="0.85">
      <c r="B500" s="48">
        <v>494</v>
      </c>
      <c r="C500" s="44"/>
      <c r="D500" s="50"/>
      <c r="E500" s="44"/>
      <c r="F500" s="227"/>
      <c r="G500" s="49">
        <v>1</v>
      </c>
      <c r="H500" s="73"/>
      <c r="I500" s="44"/>
      <c r="J500" s="48">
        <f t="shared" si="21"/>
        <v>1</v>
      </c>
      <c r="K500" s="48">
        <f t="shared" si="22"/>
        <v>0</v>
      </c>
      <c r="L500" s="68">
        <f t="shared" si="23"/>
        <v>0</v>
      </c>
    </row>
    <row r="501" spans="2:12" x14ac:dyDescent="0.85">
      <c r="B501" s="46">
        <v>495</v>
      </c>
      <c r="C501" s="10"/>
      <c r="D501" s="66"/>
      <c r="E501" s="10"/>
      <c r="F501" s="226"/>
      <c r="G501" s="47">
        <v>1</v>
      </c>
      <c r="H501" s="72"/>
      <c r="I501" s="10"/>
      <c r="J501" s="46">
        <f t="shared" si="21"/>
        <v>1</v>
      </c>
      <c r="K501" s="46">
        <f t="shared" si="22"/>
        <v>0</v>
      </c>
      <c r="L501" s="69">
        <f t="shared" si="23"/>
        <v>0</v>
      </c>
    </row>
    <row r="502" spans="2:12" x14ac:dyDescent="0.85">
      <c r="B502" s="48">
        <v>496</v>
      </c>
      <c r="C502" s="44"/>
      <c r="D502" s="50"/>
      <c r="E502" s="44"/>
      <c r="F502" s="227"/>
      <c r="G502" s="49">
        <v>1</v>
      </c>
      <c r="H502" s="73"/>
      <c r="I502" s="44"/>
      <c r="J502" s="48">
        <f t="shared" si="21"/>
        <v>1</v>
      </c>
      <c r="K502" s="48">
        <f t="shared" si="22"/>
        <v>0</v>
      </c>
      <c r="L502" s="68">
        <f t="shared" si="23"/>
        <v>0</v>
      </c>
    </row>
    <row r="503" spans="2:12" x14ac:dyDescent="0.85">
      <c r="B503" s="46">
        <v>497</v>
      </c>
      <c r="C503" s="10"/>
      <c r="D503" s="66"/>
      <c r="E503" s="10"/>
      <c r="F503" s="226"/>
      <c r="G503" s="47">
        <v>1</v>
      </c>
      <c r="H503" s="72"/>
      <c r="I503" s="10"/>
      <c r="J503" s="46">
        <f t="shared" si="21"/>
        <v>1</v>
      </c>
      <c r="K503" s="46">
        <f t="shared" si="22"/>
        <v>0</v>
      </c>
      <c r="L503" s="69">
        <f t="shared" si="23"/>
        <v>0</v>
      </c>
    </row>
    <row r="504" spans="2:12" x14ac:dyDescent="0.85">
      <c r="B504" s="48">
        <v>498</v>
      </c>
      <c r="C504" s="44"/>
      <c r="D504" s="50"/>
      <c r="E504" s="44"/>
      <c r="F504" s="227"/>
      <c r="G504" s="49">
        <v>1</v>
      </c>
      <c r="H504" s="73"/>
      <c r="I504" s="44"/>
      <c r="J504" s="48">
        <f t="shared" si="21"/>
        <v>1</v>
      </c>
      <c r="K504" s="48">
        <f t="shared" si="22"/>
        <v>0</v>
      </c>
      <c r="L504" s="68">
        <f t="shared" si="23"/>
        <v>0</v>
      </c>
    </row>
    <row r="505" spans="2:12" x14ac:dyDescent="0.85">
      <c r="B505" s="46">
        <v>499</v>
      </c>
      <c r="C505" s="10"/>
      <c r="D505" s="66"/>
      <c r="E505" s="10"/>
      <c r="F505" s="226"/>
      <c r="G505" s="47">
        <v>1</v>
      </c>
      <c r="H505" s="72"/>
      <c r="I505" s="10"/>
      <c r="J505" s="46">
        <f t="shared" si="21"/>
        <v>1</v>
      </c>
      <c r="K505" s="46">
        <f t="shared" si="22"/>
        <v>0</v>
      </c>
      <c r="L505" s="69">
        <f t="shared" si="23"/>
        <v>0</v>
      </c>
    </row>
    <row r="506" spans="2:12" x14ac:dyDescent="0.85">
      <c r="B506" s="48">
        <v>500</v>
      </c>
      <c r="C506" s="44"/>
      <c r="D506" s="50"/>
      <c r="E506" s="44"/>
      <c r="F506" s="227"/>
      <c r="G506" s="49">
        <v>1</v>
      </c>
      <c r="H506" s="73"/>
      <c r="I506" s="44"/>
      <c r="J506" s="48">
        <f t="shared" si="21"/>
        <v>1</v>
      </c>
      <c r="K506" s="48">
        <f t="shared" si="22"/>
        <v>0</v>
      </c>
      <c r="L506" s="68">
        <f t="shared" si="23"/>
        <v>0</v>
      </c>
    </row>
    <row r="507" spans="2:12" x14ac:dyDescent="0.85">
      <c r="B507" s="46">
        <v>501</v>
      </c>
      <c r="C507" s="10"/>
      <c r="D507" s="66"/>
      <c r="E507" s="10"/>
      <c r="F507" s="226"/>
      <c r="G507" s="47">
        <v>1</v>
      </c>
      <c r="H507" s="72"/>
      <c r="I507" s="10"/>
      <c r="J507" s="46">
        <f t="shared" si="21"/>
        <v>1</v>
      </c>
      <c r="K507" s="46">
        <f t="shared" si="22"/>
        <v>0</v>
      </c>
      <c r="L507" s="69">
        <f t="shared" si="23"/>
        <v>0</v>
      </c>
    </row>
    <row r="508" spans="2:12" x14ac:dyDescent="0.85">
      <c r="B508" s="48">
        <v>502</v>
      </c>
      <c r="C508" s="44"/>
      <c r="D508" s="50"/>
      <c r="E508" s="44"/>
      <c r="F508" s="227"/>
      <c r="G508" s="49">
        <v>1</v>
      </c>
      <c r="H508" s="73"/>
      <c r="I508" s="44"/>
      <c r="J508" s="48">
        <f t="shared" si="21"/>
        <v>1</v>
      </c>
      <c r="K508" s="48">
        <f t="shared" si="22"/>
        <v>0</v>
      </c>
      <c r="L508" s="68">
        <f t="shared" si="23"/>
        <v>0</v>
      </c>
    </row>
    <row r="509" spans="2:12" x14ac:dyDescent="0.85">
      <c r="B509" s="46">
        <v>503</v>
      </c>
      <c r="C509" s="10"/>
      <c r="D509" s="66"/>
      <c r="E509" s="10"/>
      <c r="F509" s="226"/>
      <c r="G509" s="47">
        <v>1</v>
      </c>
      <c r="H509" s="72"/>
      <c r="I509" s="10"/>
      <c r="J509" s="46">
        <f t="shared" si="21"/>
        <v>1</v>
      </c>
      <c r="K509" s="46">
        <f t="shared" si="22"/>
        <v>0</v>
      </c>
      <c r="L509" s="69">
        <f t="shared" si="23"/>
        <v>0</v>
      </c>
    </row>
    <row r="510" spans="2:12" x14ac:dyDescent="0.85">
      <c r="B510" s="48">
        <v>504</v>
      </c>
      <c r="C510" s="44"/>
      <c r="D510" s="50"/>
      <c r="E510" s="44"/>
      <c r="F510" s="227"/>
      <c r="G510" s="49">
        <v>1</v>
      </c>
      <c r="H510" s="73"/>
      <c r="I510" s="44"/>
      <c r="J510" s="48">
        <f t="shared" si="21"/>
        <v>1</v>
      </c>
      <c r="K510" s="48">
        <f t="shared" si="22"/>
        <v>0</v>
      </c>
      <c r="L510" s="68">
        <f t="shared" si="23"/>
        <v>0</v>
      </c>
    </row>
    <row r="511" spans="2:12" x14ac:dyDescent="0.85">
      <c r="B511" s="46">
        <v>505</v>
      </c>
      <c r="C511" s="10"/>
      <c r="D511" s="66"/>
      <c r="E511" s="10"/>
      <c r="F511" s="226"/>
      <c r="G511" s="47">
        <v>1</v>
      </c>
      <c r="H511" s="72"/>
      <c r="I511" s="10"/>
      <c r="J511" s="46">
        <f t="shared" si="21"/>
        <v>1</v>
      </c>
      <c r="K511" s="46">
        <f t="shared" si="22"/>
        <v>0</v>
      </c>
      <c r="L511" s="69">
        <f t="shared" si="23"/>
        <v>0</v>
      </c>
    </row>
    <row r="512" spans="2:12" x14ac:dyDescent="0.85">
      <c r="B512" s="48">
        <v>506</v>
      </c>
      <c r="C512" s="44"/>
      <c r="D512" s="50"/>
      <c r="E512" s="44"/>
      <c r="F512" s="227"/>
      <c r="G512" s="49">
        <v>1</v>
      </c>
      <c r="H512" s="73"/>
      <c r="I512" s="44"/>
      <c r="J512" s="48">
        <f t="shared" si="21"/>
        <v>1</v>
      </c>
      <c r="K512" s="48">
        <f t="shared" si="22"/>
        <v>0</v>
      </c>
      <c r="L512" s="68">
        <f t="shared" si="23"/>
        <v>0</v>
      </c>
    </row>
    <row r="513" spans="2:12" x14ac:dyDescent="0.85">
      <c r="B513" s="46">
        <v>507</v>
      </c>
      <c r="C513" s="10"/>
      <c r="D513" s="66"/>
      <c r="E513" s="10"/>
      <c r="F513" s="226"/>
      <c r="G513" s="47">
        <v>1</v>
      </c>
      <c r="H513" s="72"/>
      <c r="I513" s="10"/>
      <c r="J513" s="46">
        <f t="shared" si="21"/>
        <v>1</v>
      </c>
      <c r="K513" s="46">
        <f t="shared" si="22"/>
        <v>0</v>
      </c>
      <c r="L513" s="69">
        <f t="shared" si="23"/>
        <v>0</v>
      </c>
    </row>
    <row r="514" spans="2:12" x14ac:dyDescent="0.85">
      <c r="B514" s="48">
        <v>508</v>
      </c>
      <c r="C514" s="44"/>
      <c r="D514" s="50"/>
      <c r="E514" s="44"/>
      <c r="F514" s="227"/>
      <c r="G514" s="49">
        <v>1</v>
      </c>
      <c r="H514" s="73"/>
      <c r="I514" s="44"/>
      <c r="J514" s="48">
        <f t="shared" si="21"/>
        <v>1</v>
      </c>
      <c r="K514" s="48">
        <f t="shared" si="22"/>
        <v>0</v>
      </c>
      <c r="L514" s="68">
        <f t="shared" si="23"/>
        <v>0</v>
      </c>
    </row>
    <row r="515" spans="2:12" x14ac:dyDescent="0.85">
      <c r="B515" s="46">
        <v>509</v>
      </c>
      <c r="C515" s="10"/>
      <c r="D515" s="66"/>
      <c r="E515" s="10"/>
      <c r="F515" s="226"/>
      <c r="G515" s="47">
        <v>1</v>
      </c>
      <c r="H515" s="72"/>
      <c r="I515" s="10"/>
      <c r="J515" s="46">
        <f t="shared" si="21"/>
        <v>1</v>
      </c>
      <c r="K515" s="46">
        <f t="shared" si="22"/>
        <v>0</v>
      </c>
      <c r="L515" s="69">
        <f t="shared" si="23"/>
        <v>0</v>
      </c>
    </row>
    <row r="516" spans="2:12" x14ac:dyDescent="0.85">
      <c r="B516" s="48">
        <v>510</v>
      </c>
      <c r="C516" s="44"/>
      <c r="D516" s="50"/>
      <c r="E516" s="44"/>
      <c r="F516" s="227"/>
      <c r="G516" s="49">
        <v>1</v>
      </c>
      <c r="H516" s="73"/>
      <c r="I516" s="44"/>
      <c r="J516" s="48">
        <f t="shared" si="21"/>
        <v>1</v>
      </c>
      <c r="K516" s="48">
        <f t="shared" si="22"/>
        <v>0</v>
      </c>
      <c r="L516" s="68">
        <f t="shared" si="23"/>
        <v>0</v>
      </c>
    </row>
    <row r="517" spans="2:12" x14ac:dyDescent="0.85">
      <c r="B517" s="46">
        <v>511</v>
      </c>
      <c r="C517" s="10"/>
      <c r="D517" s="66"/>
      <c r="E517" s="10"/>
      <c r="F517" s="226"/>
      <c r="G517" s="47">
        <v>1</v>
      </c>
      <c r="H517" s="72"/>
      <c r="I517" s="10"/>
      <c r="J517" s="46">
        <f t="shared" si="21"/>
        <v>1</v>
      </c>
      <c r="K517" s="46">
        <f t="shared" si="22"/>
        <v>0</v>
      </c>
      <c r="L517" s="69">
        <f t="shared" si="23"/>
        <v>0</v>
      </c>
    </row>
    <row r="518" spans="2:12" x14ac:dyDescent="0.85">
      <c r="B518" s="48">
        <v>512</v>
      </c>
      <c r="C518" s="44"/>
      <c r="D518" s="50"/>
      <c r="E518" s="44"/>
      <c r="F518" s="227"/>
      <c r="G518" s="49">
        <v>1</v>
      </c>
      <c r="H518" s="73"/>
      <c r="I518" s="44"/>
      <c r="J518" s="48">
        <f t="shared" si="21"/>
        <v>1</v>
      </c>
      <c r="K518" s="48">
        <f t="shared" si="22"/>
        <v>0</v>
      </c>
      <c r="L518" s="68">
        <f t="shared" si="23"/>
        <v>0</v>
      </c>
    </row>
    <row r="519" spans="2:12" x14ac:dyDescent="0.85">
      <c r="B519" s="46">
        <v>513</v>
      </c>
      <c r="C519" s="10"/>
      <c r="D519" s="66"/>
      <c r="E519" s="10"/>
      <c r="F519" s="226"/>
      <c r="G519" s="47">
        <v>1</v>
      </c>
      <c r="H519" s="72"/>
      <c r="I519" s="10"/>
      <c r="J519" s="46">
        <f t="shared" ref="J519:J582" si="24">IF(ISBLANK(H519),1,H519)</f>
        <v>1</v>
      </c>
      <c r="K519" s="46">
        <f t="shared" ref="K519:K582" si="25">IF(COUNTIF(FreeElements, E519)&gt;0, F519, 0)</f>
        <v>0</v>
      </c>
      <c r="L519" s="69">
        <f t="shared" ref="L519:L582" si="26">J519*K519</f>
        <v>0</v>
      </c>
    </row>
    <row r="520" spans="2:12" x14ac:dyDescent="0.85">
      <c r="B520" s="48">
        <v>514</v>
      </c>
      <c r="C520" s="44"/>
      <c r="D520" s="50"/>
      <c r="E520" s="44"/>
      <c r="F520" s="227"/>
      <c r="G520" s="49">
        <v>1</v>
      </c>
      <c r="H520" s="73"/>
      <c r="I520" s="44"/>
      <c r="J520" s="48">
        <f t="shared" si="24"/>
        <v>1</v>
      </c>
      <c r="K520" s="48">
        <f t="shared" si="25"/>
        <v>0</v>
      </c>
      <c r="L520" s="68">
        <f t="shared" si="26"/>
        <v>0</v>
      </c>
    </row>
    <row r="521" spans="2:12" x14ac:dyDescent="0.85">
      <c r="B521" s="46">
        <v>515</v>
      </c>
      <c r="C521" s="10"/>
      <c r="D521" s="66"/>
      <c r="E521" s="10"/>
      <c r="F521" s="226"/>
      <c r="G521" s="47">
        <v>1</v>
      </c>
      <c r="H521" s="72"/>
      <c r="I521" s="10"/>
      <c r="J521" s="46">
        <f t="shared" si="24"/>
        <v>1</v>
      </c>
      <c r="K521" s="46">
        <f t="shared" si="25"/>
        <v>0</v>
      </c>
      <c r="L521" s="69">
        <f t="shared" si="26"/>
        <v>0</v>
      </c>
    </row>
    <row r="522" spans="2:12" x14ac:dyDescent="0.85">
      <c r="B522" s="48">
        <v>516</v>
      </c>
      <c r="C522" s="44"/>
      <c r="D522" s="50"/>
      <c r="E522" s="44"/>
      <c r="F522" s="227"/>
      <c r="G522" s="49">
        <v>1</v>
      </c>
      <c r="H522" s="73"/>
      <c r="I522" s="44"/>
      <c r="J522" s="48">
        <f t="shared" si="24"/>
        <v>1</v>
      </c>
      <c r="K522" s="48">
        <f t="shared" si="25"/>
        <v>0</v>
      </c>
      <c r="L522" s="68">
        <f t="shared" si="26"/>
        <v>0</v>
      </c>
    </row>
    <row r="523" spans="2:12" x14ac:dyDescent="0.85">
      <c r="B523" s="46">
        <v>517</v>
      </c>
      <c r="C523" s="10"/>
      <c r="D523" s="66"/>
      <c r="E523" s="10"/>
      <c r="F523" s="226"/>
      <c r="G523" s="47">
        <v>1</v>
      </c>
      <c r="H523" s="72"/>
      <c r="I523" s="10"/>
      <c r="J523" s="46">
        <f t="shared" si="24"/>
        <v>1</v>
      </c>
      <c r="K523" s="46">
        <f t="shared" si="25"/>
        <v>0</v>
      </c>
      <c r="L523" s="69">
        <f t="shared" si="26"/>
        <v>0</v>
      </c>
    </row>
    <row r="524" spans="2:12" x14ac:dyDescent="0.85">
      <c r="B524" s="48">
        <v>518</v>
      </c>
      <c r="C524" s="44"/>
      <c r="D524" s="50"/>
      <c r="E524" s="44"/>
      <c r="F524" s="227"/>
      <c r="G524" s="49">
        <v>1</v>
      </c>
      <c r="H524" s="73"/>
      <c r="I524" s="44"/>
      <c r="J524" s="48">
        <f t="shared" si="24"/>
        <v>1</v>
      </c>
      <c r="K524" s="48">
        <f t="shared" si="25"/>
        <v>0</v>
      </c>
      <c r="L524" s="68">
        <f t="shared" si="26"/>
        <v>0</v>
      </c>
    </row>
    <row r="525" spans="2:12" x14ac:dyDescent="0.85">
      <c r="B525" s="46">
        <v>519</v>
      </c>
      <c r="C525" s="10"/>
      <c r="D525" s="66"/>
      <c r="E525" s="10"/>
      <c r="F525" s="226"/>
      <c r="G525" s="47">
        <v>1</v>
      </c>
      <c r="H525" s="72"/>
      <c r="I525" s="10"/>
      <c r="J525" s="46">
        <f t="shared" si="24"/>
        <v>1</v>
      </c>
      <c r="K525" s="46">
        <f t="shared" si="25"/>
        <v>0</v>
      </c>
      <c r="L525" s="69">
        <f t="shared" si="26"/>
        <v>0</v>
      </c>
    </row>
    <row r="526" spans="2:12" x14ac:dyDescent="0.85">
      <c r="B526" s="48">
        <v>520</v>
      </c>
      <c r="C526" s="44"/>
      <c r="D526" s="50"/>
      <c r="E526" s="44"/>
      <c r="F526" s="227"/>
      <c r="G526" s="49">
        <v>1</v>
      </c>
      <c r="H526" s="73"/>
      <c r="I526" s="44"/>
      <c r="J526" s="48">
        <f t="shared" si="24"/>
        <v>1</v>
      </c>
      <c r="K526" s="48">
        <f t="shared" si="25"/>
        <v>0</v>
      </c>
      <c r="L526" s="68">
        <f t="shared" si="26"/>
        <v>0</v>
      </c>
    </row>
    <row r="527" spans="2:12" x14ac:dyDescent="0.85">
      <c r="B527" s="46">
        <v>521</v>
      </c>
      <c r="C527" s="10"/>
      <c r="D527" s="66"/>
      <c r="E527" s="10"/>
      <c r="F527" s="226"/>
      <c r="G527" s="47">
        <v>1</v>
      </c>
      <c r="H527" s="72"/>
      <c r="I527" s="10"/>
      <c r="J527" s="46">
        <f t="shared" si="24"/>
        <v>1</v>
      </c>
      <c r="K527" s="46">
        <f t="shared" si="25"/>
        <v>0</v>
      </c>
      <c r="L527" s="69">
        <f t="shared" si="26"/>
        <v>0</v>
      </c>
    </row>
    <row r="528" spans="2:12" x14ac:dyDescent="0.85">
      <c r="B528" s="48">
        <v>522</v>
      </c>
      <c r="C528" s="44"/>
      <c r="D528" s="50"/>
      <c r="E528" s="44"/>
      <c r="F528" s="227"/>
      <c r="G528" s="49">
        <v>1</v>
      </c>
      <c r="H528" s="73"/>
      <c r="I528" s="44"/>
      <c r="J528" s="48">
        <f t="shared" si="24"/>
        <v>1</v>
      </c>
      <c r="K528" s="48">
        <f t="shared" si="25"/>
        <v>0</v>
      </c>
      <c r="L528" s="68">
        <f t="shared" si="26"/>
        <v>0</v>
      </c>
    </row>
    <row r="529" spans="2:12" x14ac:dyDescent="0.85">
      <c r="B529" s="46">
        <v>523</v>
      </c>
      <c r="C529" s="10"/>
      <c r="D529" s="66"/>
      <c r="E529" s="10"/>
      <c r="F529" s="226"/>
      <c r="G529" s="47">
        <v>1</v>
      </c>
      <c r="H529" s="72"/>
      <c r="I529" s="10"/>
      <c r="J529" s="46">
        <f t="shared" si="24"/>
        <v>1</v>
      </c>
      <c r="K529" s="46">
        <f t="shared" si="25"/>
        <v>0</v>
      </c>
      <c r="L529" s="69">
        <f t="shared" si="26"/>
        <v>0</v>
      </c>
    </row>
    <row r="530" spans="2:12" x14ac:dyDescent="0.85">
      <c r="B530" s="48">
        <v>524</v>
      </c>
      <c r="C530" s="44"/>
      <c r="D530" s="50"/>
      <c r="E530" s="44"/>
      <c r="F530" s="227"/>
      <c r="G530" s="49">
        <v>1</v>
      </c>
      <c r="H530" s="73"/>
      <c r="I530" s="44"/>
      <c r="J530" s="48">
        <f t="shared" si="24"/>
        <v>1</v>
      </c>
      <c r="K530" s="48">
        <f t="shared" si="25"/>
        <v>0</v>
      </c>
      <c r="L530" s="68">
        <f t="shared" si="26"/>
        <v>0</v>
      </c>
    </row>
    <row r="531" spans="2:12" x14ac:dyDescent="0.85">
      <c r="B531" s="46">
        <v>525</v>
      </c>
      <c r="C531" s="10"/>
      <c r="D531" s="66"/>
      <c r="E531" s="10"/>
      <c r="F531" s="226"/>
      <c r="G531" s="47">
        <v>1</v>
      </c>
      <c r="H531" s="72"/>
      <c r="I531" s="10"/>
      <c r="J531" s="46">
        <f t="shared" si="24"/>
        <v>1</v>
      </c>
      <c r="K531" s="46">
        <f t="shared" si="25"/>
        <v>0</v>
      </c>
      <c r="L531" s="69">
        <f t="shared" si="26"/>
        <v>0</v>
      </c>
    </row>
    <row r="532" spans="2:12" x14ac:dyDescent="0.85">
      <c r="B532" s="48">
        <v>526</v>
      </c>
      <c r="C532" s="44"/>
      <c r="D532" s="50"/>
      <c r="E532" s="44"/>
      <c r="F532" s="227"/>
      <c r="G532" s="49">
        <v>1</v>
      </c>
      <c r="H532" s="73"/>
      <c r="I532" s="44"/>
      <c r="J532" s="48">
        <f t="shared" si="24"/>
        <v>1</v>
      </c>
      <c r="K532" s="48">
        <f t="shared" si="25"/>
        <v>0</v>
      </c>
      <c r="L532" s="68">
        <f t="shared" si="26"/>
        <v>0</v>
      </c>
    </row>
    <row r="533" spans="2:12" x14ac:dyDescent="0.85">
      <c r="B533" s="46">
        <v>527</v>
      </c>
      <c r="C533" s="10"/>
      <c r="D533" s="66"/>
      <c r="E533" s="10"/>
      <c r="F533" s="226"/>
      <c r="G533" s="47">
        <v>1</v>
      </c>
      <c r="H533" s="72"/>
      <c r="I533" s="10"/>
      <c r="J533" s="46">
        <f t="shared" si="24"/>
        <v>1</v>
      </c>
      <c r="K533" s="46">
        <f t="shared" si="25"/>
        <v>0</v>
      </c>
      <c r="L533" s="69">
        <f t="shared" si="26"/>
        <v>0</v>
      </c>
    </row>
    <row r="534" spans="2:12" x14ac:dyDescent="0.85">
      <c r="B534" s="48">
        <v>528</v>
      </c>
      <c r="C534" s="44"/>
      <c r="D534" s="50"/>
      <c r="E534" s="44"/>
      <c r="F534" s="227"/>
      <c r="G534" s="49">
        <v>1</v>
      </c>
      <c r="H534" s="73"/>
      <c r="I534" s="44"/>
      <c r="J534" s="48">
        <f t="shared" si="24"/>
        <v>1</v>
      </c>
      <c r="K534" s="48">
        <f t="shared" si="25"/>
        <v>0</v>
      </c>
      <c r="L534" s="68">
        <f t="shared" si="26"/>
        <v>0</v>
      </c>
    </row>
    <row r="535" spans="2:12" x14ac:dyDescent="0.85">
      <c r="B535" s="46">
        <v>529</v>
      </c>
      <c r="C535" s="10"/>
      <c r="D535" s="66"/>
      <c r="E535" s="10"/>
      <c r="F535" s="226"/>
      <c r="G535" s="47">
        <v>1</v>
      </c>
      <c r="H535" s="72"/>
      <c r="I535" s="10"/>
      <c r="J535" s="46">
        <f t="shared" si="24"/>
        <v>1</v>
      </c>
      <c r="K535" s="46">
        <f t="shared" si="25"/>
        <v>0</v>
      </c>
      <c r="L535" s="69">
        <f t="shared" si="26"/>
        <v>0</v>
      </c>
    </row>
    <row r="536" spans="2:12" x14ac:dyDescent="0.85">
      <c r="B536" s="48">
        <v>530</v>
      </c>
      <c r="C536" s="44"/>
      <c r="D536" s="50"/>
      <c r="E536" s="44"/>
      <c r="F536" s="227"/>
      <c r="G536" s="49">
        <v>1</v>
      </c>
      <c r="H536" s="73"/>
      <c r="I536" s="44"/>
      <c r="J536" s="48">
        <f t="shared" si="24"/>
        <v>1</v>
      </c>
      <c r="K536" s="48">
        <f t="shared" si="25"/>
        <v>0</v>
      </c>
      <c r="L536" s="68">
        <f t="shared" si="26"/>
        <v>0</v>
      </c>
    </row>
    <row r="537" spans="2:12" x14ac:dyDescent="0.85">
      <c r="B537" s="46">
        <v>531</v>
      </c>
      <c r="C537" s="10"/>
      <c r="D537" s="66"/>
      <c r="E537" s="10"/>
      <c r="F537" s="226"/>
      <c r="G537" s="47">
        <v>1</v>
      </c>
      <c r="H537" s="72"/>
      <c r="I537" s="10"/>
      <c r="J537" s="46">
        <f t="shared" si="24"/>
        <v>1</v>
      </c>
      <c r="K537" s="46">
        <f t="shared" si="25"/>
        <v>0</v>
      </c>
      <c r="L537" s="69">
        <f t="shared" si="26"/>
        <v>0</v>
      </c>
    </row>
    <row r="538" spans="2:12" x14ac:dyDescent="0.85">
      <c r="B538" s="48">
        <v>532</v>
      </c>
      <c r="C538" s="44"/>
      <c r="D538" s="50"/>
      <c r="E538" s="44"/>
      <c r="F538" s="227"/>
      <c r="G538" s="49">
        <v>1</v>
      </c>
      <c r="H538" s="73"/>
      <c r="I538" s="44"/>
      <c r="J538" s="48">
        <f t="shared" si="24"/>
        <v>1</v>
      </c>
      <c r="K538" s="48">
        <f t="shared" si="25"/>
        <v>0</v>
      </c>
      <c r="L538" s="68">
        <f t="shared" si="26"/>
        <v>0</v>
      </c>
    </row>
    <row r="539" spans="2:12" x14ac:dyDescent="0.85">
      <c r="B539" s="46">
        <v>533</v>
      </c>
      <c r="C539" s="10"/>
      <c r="D539" s="66"/>
      <c r="E539" s="10"/>
      <c r="F539" s="226"/>
      <c r="G539" s="47">
        <v>1</v>
      </c>
      <c r="H539" s="72"/>
      <c r="I539" s="10"/>
      <c r="J539" s="46">
        <f t="shared" si="24"/>
        <v>1</v>
      </c>
      <c r="K539" s="46">
        <f t="shared" si="25"/>
        <v>0</v>
      </c>
      <c r="L539" s="69">
        <f t="shared" si="26"/>
        <v>0</v>
      </c>
    </row>
    <row r="540" spans="2:12" x14ac:dyDescent="0.85">
      <c r="B540" s="48">
        <v>534</v>
      </c>
      <c r="C540" s="44"/>
      <c r="D540" s="50"/>
      <c r="E540" s="44"/>
      <c r="F540" s="227"/>
      <c r="G540" s="49">
        <v>1</v>
      </c>
      <c r="H540" s="73"/>
      <c r="I540" s="44"/>
      <c r="J540" s="48">
        <f t="shared" si="24"/>
        <v>1</v>
      </c>
      <c r="K540" s="48">
        <f t="shared" si="25"/>
        <v>0</v>
      </c>
      <c r="L540" s="68">
        <f t="shared" si="26"/>
        <v>0</v>
      </c>
    </row>
    <row r="541" spans="2:12" x14ac:dyDescent="0.85">
      <c r="B541" s="46">
        <v>535</v>
      </c>
      <c r="C541" s="10"/>
      <c r="D541" s="66"/>
      <c r="E541" s="10"/>
      <c r="F541" s="226"/>
      <c r="G541" s="47">
        <v>1</v>
      </c>
      <c r="H541" s="72"/>
      <c r="I541" s="10"/>
      <c r="J541" s="46">
        <f t="shared" si="24"/>
        <v>1</v>
      </c>
      <c r="K541" s="46">
        <f t="shared" si="25"/>
        <v>0</v>
      </c>
      <c r="L541" s="69">
        <f t="shared" si="26"/>
        <v>0</v>
      </c>
    </row>
    <row r="542" spans="2:12" x14ac:dyDescent="0.85">
      <c r="B542" s="48">
        <v>536</v>
      </c>
      <c r="C542" s="44"/>
      <c r="D542" s="50"/>
      <c r="E542" s="44"/>
      <c r="F542" s="227"/>
      <c r="G542" s="49">
        <v>1</v>
      </c>
      <c r="H542" s="73"/>
      <c r="I542" s="44"/>
      <c r="J542" s="48">
        <f t="shared" si="24"/>
        <v>1</v>
      </c>
      <c r="K542" s="48">
        <f t="shared" si="25"/>
        <v>0</v>
      </c>
      <c r="L542" s="68">
        <f t="shared" si="26"/>
        <v>0</v>
      </c>
    </row>
    <row r="543" spans="2:12" x14ac:dyDescent="0.85">
      <c r="B543" s="46">
        <v>537</v>
      </c>
      <c r="C543" s="10"/>
      <c r="D543" s="66"/>
      <c r="E543" s="10"/>
      <c r="F543" s="226"/>
      <c r="G543" s="47">
        <v>1</v>
      </c>
      <c r="H543" s="72"/>
      <c r="I543" s="10"/>
      <c r="J543" s="46">
        <f t="shared" si="24"/>
        <v>1</v>
      </c>
      <c r="K543" s="46">
        <f t="shared" si="25"/>
        <v>0</v>
      </c>
      <c r="L543" s="69">
        <f t="shared" si="26"/>
        <v>0</v>
      </c>
    </row>
    <row r="544" spans="2:12" x14ac:dyDescent="0.85">
      <c r="B544" s="48">
        <v>538</v>
      </c>
      <c r="C544" s="44"/>
      <c r="D544" s="50"/>
      <c r="E544" s="44"/>
      <c r="F544" s="227"/>
      <c r="G544" s="49">
        <v>1</v>
      </c>
      <c r="H544" s="73"/>
      <c r="I544" s="44"/>
      <c r="J544" s="48">
        <f t="shared" si="24"/>
        <v>1</v>
      </c>
      <c r="K544" s="48">
        <f t="shared" si="25"/>
        <v>0</v>
      </c>
      <c r="L544" s="68">
        <f t="shared" si="26"/>
        <v>0</v>
      </c>
    </row>
    <row r="545" spans="2:12" x14ac:dyDescent="0.85">
      <c r="B545" s="46">
        <v>539</v>
      </c>
      <c r="C545" s="10"/>
      <c r="D545" s="66"/>
      <c r="E545" s="10"/>
      <c r="F545" s="226"/>
      <c r="G545" s="47">
        <v>1</v>
      </c>
      <c r="H545" s="72"/>
      <c r="I545" s="10"/>
      <c r="J545" s="46">
        <f t="shared" si="24"/>
        <v>1</v>
      </c>
      <c r="K545" s="46">
        <f t="shared" si="25"/>
        <v>0</v>
      </c>
      <c r="L545" s="69">
        <f t="shared" si="26"/>
        <v>0</v>
      </c>
    </row>
    <row r="546" spans="2:12" x14ac:dyDescent="0.85">
      <c r="B546" s="48">
        <v>540</v>
      </c>
      <c r="C546" s="44"/>
      <c r="D546" s="50"/>
      <c r="E546" s="44"/>
      <c r="F546" s="227"/>
      <c r="G546" s="49">
        <v>1</v>
      </c>
      <c r="H546" s="73"/>
      <c r="I546" s="44"/>
      <c r="J546" s="48">
        <f t="shared" si="24"/>
        <v>1</v>
      </c>
      <c r="K546" s="48">
        <f t="shared" si="25"/>
        <v>0</v>
      </c>
      <c r="L546" s="68">
        <f t="shared" si="26"/>
        <v>0</v>
      </c>
    </row>
    <row r="547" spans="2:12" x14ac:dyDescent="0.85">
      <c r="B547" s="46">
        <v>541</v>
      </c>
      <c r="C547" s="10"/>
      <c r="D547" s="66"/>
      <c r="E547" s="10"/>
      <c r="F547" s="226"/>
      <c r="G547" s="47">
        <v>1</v>
      </c>
      <c r="H547" s="72"/>
      <c r="I547" s="10"/>
      <c r="J547" s="46">
        <f t="shared" si="24"/>
        <v>1</v>
      </c>
      <c r="K547" s="46">
        <f t="shared" si="25"/>
        <v>0</v>
      </c>
      <c r="L547" s="69">
        <f t="shared" si="26"/>
        <v>0</v>
      </c>
    </row>
    <row r="548" spans="2:12" x14ac:dyDescent="0.85">
      <c r="B548" s="48">
        <v>542</v>
      </c>
      <c r="C548" s="44"/>
      <c r="D548" s="50"/>
      <c r="E548" s="44"/>
      <c r="F548" s="227"/>
      <c r="G548" s="49">
        <v>1</v>
      </c>
      <c r="H548" s="73"/>
      <c r="I548" s="44"/>
      <c r="J548" s="48">
        <f t="shared" si="24"/>
        <v>1</v>
      </c>
      <c r="K548" s="48">
        <f t="shared" si="25"/>
        <v>0</v>
      </c>
      <c r="L548" s="68">
        <f t="shared" si="26"/>
        <v>0</v>
      </c>
    </row>
    <row r="549" spans="2:12" x14ac:dyDescent="0.85">
      <c r="B549" s="46">
        <v>543</v>
      </c>
      <c r="C549" s="10"/>
      <c r="D549" s="66"/>
      <c r="E549" s="10"/>
      <c r="F549" s="226"/>
      <c r="G549" s="47">
        <v>1</v>
      </c>
      <c r="H549" s="72"/>
      <c r="I549" s="10"/>
      <c r="J549" s="46">
        <f t="shared" si="24"/>
        <v>1</v>
      </c>
      <c r="K549" s="46">
        <f t="shared" si="25"/>
        <v>0</v>
      </c>
      <c r="L549" s="69">
        <f t="shared" si="26"/>
        <v>0</v>
      </c>
    </row>
    <row r="550" spans="2:12" x14ac:dyDescent="0.85">
      <c r="B550" s="48">
        <v>544</v>
      </c>
      <c r="C550" s="44"/>
      <c r="D550" s="50"/>
      <c r="E550" s="44"/>
      <c r="F550" s="227"/>
      <c r="G550" s="49">
        <v>1</v>
      </c>
      <c r="H550" s="73"/>
      <c r="I550" s="44"/>
      <c r="J550" s="48">
        <f t="shared" si="24"/>
        <v>1</v>
      </c>
      <c r="K550" s="48">
        <f t="shared" si="25"/>
        <v>0</v>
      </c>
      <c r="L550" s="68">
        <f t="shared" si="26"/>
        <v>0</v>
      </c>
    </row>
    <row r="551" spans="2:12" x14ac:dyDescent="0.85">
      <c r="B551" s="46">
        <v>545</v>
      </c>
      <c r="C551" s="10"/>
      <c r="D551" s="66"/>
      <c r="E551" s="10"/>
      <c r="F551" s="226"/>
      <c r="G551" s="47">
        <v>1</v>
      </c>
      <c r="H551" s="72"/>
      <c r="I551" s="10"/>
      <c r="J551" s="46">
        <f t="shared" si="24"/>
        <v>1</v>
      </c>
      <c r="K551" s="46">
        <f t="shared" si="25"/>
        <v>0</v>
      </c>
      <c r="L551" s="69">
        <f t="shared" si="26"/>
        <v>0</v>
      </c>
    </row>
    <row r="552" spans="2:12" x14ac:dyDescent="0.85">
      <c r="B552" s="48">
        <v>546</v>
      </c>
      <c r="C552" s="44"/>
      <c r="D552" s="50"/>
      <c r="E552" s="44"/>
      <c r="F552" s="227"/>
      <c r="G552" s="49">
        <v>1</v>
      </c>
      <c r="H552" s="73"/>
      <c r="I552" s="44"/>
      <c r="J552" s="48">
        <f t="shared" si="24"/>
        <v>1</v>
      </c>
      <c r="K552" s="48">
        <f t="shared" si="25"/>
        <v>0</v>
      </c>
      <c r="L552" s="68">
        <f t="shared" si="26"/>
        <v>0</v>
      </c>
    </row>
    <row r="553" spans="2:12" x14ac:dyDescent="0.85">
      <c r="B553" s="46">
        <v>547</v>
      </c>
      <c r="C553" s="10"/>
      <c r="D553" s="66"/>
      <c r="E553" s="10"/>
      <c r="F553" s="226"/>
      <c r="G553" s="47">
        <v>1</v>
      </c>
      <c r="H553" s="72"/>
      <c r="I553" s="10"/>
      <c r="J553" s="46">
        <f t="shared" si="24"/>
        <v>1</v>
      </c>
      <c r="K553" s="46">
        <f t="shared" si="25"/>
        <v>0</v>
      </c>
      <c r="L553" s="69">
        <f t="shared" si="26"/>
        <v>0</v>
      </c>
    </row>
    <row r="554" spans="2:12" x14ac:dyDescent="0.85">
      <c r="B554" s="48">
        <v>548</v>
      </c>
      <c r="C554" s="44"/>
      <c r="D554" s="50"/>
      <c r="E554" s="44"/>
      <c r="F554" s="227"/>
      <c r="G554" s="49">
        <v>1</v>
      </c>
      <c r="H554" s="73"/>
      <c r="I554" s="44"/>
      <c r="J554" s="48">
        <f t="shared" si="24"/>
        <v>1</v>
      </c>
      <c r="K554" s="48">
        <f t="shared" si="25"/>
        <v>0</v>
      </c>
      <c r="L554" s="68">
        <f t="shared" si="26"/>
        <v>0</v>
      </c>
    </row>
    <row r="555" spans="2:12" x14ac:dyDescent="0.85">
      <c r="B555" s="46">
        <v>549</v>
      </c>
      <c r="C555" s="10"/>
      <c r="D555" s="66"/>
      <c r="E555" s="10"/>
      <c r="F555" s="226"/>
      <c r="G555" s="47">
        <v>1</v>
      </c>
      <c r="H555" s="72"/>
      <c r="I555" s="10"/>
      <c r="J555" s="46">
        <f t="shared" si="24"/>
        <v>1</v>
      </c>
      <c r="K555" s="46">
        <f t="shared" si="25"/>
        <v>0</v>
      </c>
      <c r="L555" s="69">
        <f t="shared" si="26"/>
        <v>0</v>
      </c>
    </row>
    <row r="556" spans="2:12" x14ac:dyDescent="0.85">
      <c r="B556" s="48">
        <v>550</v>
      </c>
      <c r="C556" s="44"/>
      <c r="D556" s="50"/>
      <c r="E556" s="44"/>
      <c r="F556" s="227"/>
      <c r="G556" s="49">
        <v>1</v>
      </c>
      <c r="H556" s="73"/>
      <c r="I556" s="44"/>
      <c r="J556" s="48">
        <f t="shared" si="24"/>
        <v>1</v>
      </c>
      <c r="K556" s="48">
        <f t="shared" si="25"/>
        <v>0</v>
      </c>
      <c r="L556" s="68">
        <f t="shared" si="26"/>
        <v>0</v>
      </c>
    </row>
    <row r="557" spans="2:12" x14ac:dyDescent="0.85">
      <c r="B557" s="46">
        <v>551</v>
      </c>
      <c r="C557" s="10"/>
      <c r="D557" s="66"/>
      <c r="E557" s="10"/>
      <c r="F557" s="226"/>
      <c r="G557" s="47">
        <v>1</v>
      </c>
      <c r="H557" s="72"/>
      <c r="I557" s="10"/>
      <c r="J557" s="46">
        <f t="shared" si="24"/>
        <v>1</v>
      </c>
      <c r="K557" s="46">
        <f t="shared" si="25"/>
        <v>0</v>
      </c>
      <c r="L557" s="69">
        <f t="shared" si="26"/>
        <v>0</v>
      </c>
    </row>
    <row r="558" spans="2:12" x14ac:dyDescent="0.85">
      <c r="B558" s="48">
        <v>552</v>
      </c>
      <c r="C558" s="44"/>
      <c r="D558" s="50"/>
      <c r="E558" s="44"/>
      <c r="F558" s="227"/>
      <c r="G558" s="49">
        <v>1</v>
      </c>
      <c r="H558" s="73"/>
      <c r="I558" s="44"/>
      <c r="J558" s="48">
        <f t="shared" si="24"/>
        <v>1</v>
      </c>
      <c r="K558" s="48">
        <f t="shared" si="25"/>
        <v>0</v>
      </c>
      <c r="L558" s="68">
        <f t="shared" si="26"/>
        <v>0</v>
      </c>
    </row>
    <row r="559" spans="2:12" x14ac:dyDescent="0.85">
      <c r="B559" s="46">
        <v>553</v>
      </c>
      <c r="C559" s="10"/>
      <c r="D559" s="66"/>
      <c r="E559" s="10"/>
      <c r="F559" s="226"/>
      <c r="G559" s="47">
        <v>1</v>
      </c>
      <c r="H559" s="72"/>
      <c r="I559" s="10"/>
      <c r="J559" s="46">
        <f t="shared" si="24"/>
        <v>1</v>
      </c>
      <c r="K559" s="46">
        <f t="shared" si="25"/>
        <v>0</v>
      </c>
      <c r="L559" s="69">
        <f t="shared" si="26"/>
        <v>0</v>
      </c>
    </row>
    <row r="560" spans="2:12" x14ac:dyDescent="0.85">
      <c r="B560" s="48">
        <v>554</v>
      </c>
      <c r="C560" s="44"/>
      <c r="D560" s="50"/>
      <c r="E560" s="44"/>
      <c r="F560" s="227"/>
      <c r="G560" s="49">
        <v>1</v>
      </c>
      <c r="H560" s="73"/>
      <c r="I560" s="44"/>
      <c r="J560" s="48">
        <f t="shared" si="24"/>
        <v>1</v>
      </c>
      <c r="K560" s="48">
        <f t="shared" si="25"/>
        <v>0</v>
      </c>
      <c r="L560" s="68">
        <f t="shared" si="26"/>
        <v>0</v>
      </c>
    </row>
    <row r="561" spans="2:12" x14ac:dyDescent="0.85">
      <c r="B561" s="46">
        <v>555</v>
      </c>
      <c r="C561" s="10"/>
      <c r="D561" s="66"/>
      <c r="E561" s="10"/>
      <c r="F561" s="226"/>
      <c r="G561" s="47">
        <v>1</v>
      </c>
      <c r="H561" s="72"/>
      <c r="I561" s="10"/>
      <c r="J561" s="46">
        <f t="shared" si="24"/>
        <v>1</v>
      </c>
      <c r="K561" s="46">
        <f t="shared" si="25"/>
        <v>0</v>
      </c>
      <c r="L561" s="69">
        <f t="shared" si="26"/>
        <v>0</v>
      </c>
    </row>
    <row r="562" spans="2:12" x14ac:dyDescent="0.85">
      <c r="B562" s="48">
        <v>556</v>
      </c>
      <c r="C562" s="44"/>
      <c r="D562" s="50"/>
      <c r="E562" s="44"/>
      <c r="F562" s="227"/>
      <c r="G562" s="49">
        <v>1</v>
      </c>
      <c r="H562" s="73"/>
      <c r="I562" s="44"/>
      <c r="J562" s="48">
        <f t="shared" si="24"/>
        <v>1</v>
      </c>
      <c r="K562" s="48">
        <f t="shared" si="25"/>
        <v>0</v>
      </c>
      <c r="L562" s="68">
        <f t="shared" si="26"/>
        <v>0</v>
      </c>
    </row>
    <row r="563" spans="2:12" x14ac:dyDescent="0.85">
      <c r="B563" s="46">
        <v>557</v>
      </c>
      <c r="C563" s="10"/>
      <c r="D563" s="66"/>
      <c r="E563" s="10"/>
      <c r="F563" s="226"/>
      <c r="G563" s="47">
        <v>1</v>
      </c>
      <c r="H563" s="72"/>
      <c r="I563" s="10"/>
      <c r="J563" s="46">
        <f t="shared" si="24"/>
        <v>1</v>
      </c>
      <c r="K563" s="46">
        <f t="shared" si="25"/>
        <v>0</v>
      </c>
      <c r="L563" s="69">
        <f t="shared" si="26"/>
        <v>0</v>
      </c>
    </row>
    <row r="564" spans="2:12" x14ac:dyDescent="0.85">
      <c r="B564" s="48">
        <v>558</v>
      </c>
      <c r="C564" s="44"/>
      <c r="D564" s="50"/>
      <c r="E564" s="44"/>
      <c r="F564" s="227"/>
      <c r="G564" s="49">
        <v>1</v>
      </c>
      <c r="H564" s="73"/>
      <c r="I564" s="44"/>
      <c r="J564" s="48">
        <f t="shared" si="24"/>
        <v>1</v>
      </c>
      <c r="K564" s="48">
        <f t="shared" si="25"/>
        <v>0</v>
      </c>
      <c r="L564" s="68">
        <f t="shared" si="26"/>
        <v>0</v>
      </c>
    </row>
    <row r="565" spans="2:12" x14ac:dyDescent="0.85">
      <c r="B565" s="46">
        <v>559</v>
      </c>
      <c r="C565" s="10"/>
      <c r="D565" s="66"/>
      <c r="E565" s="10"/>
      <c r="F565" s="226"/>
      <c r="G565" s="47">
        <v>1</v>
      </c>
      <c r="H565" s="72"/>
      <c r="I565" s="10"/>
      <c r="J565" s="46">
        <f t="shared" si="24"/>
        <v>1</v>
      </c>
      <c r="K565" s="46">
        <f t="shared" si="25"/>
        <v>0</v>
      </c>
      <c r="L565" s="69">
        <f t="shared" si="26"/>
        <v>0</v>
      </c>
    </row>
    <row r="566" spans="2:12" x14ac:dyDescent="0.85">
      <c r="B566" s="48">
        <v>560</v>
      </c>
      <c r="C566" s="44"/>
      <c r="D566" s="50"/>
      <c r="E566" s="44"/>
      <c r="F566" s="227"/>
      <c r="G566" s="49">
        <v>1</v>
      </c>
      <c r="H566" s="73"/>
      <c r="I566" s="44"/>
      <c r="J566" s="48">
        <f t="shared" si="24"/>
        <v>1</v>
      </c>
      <c r="K566" s="48">
        <f t="shared" si="25"/>
        <v>0</v>
      </c>
      <c r="L566" s="68">
        <f t="shared" si="26"/>
        <v>0</v>
      </c>
    </row>
    <row r="567" spans="2:12" x14ac:dyDescent="0.85">
      <c r="B567" s="46">
        <v>561</v>
      </c>
      <c r="C567" s="10"/>
      <c r="D567" s="66"/>
      <c r="E567" s="10"/>
      <c r="F567" s="226"/>
      <c r="G567" s="47">
        <v>1</v>
      </c>
      <c r="H567" s="72"/>
      <c r="I567" s="10"/>
      <c r="J567" s="46">
        <f t="shared" si="24"/>
        <v>1</v>
      </c>
      <c r="K567" s="46">
        <f t="shared" si="25"/>
        <v>0</v>
      </c>
      <c r="L567" s="69">
        <f t="shared" si="26"/>
        <v>0</v>
      </c>
    </row>
    <row r="568" spans="2:12" x14ac:dyDescent="0.85">
      <c r="B568" s="48">
        <v>562</v>
      </c>
      <c r="C568" s="44"/>
      <c r="D568" s="50"/>
      <c r="E568" s="44"/>
      <c r="F568" s="227"/>
      <c r="G568" s="49">
        <v>1</v>
      </c>
      <c r="H568" s="73"/>
      <c r="I568" s="44"/>
      <c r="J568" s="48">
        <f t="shared" si="24"/>
        <v>1</v>
      </c>
      <c r="K568" s="48">
        <f t="shared" si="25"/>
        <v>0</v>
      </c>
      <c r="L568" s="68">
        <f t="shared" si="26"/>
        <v>0</v>
      </c>
    </row>
    <row r="569" spans="2:12" x14ac:dyDescent="0.85">
      <c r="B569" s="46">
        <v>563</v>
      </c>
      <c r="C569" s="10"/>
      <c r="D569" s="66"/>
      <c r="E569" s="10"/>
      <c r="F569" s="226"/>
      <c r="G569" s="47">
        <v>1</v>
      </c>
      <c r="H569" s="72"/>
      <c r="I569" s="10"/>
      <c r="J569" s="46">
        <f t="shared" si="24"/>
        <v>1</v>
      </c>
      <c r="K569" s="46">
        <f t="shared" si="25"/>
        <v>0</v>
      </c>
      <c r="L569" s="69">
        <f t="shared" si="26"/>
        <v>0</v>
      </c>
    </row>
    <row r="570" spans="2:12" x14ac:dyDescent="0.85">
      <c r="B570" s="48">
        <v>564</v>
      </c>
      <c r="C570" s="44"/>
      <c r="D570" s="50"/>
      <c r="E570" s="44"/>
      <c r="F570" s="227"/>
      <c r="G570" s="49">
        <v>1</v>
      </c>
      <c r="H570" s="73"/>
      <c r="I570" s="44"/>
      <c r="J570" s="48">
        <f t="shared" si="24"/>
        <v>1</v>
      </c>
      <c r="K570" s="48">
        <f t="shared" si="25"/>
        <v>0</v>
      </c>
      <c r="L570" s="68">
        <f t="shared" si="26"/>
        <v>0</v>
      </c>
    </row>
    <row r="571" spans="2:12" x14ac:dyDescent="0.85">
      <c r="B571" s="46">
        <v>565</v>
      </c>
      <c r="C571" s="10"/>
      <c r="D571" s="66"/>
      <c r="E571" s="10"/>
      <c r="F571" s="226"/>
      <c r="G571" s="47">
        <v>1</v>
      </c>
      <c r="H571" s="72"/>
      <c r="I571" s="10"/>
      <c r="J571" s="46">
        <f t="shared" si="24"/>
        <v>1</v>
      </c>
      <c r="K571" s="46">
        <f t="shared" si="25"/>
        <v>0</v>
      </c>
      <c r="L571" s="69">
        <f t="shared" si="26"/>
        <v>0</v>
      </c>
    </row>
    <row r="572" spans="2:12" x14ac:dyDescent="0.85">
      <c r="B572" s="48">
        <v>566</v>
      </c>
      <c r="C572" s="44"/>
      <c r="D572" s="50"/>
      <c r="E572" s="44"/>
      <c r="F572" s="227"/>
      <c r="G572" s="49">
        <v>1</v>
      </c>
      <c r="H572" s="73"/>
      <c r="I572" s="44"/>
      <c r="J572" s="48">
        <f t="shared" si="24"/>
        <v>1</v>
      </c>
      <c r="K572" s="48">
        <f t="shared" si="25"/>
        <v>0</v>
      </c>
      <c r="L572" s="68">
        <f t="shared" si="26"/>
        <v>0</v>
      </c>
    </row>
    <row r="573" spans="2:12" x14ac:dyDescent="0.85">
      <c r="B573" s="46">
        <v>567</v>
      </c>
      <c r="C573" s="10"/>
      <c r="D573" s="66"/>
      <c r="E573" s="10"/>
      <c r="F573" s="226"/>
      <c r="G573" s="47">
        <v>1</v>
      </c>
      <c r="H573" s="72"/>
      <c r="I573" s="10"/>
      <c r="J573" s="46">
        <f t="shared" si="24"/>
        <v>1</v>
      </c>
      <c r="K573" s="46">
        <f t="shared" si="25"/>
        <v>0</v>
      </c>
      <c r="L573" s="69">
        <f t="shared" si="26"/>
        <v>0</v>
      </c>
    </row>
    <row r="574" spans="2:12" x14ac:dyDescent="0.85">
      <c r="B574" s="48">
        <v>568</v>
      </c>
      <c r="C574" s="44"/>
      <c r="D574" s="50"/>
      <c r="E574" s="44"/>
      <c r="F574" s="227"/>
      <c r="G574" s="49">
        <v>1</v>
      </c>
      <c r="H574" s="73"/>
      <c r="I574" s="44"/>
      <c r="J574" s="48">
        <f t="shared" si="24"/>
        <v>1</v>
      </c>
      <c r="K574" s="48">
        <f t="shared" si="25"/>
        <v>0</v>
      </c>
      <c r="L574" s="68">
        <f t="shared" si="26"/>
        <v>0</v>
      </c>
    </row>
    <row r="575" spans="2:12" x14ac:dyDescent="0.85">
      <c r="B575" s="46">
        <v>569</v>
      </c>
      <c r="C575" s="10"/>
      <c r="D575" s="66"/>
      <c r="E575" s="10"/>
      <c r="F575" s="226"/>
      <c r="G575" s="47">
        <v>1</v>
      </c>
      <c r="H575" s="72"/>
      <c r="I575" s="10"/>
      <c r="J575" s="46">
        <f t="shared" si="24"/>
        <v>1</v>
      </c>
      <c r="K575" s="46">
        <f t="shared" si="25"/>
        <v>0</v>
      </c>
      <c r="L575" s="69">
        <f t="shared" si="26"/>
        <v>0</v>
      </c>
    </row>
    <row r="576" spans="2:12" x14ac:dyDescent="0.85">
      <c r="B576" s="48">
        <v>570</v>
      </c>
      <c r="C576" s="44"/>
      <c r="D576" s="50"/>
      <c r="E576" s="44"/>
      <c r="F576" s="227"/>
      <c r="G576" s="49">
        <v>1</v>
      </c>
      <c r="H576" s="73"/>
      <c r="I576" s="44"/>
      <c r="J576" s="48">
        <f t="shared" si="24"/>
        <v>1</v>
      </c>
      <c r="K576" s="48">
        <f t="shared" si="25"/>
        <v>0</v>
      </c>
      <c r="L576" s="68">
        <f t="shared" si="26"/>
        <v>0</v>
      </c>
    </row>
    <row r="577" spans="2:12" x14ac:dyDescent="0.85">
      <c r="B577" s="46">
        <v>571</v>
      </c>
      <c r="C577" s="10"/>
      <c r="D577" s="66"/>
      <c r="E577" s="10"/>
      <c r="F577" s="226"/>
      <c r="G577" s="47">
        <v>1</v>
      </c>
      <c r="H577" s="72"/>
      <c r="I577" s="10"/>
      <c r="J577" s="46">
        <f t="shared" si="24"/>
        <v>1</v>
      </c>
      <c r="K577" s="46">
        <f t="shared" si="25"/>
        <v>0</v>
      </c>
      <c r="L577" s="69">
        <f t="shared" si="26"/>
        <v>0</v>
      </c>
    </row>
    <row r="578" spans="2:12" x14ac:dyDescent="0.85">
      <c r="B578" s="48">
        <v>572</v>
      </c>
      <c r="C578" s="44"/>
      <c r="D578" s="50"/>
      <c r="E578" s="44"/>
      <c r="F578" s="227"/>
      <c r="G578" s="49">
        <v>1</v>
      </c>
      <c r="H578" s="73"/>
      <c r="I578" s="44"/>
      <c r="J578" s="48">
        <f t="shared" si="24"/>
        <v>1</v>
      </c>
      <c r="K578" s="48">
        <f t="shared" si="25"/>
        <v>0</v>
      </c>
      <c r="L578" s="68">
        <f t="shared" si="26"/>
        <v>0</v>
      </c>
    </row>
    <row r="579" spans="2:12" x14ac:dyDescent="0.85">
      <c r="B579" s="46">
        <v>573</v>
      </c>
      <c r="C579" s="10"/>
      <c r="D579" s="66"/>
      <c r="E579" s="10"/>
      <c r="F579" s="226"/>
      <c r="G579" s="47">
        <v>1</v>
      </c>
      <c r="H579" s="72"/>
      <c r="I579" s="10"/>
      <c r="J579" s="46">
        <f t="shared" si="24"/>
        <v>1</v>
      </c>
      <c r="K579" s="46">
        <f t="shared" si="25"/>
        <v>0</v>
      </c>
      <c r="L579" s="69">
        <f t="shared" si="26"/>
        <v>0</v>
      </c>
    </row>
    <row r="580" spans="2:12" x14ac:dyDescent="0.85">
      <c r="B580" s="48">
        <v>574</v>
      </c>
      <c r="C580" s="44"/>
      <c r="D580" s="50"/>
      <c r="E580" s="44"/>
      <c r="F580" s="227"/>
      <c r="G580" s="49">
        <v>1</v>
      </c>
      <c r="H580" s="73"/>
      <c r="I580" s="44"/>
      <c r="J580" s="48">
        <f t="shared" si="24"/>
        <v>1</v>
      </c>
      <c r="K580" s="48">
        <f t="shared" si="25"/>
        <v>0</v>
      </c>
      <c r="L580" s="68">
        <f t="shared" si="26"/>
        <v>0</v>
      </c>
    </row>
    <row r="581" spans="2:12" x14ac:dyDescent="0.85">
      <c r="B581" s="46">
        <v>575</v>
      </c>
      <c r="C581" s="10"/>
      <c r="D581" s="66"/>
      <c r="E581" s="10"/>
      <c r="F581" s="226"/>
      <c r="G581" s="47">
        <v>1</v>
      </c>
      <c r="H581" s="72"/>
      <c r="I581" s="10"/>
      <c r="J581" s="46">
        <f t="shared" si="24"/>
        <v>1</v>
      </c>
      <c r="K581" s="46">
        <f t="shared" si="25"/>
        <v>0</v>
      </c>
      <c r="L581" s="69">
        <f t="shared" si="26"/>
        <v>0</v>
      </c>
    </row>
    <row r="582" spans="2:12" x14ac:dyDescent="0.85">
      <c r="B582" s="48">
        <v>576</v>
      </c>
      <c r="C582" s="44"/>
      <c r="D582" s="50"/>
      <c r="E582" s="44"/>
      <c r="F582" s="227"/>
      <c r="G582" s="49">
        <v>1</v>
      </c>
      <c r="H582" s="73"/>
      <c r="I582" s="44"/>
      <c r="J582" s="48">
        <f t="shared" si="24"/>
        <v>1</v>
      </c>
      <c r="K582" s="48">
        <f t="shared" si="25"/>
        <v>0</v>
      </c>
      <c r="L582" s="68">
        <f t="shared" si="26"/>
        <v>0</v>
      </c>
    </row>
    <row r="583" spans="2:12" x14ac:dyDescent="0.85">
      <c r="B583" s="46">
        <v>577</v>
      </c>
      <c r="C583" s="10"/>
      <c r="D583" s="66"/>
      <c r="E583" s="10"/>
      <c r="F583" s="226"/>
      <c r="G583" s="47">
        <v>1</v>
      </c>
      <c r="H583" s="72"/>
      <c r="I583" s="10"/>
      <c r="J583" s="46">
        <f t="shared" ref="J583:J646" si="27">IF(ISBLANK(H583),1,H583)</f>
        <v>1</v>
      </c>
      <c r="K583" s="46">
        <f t="shared" ref="K583:K646" si="28">IF(COUNTIF(FreeElements, E583)&gt;0, F583, 0)</f>
        <v>0</v>
      </c>
      <c r="L583" s="69">
        <f t="shared" ref="L583:L646" si="29">J583*K583</f>
        <v>0</v>
      </c>
    </row>
    <row r="584" spans="2:12" x14ac:dyDescent="0.85">
      <c r="B584" s="48">
        <v>578</v>
      </c>
      <c r="C584" s="44"/>
      <c r="D584" s="50"/>
      <c r="E584" s="44"/>
      <c r="F584" s="227"/>
      <c r="G584" s="49">
        <v>1</v>
      </c>
      <c r="H584" s="73"/>
      <c r="I584" s="44"/>
      <c r="J584" s="48">
        <f t="shared" si="27"/>
        <v>1</v>
      </c>
      <c r="K584" s="48">
        <f t="shared" si="28"/>
        <v>0</v>
      </c>
      <c r="L584" s="68">
        <f t="shared" si="29"/>
        <v>0</v>
      </c>
    </row>
    <row r="585" spans="2:12" x14ac:dyDescent="0.85">
      <c r="B585" s="46">
        <v>579</v>
      </c>
      <c r="C585" s="10"/>
      <c r="D585" s="66"/>
      <c r="E585" s="10"/>
      <c r="F585" s="226"/>
      <c r="G585" s="47">
        <v>1</v>
      </c>
      <c r="H585" s="72"/>
      <c r="I585" s="10"/>
      <c r="J585" s="46">
        <f t="shared" si="27"/>
        <v>1</v>
      </c>
      <c r="K585" s="46">
        <f t="shared" si="28"/>
        <v>0</v>
      </c>
      <c r="L585" s="69">
        <f t="shared" si="29"/>
        <v>0</v>
      </c>
    </row>
    <row r="586" spans="2:12" x14ac:dyDescent="0.85">
      <c r="B586" s="48">
        <v>580</v>
      </c>
      <c r="C586" s="44"/>
      <c r="D586" s="50"/>
      <c r="E586" s="44"/>
      <c r="F586" s="227"/>
      <c r="G586" s="49">
        <v>1</v>
      </c>
      <c r="H586" s="73"/>
      <c r="I586" s="44"/>
      <c r="J586" s="48">
        <f t="shared" si="27"/>
        <v>1</v>
      </c>
      <c r="K586" s="48">
        <f t="shared" si="28"/>
        <v>0</v>
      </c>
      <c r="L586" s="68">
        <f t="shared" si="29"/>
        <v>0</v>
      </c>
    </row>
    <row r="587" spans="2:12" x14ac:dyDescent="0.85">
      <c r="B587" s="46">
        <v>581</v>
      </c>
      <c r="C587" s="10"/>
      <c r="D587" s="66"/>
      <c r="E587" s="10"/>
      <c r="F587" s="226"/>
      <c r="G587" s="47">
        <v>1</v>
      </c>
      <c r="H587" s="72"/>
      <c r="I587" s="10"/>
      <c r="J587" s="46">
        <f t="shared" si="27"/>
        <v>1</v>
      </c>
      <c r="K587" s="46">
        <f t="shared" si="28"/>
        <v>0</v>
      </c>
      <c r="L587" s="69">
        <f t="shared" si="29"/>
        <v>0</v>
      </c>
    </row>
    <row r="588" spans="2:12" x14ac:dyDescent="0.85">
      <c r="B588" s="48">
        <v>582</v>
      </c>
      <c r="C588" s="44"/>
      <c r="D588" s="50"/>
      <c r="E588" s="44"/>
      <c r="F588" s="227"/>
      <c r="G588" s="49">
        <v>1</v>
      </c>
      <c r="H588" s="73"/>
      <c r="I588" s="44"/>
      <c r="J588" s="48">
        <f t="shared" si="27"/>
        <v>1</v>
      </c>
      <c r="K588" s="48">
        <f t="shared" si="28"/>
        <v>0</v>
      </c>
      <c r="L588" s="68">
        <f t="shared" si="29"/>
        <v>0</v>
      </c>
    </row>
    <row r="589" spans="2:12" x14ac:dyDescent="0.85">
      <c r="B589" s="46">
        <v>583</v>
      </c>
      <c r="C589" s="10"/>
      <c r="D589" s="66"/>
      <c r="E589" s="10"/>
      <c r="F589" s="226"/>
      <c r="G589" s="47">
        <v>1</v>
      </c>
      <c r="H589" s="72"/>
      <c r="I589" s="10"/>
      <c r="J589" s="46">
        <f t="shared" si="27"/>
        <v>1</v>
      </c>
      <c r="K589" s="46">
        <f t="shared" si="28"/>
        <v>0</v>
      </c>
      <c r="L589" s="69">
        <f t="shared" si="29"/>
        <v>0</v>
      </c>
    </row>
    <row r="590" spans="2:12" x14ac:dyDescent="0.85">
      <c r="B590" s="48">
        <v>584</v>
      </c>
      <c r="C590" s="44"/>
      <c r="D590" s="50"/>
      <c r="E590" s="44"/>
      <c r="F590" s="227"/>
      <c r="G590" s="49">
        <v>1</v>
      </c>
      <c r="H590" s="73"/>
      <c r="I590" s="44"/>
      <c r="J590" s="48">
        <f t="shared" si="27"/>
        <v>1</v>
      </c>
      <c r="K590" s="48">
        <f t="shared" si="28"/>
        <v>0</v>
      </c>
      <c r="L590" s="68">
        <f t="shared" si="29"/>
        <v>0</v>
      </c>
    </row>
    <row r="591" spans="2:12" x14ac:dyDescent="0.85">
      <c r="B591" s="46">
        <v>585</v>
      </c>
      <c r="C591" s="10"/>
      <c r="D591" s="66"/>
      <c r="E591" s="10"/>
      <c r="F591" s="226"/>
      <c r="G591" s="47">
        <v>1</v>
      </c>
      <c r="H591" s="72"/>
      <c r="I591" s="10"/>
      <c r="J591" s="46">
        <f t="shared" si="27"/>
        <v>1</v>
      </c>
      <c r="K591" s="46">
        <f t="shared" si="28"/>
        <v>0</v>
      </c>
      <c r="L591" s="69">
        <f t="shared" si="29"/>
        <v>0</v>
      </c>
    </row>
    <row r="592" spans="2:12" x14ac:dyDescent="0.85">
      <c r="B592" s="48">
        <v>586</v>
      </c>
      <c r="C592" s="44"/>
      <c r="D592" s="50"/>
      <c r="E592" s="44"/>
      <c r="F592" s="227"/>
      <c r="G592" s="49">
        <v>1</v>
      </c>
      <c r="H592" s="73"/>
      <c r="I592" s="44"/>
      <c r="J592" s="48">
        <f t="shared" si="27"/>
        <v>1</v>
      </c>
      <c r="K592" s="48">
        <f t="shared" si="28"/>
        <v>0</v>
      </c>
      <c r="L592" s="68">
        <f t="shared" si="29"/>
        <v>0</v>
      </c>
    </row>
    <row r="593" spans="2:12" x14ac:dyDescent="0.85">
      <c r="B593" s="46">
        <v>587</v>
      </c>
      <c r="C593" s="10"/>
      <c r="D593" s="66"/>
      <c r="E593" s="10"/>
      <c r="F593" s="226"/>
      <c r="G593" s="47">
        <v>1</v>
      </c>
      <c r="H593" s="72"/>
      <c r="I593" s="10"/>
      <c r="J593" s="46">
        <f t="shared" si="27"/>
        <v>1</v>
      </c>
      <c r="K593" s="46">
        <f t="shared" si="28"/>
        <v>0</v>
      </c>
      <c r="L593" s="69">
        <f t="shared" si="29"/>
        <v>0</v>
      </c>
    </row>
    <row r="594" spans="2:12" x14ac:dyDescent="0.85">
      <c r="B594" s="48">
        <v>588</v>
      </c>
      <c r="C594" s="44"/>
      <c r="D594" s="50"/>
      <c r="E594" s="44"/>
      <c r="F594" s="227"/>
      <c r="G594" s="49">
        <v>1</v>
      </c>
      <c r="H594" s="73"/>
      <c r="I594" s="44"/>
      <c r="J594" s="48">
        <f t="shared" si="27"/>
        <v>1</v>
      </c>
      <c r="K594" s="48">
        <f t="shared" si="28"/>
        <v>0</v>
      </c>
      <c r="L594" s="68">
        <f t="shared" si="29"/>
        <v>0</v>
      </c>
    </row>
    <row r="595" spans="2:12" x14ac:dyDescent="0.85">
      <c r="B595" s="46">
        <v>589</v>
      </c>
      <c r="C595" s="10"/>
      <c r="D595" s="66"/>
      <c r="E595" s="10"/>
      <c r="F595" s="226"/>
      <c r="G595" s="47">
        <v>1</v>
      </c>
      <c r="H595" s="72"/>
      <c r="I595" s="10"/>
      <c r="J595" s="46">
        <f t="shared" si="27"/>
        <v>1</v>
      </c>
      <c r="K595" s="46">
        <f t="shared" si="28"/>
        <v>0</v>
      </c>
      <c r="L595" s="69">
        <f t="shared" si="29"/>
        <v>0</v>
      </c>
    </row>
    <row r="596" spans="2:12" x14ac:dyDescent="0.85">
      <c r="B596" s="48">
        <v>590</v>
      </c>
      <c r="C596" s="44"/>
      <c r="D596" s="50"/>
      <c r="E596" s="44"/>
      <c r="F596" s="227"/>
      <c r="G596" s="49">
        <v>1</v>
      </c>
      <c r="H596" s="73"/>
      <c r="I596" s="44"/>
      <c r="J596" s="48">
        <f t="shared" si="27"/>
        <v>1</v>
      </c>
      <c r="K596" s="48">
        <f t="shared" si="28"/>
        <v>0</v>
      </c>
      <c r="L596" s="68">
        <f t="shared" si="29"/>
        <v>0</v>
      </c>
    </row>
    <row r="597" spans="2:12" x14ac:dyDescent="0.85">
      <c r="B597" s="46">
        <v>591</v>
      </c>
      <c r="C597" s="10"/>
      <c r="D597" s="66"/>
      <c r="E597" s="10"/>
      <c r="F597" s="226"/>
      <c r="G597" s="47">
        <v>1</v>
      </c>
      <c r="H597" s="72"/>
      <c r="I597" s="10"/>
      <c r="J597" s="46">
        <f t="shared" si="27"/>
        <v>1</v>
      </c>
      <c r="K597" s="46">
        <f t="shared" si="28"/>
        <v>0</v>
      </c>
      <c r="L597" s="69">
        <f t="shared" si="29"/>
        <v>0</v>
      </c>
    </row>
    <row r="598" spans="2:12" x14ac:dyDescent="0.85">
      <c r="B598" s="48">
        <v>592</v>
      </c>
      <c r="C598" s="44"/>
      <c r="D598" s="50"/>
      <c r="E598" s="44"/>
      <c r="F598" s="227"/>
      <c r="G598" s="49">
        <v>1</v>
      </c>
      <c r="H598" s="73"/>
      <c r="I598" s="44"/>
      <c r="J598" s="48">
        <f t="shared" si="27"/>
        <v>1</v>
      </c>
      <c r="K598" s="48">
        <f t="shared" si="28"/>
        <v>0</v>
      </c>
      <c r="L598" s="68">
        <f t="shared" si="29"/>
        <v>0</v>
      </c>
    </row>
    <row r="599" spans="2:12" x14ac:dyDescent="0.85">
      <c r="B599" s="46">
        <v>593</v>
      </c>
      <c r="C599" s="10"/>
      <c r="D599" s="66"/>
      <c r="E599" s="10"/>
      <c r="F599" s="226"/>
      <c r="G599" s="47">
        <v>1</v>
      </c>
      <c r="H599" s="72"/>
      <c r="I599" s="10"/>
      <c r="J599" s="46">
        <f t="shared" si="27"/>
        <v>1</v>
      </c>
      <c r="K599" s="46">
        <f t="shared" si="28"/>
        <v>0</v>
      </c>
      <c r="L599" s="69">
        <f t="shared" si="29"/>
        <v>0</v>
      </c>
    </row>
    <row r="600" spans="2:12" x14ac:dyDescent="0.85">
      <c r="B600" s="48">
        <v>594</v>
      </c>
      <c r="C600" s="44"/>
      <c r="D600" s="50"/>
      <c r="E600" s="44"/>
      <c r="F600" s="227"/>
      <c r="G600" s="49">
        <v>1</v>
      </c>
      <c r="H600" s="73"/>
      <c r="I600" s="44"/>
      <c r="J600" s="48">
        <f t="shared" si="27"/>
        <v>1</v>
      </c>
      <c r="K600" s="48">
        <f t="shared" si="28"/>
        <v>0</v>
      </c>
      <c r="L600" s="68">
        <f t="shared" si="29"/>
        <v>0</v>
      </c>
    </row>
    <row r="601" spans="2:12" x14ac:dyDescent="0.85">
      <c r="B601" s="46">
        <v>595</v>
      </c>
      <c r="C601" s="10"/>
      <c r="D601" s="66"/>
      <c r="E601" s="10"/>
      <c r="F601" s="226"/>
      <c r="G601" s="47">
        <v>1</v>
      </c>
      <c r="H601" s="72"/>
      <c r="I601" s="10"/>
      <c r="J601" s="46">
        <f t="shared" si="27"/>
        <v>1</v>
      </c>
      <c r="K601" s="46">
        <f t="shared" si="28"/>
        <v>0</v>
      </c>
      <c r="L601" s="69">
        <f t="shared" si="29"/>
        <v>0</v>
      </c>
    </row>
    <row r="602" spans="2:12" x14ac:dyDescent="0.85">
      <c r="B602" s="48">
        <v>596</v>
      </c>
      <c r="C602" s="44"/>
      <c r="D602" s="50"/>
      <c r="E602" s="44"/>
      <c r="F602" s="227"/>
      <c r="G602" s="49">
        <v>1</v>
      </c>
      <c r="H602" s="73"/>
      <c r="I602" s="44"/>
      <c r="J602" s="48">
        <f t="shared" si="27"/>
        <v>1</v>
      </c>
      <c r="K602" s="48">
        <f t="shared" si="28"/>
        <v>0</v>
      </c>
      <c r="L602" s="68">
        <f t="shared" si="29"/>
        <v>0</v>
      </c>
    </row>
    <row r="603" spans="2:12" x14ac:dyDescent="0.85">
      <c r="B603" s="46">
        <v>597</v>
      </c>
      <c r="C603" s="10"/>
      <c r="D603" s="66"/>
      <c r="E603" s="10"/>
      <c r="F603" s="226"/>
      <c r="G603" s="47">
        <v>1</v>
      </c>
      <c r="H603" s="72"/>
      <c r="I603" s="10"/>
      <c r="J603" s="46">
        <f t="shared" si="27"/>
        <v>1</v>
      </c>
      <c r="K603" s="46">
        <f t="shared" si="28"/>
        <v>0</v>
      </c>
      <c r="L603" s="69">
        <f t="shared" si="29"/>
        <v>0</v>
      </c>
    </row>
    <row r="604" spans="2:12" x14ac:dyDescent="0.85">
      <c r="B604" s="48">
        <v>598</v>
      </c>
      <c r="C604" s="44"/>
      <c r="D604" s="50"/>
      <c r="E604" s="44"/>
      <c r="F604" s="227"/>
      <c r="G604" s="49">
        <v>1</v>
      </c>
      <c r="H604" s="73"/>
      <c r="I604" s="44"/>
      <c r="J604" s="48">
        <f t="shared" si="27"/>
        <v>1</v>
      </c>
      <c r="K604" s="48">
        <f t="shared" si="28"/>
        <v>0</v>
      </c>
      <c r="L604" s="68">
        <f t="shared" si="29"/>
        <v>0</v>
      </c>
    </row>
    <row r="605" spans="2:12" x14ac:dyDescent="0.85">
      <c r="B605" s="46">
        <v>599</v>
      </c>
      <c r="C605" s="10"/>
      <c r="D605" s="66"/>
      <c r="E605" s="10"/>
      <c r="F605" s="226"/>
      <c r="G605" s="47">
        <v>1</v>
      </c>
      <c r="H605" s="72"/>
      <c r="I605" s="10"/>
      <c r="J605" s="46">
        <f t="shared" si="27"/>
        <v>1</v>
      </c>
      <c r="K605" s="46">
        <f t="shared" si="28"/>
        <v>0</v>
      </c>
      <c r="L605" s="69">
        <f t="shared" si="29"/>
        <v>0</v>
      </c>
    </row>
    <row r="606" spans="2:12" x14ac:dyDescent="0.85">
      <c r="B606" s="48">
        <v>600</v>
      </c>
      <c r="C606" s="44"/>
      <c r="D606" s="50"/>
      <c r="E606" s="44"/>
      <c r="F606" s="227"/>
      <c r="G606" s="49">
        <v>1</v>
      </c>
      <c r="H606" s="73"/>
      <c r="I606" s="44"/>
      <c r="J606" s="48">
        <f t="shared" si="27"/>
        <v>1</v>
      </c>
      <c r="K606" s="48">
        <f t="shared" si="28"/>
        <v>0</v>
      </c>
      <c r="L606" s="68">
        <f t="shared" si="29"/>
        <v>0</v>
      </c>
    </row>
    <row r="607" spans="2:12" x14ac:dyDescent="0.85">
      <c r="B607" s="46">
        <v>601</v>
      </c>
      <c r="C607" s="10"/>
      <c r="D607" s="66"/>
      <c r="E607" s="10"/>
      <c r="F607" s="226"/>
      <c r="G607" s="47">
        <v>1</v>
      </c>
      <c r="H607" s="72"/>
      <c r="I607" s="10"/>
      <c r="J607" s="46">
        <f t="shared" si="27"/>
        <v>1</v>
      </c>
      <c r="K607" s="46">
        <f t="shared" si="28"/>
        <v>0</v>
      </c>
      <c r="L607" s="69">
        <f t="shared" si="29"/>
        <v>0</v>
      </c>
    </row>
    <row r="608" spans="2:12" x14ac:dyDescent="0.85">
      <c r="B608" s="48">
        <v>602</v>
      </c>
      <c r="C608" s="44"/>
      <c r="D608" s="50"/>
      <c r="E608" s="44"/>
      <c r="F608" s="227"/>
      <c r="G608" s="49">
        <v>1</v>
      </c>
      <c r="H608" s="73"/>
      <c r="I608" s="44"/>
      <c r="J608" s="48">
        <f t="shared" si="27"/>
        <v>1</v>
      </c>
      <c r="K608" s="48">
        <f t="shared" si="28"/>
        <v>0</v>
      </c>
      <c r="L608" s="68">
        <f t="shared" si="29"/>
        <v>0</v>
      </c>
    </row>
    <row r="609" spans="2:12" x14ac:dyDescent="0.85">
      <c r="B609" s="46">
        <v>603</v>
      </c>
      <c r="C609" s="10"/>
      <c r="D609" s="66"/>
      <c r="E609" s="10"/>
      <c r="F609" s="226"/>
      <c r="G609" s="47">
        <v>1</v>
      </c>
      <c r="H609" s="72"/>
      <c r="I609" s="10"/>
      <c r="J609" s="46">
        <f t="shared" si="27"/>
        <v>1</v>
      </c>
      <c r="K609" s="46">
        <f t="shared" si="28"/>
        <v>0</v>
      </c>
      <c r="L609" s="69">
        <f t="shared" si="29"/>
        <v>0</v>
      </c>
    </row>
    <row r="610" spans="2:12" x14ac:dyDescent="0.85">
      <c r="B610" s="48">
        <v>604</v>
      </c>
      <c r="C610" s="44"/>
      <c r="D610" s="50"/>
      <c r="E610" s="44"/>
      <c r="F610" s="227"/>
      <c r="G610" s="49">
        <v>1</v>
      </c>
      <c r="H610" s="73"/>
      <c r="I610" s="44"/>
      <c r="J610" s="48">
        <f t="shared" si="27"/>
        <v>1</v>
      </c>
      <c r="K610" s="48">
        <f t="shared" si="28"/>
        <v>0</v>
      </c>
      <c r="L610" s="68">
        <f t="shared" si="29"/>
        <v>0</v>
      </c>
    </row>
    <row r="611" spans="2:12" x14ac:dyDescent="0.85">
      <c r="B611" s="46">
        <v>605</v>
      </c>
      <c r="C611" s="10"/>
      <c r="D611" s="66"/>
      <c r="E611" s="10"/>
      <c r="F611" s="226"/>
      <c r="G611" s="47">
        <v>1</v>
      </c>
      <c r="H611" s="72"/>
      <c r="I611" s="10"/>
      <c r="J611" s="46">
        <f t="shared" si="27"/>
        <v>1</v>
      </c>
      <c r="K611" s="46">
        <f t="shared" si="28"/>
        <v>0</v>
      </c>
      <c r="L611" s="69">
        <f t="shared" si="29"/>
        <v>0</v>
      </c>
    </row>
    <row r="612" spans="2:12" x14ac:dyDescent="0.85">
      <c r="B612" s="48">
        <v>606</v>
      </c>
      <c r="C612" s="44"/>
      <c r="D612" s="50"/>
      <c r="E612" s="44"/>
      <c r="F612" s="227"/>
      <c r="G612" s="49">
        <v>1</v>
      </c>
      <c r="H612" s="73"/>
      <c r="I612" s="44"/>
      <c r="J612" s="48">
        <f t="shared" si="27"/>
        <v>1</v>
      </c>
      <c r="K612" s="48">
        <f t="shared" si="28"/>
        <v>0</v>
      </c>
      <c r="L612" s="68">
        <f t="shared" si="29"/>
        <v>0</v>
      </c>
    </row>
    <row r="613" spans="2:12" x14ac:dyDescent="0.85">
      <c r="B613" s="46">
        <v>607</v>
      </c>
      <c r="C613" s="10"/>
      <c r="D613" s="66"/>
      <c r="E613" s="10"/>
      <c r="F613" s="226"/>
      <c r="G613" s="47">
        <v>1</v>
      </c>
      <c r="H613" s="72"/>
      <c r="I613" s="10"/>
      <c r="J613" s="46">
        <f t="shared" si="27"/>
        <v>1</v>
      </c>
      <c r="K613" s="46">
        <f t="shared" si="28"/>
        <v>0</v>
      </c>
      <c r="L613" s="69">
        <f t="shared" si="29"/>
        <v>0</v>
      </c>
    </row>
    <row r="614" spans="2:12" x14ac:dyDescent="0.85">
      <c r="B614" s="48">
        <v>608</v>
      </c>
      <c r="C614" s="44"/>
      <c r="D614" s="50"/>
      <c r="E614" s="44"/>
      <c r="F614" s="227"/>
      <c r="G614" s="49">
        <v>1</v>
      </c>
      <c r="H614" s="73"/>
      <c r="I614" s="44"/>
      <c r="J614" s="48">
        <f t="shared" si="27"/>
        <v>1</v>
      </c>
      <c r="K614" s="48">
        <f t="shared" si="28"/>
        <v>0</v>
      </c>
      <c r="L614" s="68">
        <f t="shared" si="29"/>
        <v>0</v>
      </c>
    </row>
    <row r="615" spans="2:12" x14ac:dyDescent="0.85">
      <c r="B615" s="46">
        <v>609</v>
      </c>
      <c r="C615" s="10"/>
      <c r="D615" s="66"/>
      <c r="E615" s="10"/>
      <c r="F615" s="226"/>
      <c r="G615" s="47">
        <v>1</v>
      </c>
      <c r="H615" s="72"/>
      <c r="I615" s="10"/>
      <c r="J615" s="46">
        <f t="shared" si="27"/>
        <v>1</v>
      </c>
      <c r="K615" s="46">
        <f t="shared" si="28"/>
        <v>0</v>
      </c>
      <c r="L615" s="69">
        <f t="shared" si="29"/>
        <v>0</v>
      </c>
    </row>
    <row r="616" spans="2:12" x14ac:dyDescent="0.85">
      <c r="B616" s="48">
        <v>610</v>
      </c>
      <c r="C616" s="44"/>
      <c r="D616" s="50"/>
      <c r="E616" s="44"/>
      <c r="F616" s="227"/>
      <c r="G616" s="49">
        <v>1</v>
      </c>
      <c r="H616" s="73"/>
      <c r="I616" s="44"/>
      <c r="J616" s="48">
        <f t="shared" si="27"/>
        <v>1</v>
      </c>
      <c r="K616" s="48">
        <f t="shared" si="28"/>
        <v>0</v>
      </c>
      <c r="L616" s="68">
        <f t="shared" si="29"/>
        <v>0</v>
      </c>
    </row>
    <row r="617" spans="2:12" x14ac:dyDescent="0.85">
      <c r="B617" s="46">
        <v>611</v>
      </c>
      <c r="C617" s="10"/>
      <c r="D617" s="66"/>
      <c r="E617" s="10"/>
      <c r="F617" s="226"/>
      <c r="G617" s="47">
        <v>1</v>
      </c>
      <c r="H617" s="72"/>
      <c r="I617" s="10"/>
      <c r="J617" s="46">
        <f t="shared" si="27"/>
        <v>1</v>
      </c>
      <c r="K617" s="46">
        <f t="shared" si="28"/>
        <v>0</v>
      </c>
      <c r="L617" s="69">
        <f t="shared" si="29"/>
        <v>0</v>
      </c>
    </row>
    <row r="618" spans="2:12" x14ac:dyDescent="0.85">
      <c r="B618" s="48">
        <v>612</v>
      </c>
      <c r="C618" s="44"/>
      <c r="D618" s="50"/>
      <c r="E618" s="44"/>
      <c r="F618" s="227"/>
      <c r="G618" s="49">
        <v>1</v>
      </c>
      <c r="H618" s="73"/>
      <c r="I618" s="44"/>
      <c r="J618" s="48">
        <f t="shared" si="27"/>
        <v>1</v>
      </c>
      <c r="K618" s="48">
        <f t="shared" si="28"/>
        <v>0</v>
      </c>
      <c r="L618" s="68">
        <f t="shared" si="29"/>
        <v>0</v>
      </c>
    </row>
    <row r="619" spans="2:12" x14ac:dyDescent="0.85">
      <c r="B619" s="46">
        <v>613</v>
      </c>
      <c r="C619" s="10"/>
      <c r="D619" s="66"/>
      <c r="E619" s="10"/>
      <c r="F619" s="226"/>
      <c r="G619" s="47">
        <v>1</v>
      </c>
      <c r="H619" s="72"/>
      <c r="I619" s="10"/>
      <c r="J619" s="46">
        <f t="shared" si="27"/>
        <v>1</v>
      </c>
      <c r="K619" s="46">
        <f t="shared" si="28"/>
        <v>0</v>
      </c>
      <c r="L619" s="69">
        <f t="shared" si="29"/>
        <v>0</v>
      </c>
    </row>
    <row r="620" spans="2:12" x14ac:dyDescent="0.85">
      <c r="B620" s="48">
        <v>614</v>
      </c>
      <c r="C620" s="44"/>
      <c r="D620" s="50"/>
      <c r="E620" s="44"/>
      <c r="F620" s="227"/>
      <c r="G620" s="49">
        <v>1</v>
      </c>
      <c r="H620" s="73"/>
      <c r="I620" s="44"/>
      <c r="J620" s="48">
        <f t="shared" si="27"/>
        <v>1</v>
      </c>
      <c r="K620" s="48">
        <f t="shared" si="28"/>
        <v>0</v>
      </c>
      <c r="L620" s="68">
        <f t="shared" si="29"/>
        <v>0</v>
      </c>
    </row>
    <row r="621" spans="2:12" x14ac:dyDescent="0.85">
      <c r="B621" s="46">
        <v>615</v>
      </c>
      <c r="C621" s="10"/>
      <c r="D621" s="66"/>
      <c r="E621" s="10"/>
      <c r="F621" s="226"/>
      <c r="G621" s="47">
        <v>1</v>
      </c>
      <c r="H621" s="72"/>
      <c r="I621" s="10"/>
      <c r="J621" s="46">
        <f t="shared" si="27"/>
        <v>1</v>
      </c>
      <c r="K621" s="46">
        <f t="shared" si="28"/>
        <v>0</v>
      </c>
      <c r="L621" s="69">
        <f t="shared" si="29"/>
        <v>0</v>
      </c>
    </row>
    <row r="622" spans="2:12" x14ac:dyDescent="0.85">
      <c r="B622" s="48">
        <v>616</v>
      </c>
      <c r="C622" s="44"/>
      <c r="D622" s="50"/>
      <c r="E622" s="44"/>
      <c r="F622" s="227"/>
      <c r="G622" s="49">
        <v>1</v>
      </c>
      <c r="H622" s="73"/>
      <c r="I622" s="44"/>
      <c r="J622" s="48">
        <f t="shared" si="27"/>
        <v>1</v>
      </c>
      <c r="K622" s="48">
        <f t="shared" si="28"/>
        <v>0</v>
      </c>
      <c r="L622" s="68">
        <f t="shared" si="29"/>
        <v>0</v>
      </c>
    </row>
    <row r="623" spans="2:12" x14ac:dyDescent="0.85">
      <c r="B623" s="46">
        <v>617</v>
      </c>
      <c r="C623" s="10"/>
      <c r="D623" s="66"/>
      <c r="E623" s="10"/>
      <c r="F623" s="226"/>
      <c r="G623" s="47">
        <v>1</v>
      </c>
      <c r="H623" s="72"/>
      <c r="I623" s="10"/>
      <c r="J623" s="46">
        <f t="shared" si="27"/>
        <v>1</v>
      </c>
      <c r="K623" s="46">
        <f t="shared" si="28"/>
        <v>0</v>
      </c>
      <c r="L623" s="69">
        <f t="shared" si="29"/>
        <v>0</v>
      </c>
    </row>
    <row r="624" spans="2:12" x14ac:dyDescent="0.85">
      <c r="B624" s="48">
        <v>618</v>
      </c>
      <c r="C624" s="44"/>
      <c r="D624" s="50"/>
      <c r="E624" s="44"/>
      <c r="F624" s="227"/>
      <c r="G624" s="49">
        <v>1</v>
      </c>
      <c r="H624" s="73"/>
      <c r="I624" s="44"/>
      <c r="J624" s="48">
        <f t="shared" si="27"/>
        <v>1</v>
      </c>
      <c r="K624" s="48">
        <f t="shared" si="28"/>
        <v>0</v>
      </c>
      <c r="L624" s="68">
        <f t="shared" si="29"/>
        <v>0</v>
      </c>
    </row>
    <row r="625" spans="2:12" x14ac:dyDescent="0.85">
      <c r="B625" s="46">
        <v>619</v>
      </c>
      <c r="C625" s="10"/>
      <c r="D625" s="66"/>
      <c r="E625" s="10"/>
      <c r="F625" s="226"/>
      <c r="G625" s="47">
        <v>1</v>
      </c>
      <c r="H625" s="72"/>
      <c r="I625" s="10"/>
      <c r="J625" s="46">
        <f t="shared" si="27"/>
        <v>1</v>
      </c>
      <c r="K625" s="46">
        <f t="shared" si="28"/>
        <v>0</v>
      </c>
      <c r="L625" s="69">
        <f t="shared" si="29"/>
        <v>0</v>
      </c>
    </row>
    <row r="626" spans="2:12" x14ac:dyDescent="0.85">
      <c r="B626" s="48">
        <v>620</v>
      </c>
      <c r="C626" s="44"/>
      <c r="D626" s="50"/>
      <c r="E626" s="44"/>
      <c r="F626" s="227"/>
      <c r="G626" s="49">
        <v>1</v>
      </c>
      <c r="H626" s="73"/>
      <c r="I626" s="44"/>
      <c r="J626" s="48">
        <f t="shared" si="27"/>
        <v>1</v>
      </c>
      <c r="K626" s="48">
        <f t="shared" si="28"/>
        <v>0</v>
      </c>
      <c r="L626" s="68">
        <f t="shared" si="29"/>
        <v>0</v>
      </c>
    </row>
    <row r="627" spans="2:12" x14ac:dyDescent="0.85">
      <c r="B627" s="46">
        <v>621</v>
      </c>
      <c r="C627" s="10"/>
      <c r="D627" s="66"/>
      <c r="E627" s="10"/>
      <c r="F627" s="226"/>
      <c r="G627" s="47">
        <v>1</v>
      </c>
      <c r="H627" s="72"/>
      <c r="I627" s="10"/>
      <c r="J627" s="46">
        <f t="shared" si="27"/>
        <v>1</v>
      </c>
      <c r="K627" s="46">
        <f t="shared" si="28"/>
        <v>0</v>
      </c>
      <c r="L627" s="69">
        <f t="shared" si="29"/>
        <v>0</v>
      </c>
    </row>
    <row r="628" spans="2:12" x14ac:dyDescent="0.85">
      <c r="B628" s="48">
        <v>622</v>
      </c>
      <c r="C628" s="44"/>
      <c r="D628" s="50"/>
      <c r="E628" s="44"/>
      <c r="F628" s="227"/>
      <c r="G628" s="49">
        <v>1</v>
      </c>
      <c r="H628" s="73"/>
      <c r="I628" s="44"/>
      <c r="J628" s="48">
        <f t="shared" si="27"/>
        <v>1</v>
      </c>
      <c r="K628" s="48">
        <f t="shared" si="28"/>
        <v>0</v>
      </c>
      <c r="L628" s="68">
        <f t="shared" si="29"/>
        <v>0</v>
      </c>
    </row>
    <row r="629" spans="2:12" x14ac:dyDescent="0.85">
      <c r="B629" s="46">
        <v>623</v>
      </c>
      <c r="C629" s="10"/>
      <c r="D629" s="66"/>
      <c r="E629" s="10"/>
      <c r="F629" s="226"/>
      <c r="G629" s="47">
        <v>1</v>
      </c>
      <c r="H629" s="72"/>
      <c r="I629" s="10"/>
      <c r="J629" s="46">
        <f t="shared" si="27"/>
        <v>1</v>
      </c>
      <c r="K629" s="46">
        <f t="shared" si="28"/>
        <v>0</v>
      </c>
      <c r="L629" s="69">
        <f t="shared" si="29"/>
        <v>0</v>
      </c>
    </row>
    <row r="630" spans="2:12" x14ac:dyDescent="0.85">
      <c r="B630" s="48">
        <v>624</v>
      </c>
      <c r="C630" s="44"/>
      <c r="D630" s="50"/>
      <c r="E630" s="44"/>
      <c r="F630" s="227"/>
      <c r="G630" s="49">
        <v>1</v>
      </c>
      <c r="H630" s="73"/>
      <c r="I630" s="44"/>
      <c r="J630" s="48">
        <f t="shared" si="27"/>
        <v>1</v>
      </c>
      <c r="K630" s="48">
        <f t="shared" si="28"/>
        <v>0</v>
      </c>
      <c r="L630" s="68">
        <f t="shared" si="29"/>
        <v>0</v>
      </c>
    </row>
    <row r="631" spans="2:12" x14ac:dyDescent="0.85">
      <c r="B631" s="46">
        <v>625</v>
      </c>
      <c r="C631" s="10"/>
      <c r="D631" s="66"/>
      <c r="E631" s="10"/>
      <c r="F631" s="226"/>
      <c r="G631" s="47">
        <v>1</v>
      </c>
      <c r="H631" s="72"/>
      <c r="I631" s="10"/>
      <c r="J631" s="46">
        <f t="shared" si="27"/>
        <v>1</v>
      </c>
      <c r="K631" s="46">
        <f t="shared" si="28"/>
        <v>0</v>
      </c>
      <c r="L631" s="69">
        <f t="shared" si="29"/>
        <v>0</v>
      </c>
    </row>
    <row r="632" spans="2:12" x14ac:dyDescent="0.85">
      <c r="B632" s="48">
        <v>626</v>
      </c>
      <c r="C632" s="44"/>
      <c r="D632" s="50"/>
      <c r="E632" s="44"/>
      <c r="F632" s="227"/>
      <c r="G632" s="49">
        <v>1</v>
      </c>
      <c r="H632" s="73"/>
      <c r="I632" s="44"/>
      <c r="J632" s="48">
        <f t="shared" si="27"/>
        <v>1</v>
      </c>
      <c r="K632" s="48">
        <f t="shared" si="28"/>
        <v>0</v>
      </c>
      <c r="L632" s="68">
        <f t="shared" si="29"/>
        <v>0</v>
      </c>
    </row>
    <row r="633" spans="2:12" x14ac:dyDescent="0.85">
      <c r="B633" s="46">
        <v>627</v>
      </c>
      <c r="C633" s="10"/>
      <c r="D633" s="66"/>
      <c r="E633" s="10"/>
      <c r="F633" s="226"/>
      <c r="G633" s="47">
        <v>1</v>
      </c>
      <c r="H633" s="72"/>
      <c r="I633" s="10"/>
      <c r="J633" s="46">
        <f t="shared" si="27"/>
        <v>1</v>
      </c>
      <c r="K633" s="46">
        <f t="shared" si="28"/>
        <v>0</v>
      </c>
      <c r="L633" s="69">
        <f t="shared" si="29"/>
        <v>0</v>
      </c>
    </row>
    <row r="634" spans="2:12" x14ac:dyDescent="0.85">
      <c r="B634" s="48">
        <v>628</v>
      </c>
      <c r="C634" s="44"/>
      <c r="D634" s="50"/>
      <c r="E634" s="44"/>
      <c r="F634" s="227"/>
      <c r="G634" s="49">
        <v>1</v>
      </c>
      <c r="H634" s="73"/>
      <c r="I634" s="44"/>
      <c r="J634" s="48">
        <f t="shared" si="27"/>
        <v>1</v>
      </c>
      <c r="K634" s="48">
        <f t="shared" si="28"/>
        <v>0</v>
      </c>
      <c r="L634" s="68">
        <f t="shared" si="29"/>
        <v>0</v>
      </c>
    </row>
    <row r="635" spans="2:12" x14ac:dyDescent="0.85">
      <c r="B635" s="46">
        <v>629</v>
      </c>
      <c r="C635" s="10"/>
      <c r="D635" s="66"/>
      <c r="E635" s="10"/>
      <c r="F635" s="226"/>
      <c r="G635" s="47">
        <v>1</v>
      </c>
      <c r="H635" s="72"/>
      <c r="I635" s="10"/>
      <c r="J635" s="46">
        <f t="shared" si="27"/>
        <v>1</v>
      </c>
      <c r="K635" s="46">
        <f t="shared" si="28"/>
        <v>0</v>
      </c>
      <c r="L635" s="69">
        <f t="shared" si="29"/>
        <v>0</v>
      </c>
    </row>
    <row r="636" spans="2:12" x14ac:dyDescent="0.85">
      <c r="B636" s="48">
        <v>630</v>
      </c>
      <c r="C636" s="44"/>
      <c r="D636" s="50"/>
      <c r="E636" s="44"/>
      <c r="F636" s="227"/>
      <c r="G636" s="49">
        <v>1</v>
      </c>
      <c r="H636" s="73"/>
      <c r="I636" s="44"/>
      <c r="J636" s="48">
        <f t="shared" si="27"/>
        <v>1</v>
      </c>
      <c r="K636" s="48">
        <f t="shared" si="28"/>
        <v>0</v>
      </c>
      <c r="L636" s="68">
        <f t="shared" si="29"/>
        <v>0</v>
      </c>
    </row>
    <row r="637" spans="2:12" x14ac:dyDescent="0.85">
      <c r="B637" s="46">
        <v>631</v>
      </c>
      <c r="C637" s="10"/>
      <c r="D637" s="66"/>
      <c r="E637" s="10"/>
      <c r="F637" s="226"/>
      <c r="G637" s="47">
        <v>1</v>
      </c>
      <c r="H637" s="72"/>
      <c r="I637" s="10"/>
      <c r="J637" s="46">
        <f t="shared" si="27"/>
        <v>1</v>
      </c>
      <c r="K637" s="46">
        <f t="shared" si="28"/>
        <v>0</v>
      </c>
      <c r="L637" s="69">
        <f t="shared" si="29"/>
        <v>0</v>
      </c>
    </row>
    <row r="638" spans="2:12" x14ac:dyDescent="0.85">
      <c r="B638" s="48">
        <v>632</v>
      </c>
      <c r="C638" s="44"/>
      <c r="D638" s="50"/>
      <c r="E638" s="44"/>
      <c r="F638" s="227"/>
      <c r="G638" s="49">
        <v>1</v>
      </c>
      <c r="H638" s="73"/>
      <c r="I638" s="44"/>
      <c r="J638" s="48">
        <f t="shared" si="27"/>
        <v>1</v>
      </c>
      <c r="K638" s="48">
        <f t="shared" si="28"/>
        <v>0</v>
      </c>
      <c r="L638" s="68">
        <f t="shared" si="29"/>
        <v>0</v>
      </c>
    </row>
    <row r="639" spans="2:12" x14ac:dyDescent="0.85">
      <c r="B639" s="46">
        <v>633</v>
      </c>
      <c r="C639" s="10"/>
      <c r="D639" s="66"/>
      <c r="E639" s="10"/>
      <c r="F639" s="226"/>
      <c r="G639" s="47">
        <v>1</v>
      </c>
      <c r="H639" s="72"/>
      <c r="I639" s="10"/>
      <c r="J639" s="46">
        <f t="shared" si="27"/>
        <v>1</v>
      </c>
      <c r="K639" s="46">
        <f t="shared" si="28"/>
        <v>0</v>
      </c>
      <c r="L639" s="69">
        <f t="shared" si="29"/>
        <v>0</v>
      </c>
    </row>
    <row r="640" spans="2:12" x14ac:dyDescent="0.85">
      <c r="B640" s="48">
        <v>634</v>
      </c>
      <c r="C640" s="44"/>
      <c r="D640" s="50"/>
      <c r="E640" s="44"/>
      <c r="F640" s="227"/>
      <c r="G640" s="49">
        <v>1</v>
      </c>
      <c r="H640" s="73"/>
      <c r="I640" s="44"/>
      <c r="J640" s="48">
        <f t="shared" si="27"/>
        <v>1</v>
      </c>
      <c r="K640" s="48">
        <f t="shared" si="28"/>
        <v>0</v>
      </c>
      <c r="L640" s="68">
        <f t="shared" si="29"/>
        <v>0</v>
      </c>
    </row>
    <row r="641" spans="2:12" x14ac:dyDescent="0.85">
      <c r="B641" s="46">
        <v>635</v>
      </c>
      <c r="C641" s="10"/>
      <c r="D641" s="66"/>
      <c r="E641" s="10"/>
      <c r="F641" s="226"/>
      <c r="G641" s="47">
        <v>1</v>
      </c>
      <c r="H641" s="72"/>
      <c r="I641" s="10"/>
      <c r="J641" s="46">
        <f t="shared" si="27"/>
        <v>1</v>
      </c>
      <c r="K641" s="46">
        <f t="shared" si="28"/>
        <v>0</v>
      </c>
      <c r="L641" s="69">
        <f t="shared" si="29"/>
        <v>0</v>
      </c>
    </row>
    <row r="642" spans="2:12" x14ac:dyDescent="0.85">
      <c r="B642" s="48">
        <v>636</v>
      </c>
      <c r="C642" s="44"/>
      <c r="D642" s="50"/>
      <c r="E642" s="44"/>
      <c r="F642" s="227"/>
      <c r="G642" s="49">
        <v>1</v>
      </c>
      <c r="H642" s="73"/>
      <c r="I642" s="44"/>
      <c r="J642" s="48">
        <f t="shared" si="27"/>
        <v>1</v>
      </c>
      <c r="K642" s="48">
        <f t="shared" si="28"/>
        <v>0</v>
      </c>
      <c r="L642" s="68">
        <f t="shared" si="29"/>
        <v>0</v>
      </c>
    </row>
    <row r="643" spans="2:12" x14ac:dyDescent="0.85">
      <c r="B643" s="46">
        <v>637</v>
      </c>
      <c r="C643" s="10"/>
      <c r="D643" s="66"/>
      <c r="E643" s="10"/>
      <c r="F643" s="226"/>
      <c r="G643" s="47">
        <v>1</v>
      </c>
      <c r="H643" s="72"/>
      <c r="I643" s="10"/>
      <c r="J643" s="46">
        <f t="shared" si="27"/>
        <v>1</v>
      </c>
      <c r="K643" s="46">
        <f t="shared" si="28"/>
        <v>0</v>
      </c>
      <c r="L643" s="69">
        <f t="shared" si="29"/>
        <v>0</v>
      </c>
    </row>
    <row r="644" spans="2:12" x14ac:dyDescent="0.85">
      <c r="B644" s="48">
        <v>638</v>
      </c>
      <c r="C644" s="44"/>
      <c r="D644" s="50"/>
      <c r="E644" s="44"/>
      <c r="F644" s="227"/>
      <c r="G644" s="49">
        <v>1</v>
      </c>
      <c r="H644" s="73"/>
      <c r="I644" s="44"/>
      <c r="J644" s="48">
        <f t="shared" si="27"/>
        <v>1</v>
      </c>
      <c r="K644" s="48">
        <f t="shared" si="28"/>
        <v>0</v>
      </c>
      <c r="L644" s="68">
        <f t="shared" si="29"/>
        <v>0</v>
      </c>
    </row>
    <row r="645" spans="2:12" x14ac:dyDescent="0.85">
      <c r="B645" s="46">
        <v>639</v>
      </c>
      <c r="C645" s="10"/>
      <c r="D645" s="66"/>
      <c r="E645" s="10"/>
      <c r="F645" s="226"/>
      <c r="G645" s="47">
        <v>1</v>
      </c>
      <c r="H645" s="72"/>
      <c r="I645" s="10"/>
      <c r="J645" s="46">
        <f t="shared" si="27"/>
        <v>1</v>
      </c>
      <c r="K645" s="46">
        <f t="shared" si="28"/>
        <v>0</v>
      </c>
      <c r="L645" s="69">
        <f t="shared" si="29"/>
        <v>0</v>
      </c>
    </row>
    <row r="646" spans="2:12" x14ac:dyDescent="0.85">
      <c r="B646" s="48">
        <v>640</v>
      </c>
      <c r="C646" s="44"/>
      <c r="D646" s="50"/>
      <c r="E646" s="44"/>
      <c r="F646" s="227"/>
      <c r="G646" s="49">
        <v>1</v>
      </c>
      <c r="H646" s="73"/>
      <c r="I646" s="44"/>
      <c r="J646" s="48">
        <f t="shared" si="27"/>
        <v>1</v>
      </c>
      <c r="K646" s="48">
        <f t="shared" si="28"/>
        <v>0</v>
      </c>
      <c r="L646" s="68">
        <f t="shared" si="29"/>
        <v>0</v>
      </c>
    </row>
    <row r="647" spans="2:12" x14ac:dyDescent="0.85">
      <c r="B647" s="46">
        <v>641</v>
      </c>
      <c r="C647" s="10"/>
      <c r="D647" s="66"/>
      <c r="E647" s="10"/>
      <c r="F647" s="226"/>
      <c r="G647" s="47">
        <v>1</v>
      </c>
      <c r="H647" s="72"/>
      <c r="I647" s="10"/>
      <c r="J647" s="46">
        <f t="shared" ref="J647:J710" si="30">IF(ISBLANK(H647),1,H647)</f>
        <v>1</v>
      </c>
      <c r="K647" s="46">
        <f t="shared" ref="K647:K710" si="31">IF(COUNTIF(FreeElements, E647)&gt;0, F647, 0)</f>
        <v>0</v>
      </c>
      <c r="L647" s="69">
        <f t="shared" ref="L647:L710" si="32">J647*K647</f>
        <v>0</v>
      </c>
    </row>
    <row r="648" spans="2:12" x14ac:dyDescent="0.85">
      <c r="B648" s="48">
        <v>642</v>
      </c>
      <c r="C648" s="44"/>
      <c r="D648" s="50"/>
      <c r="E648" s="44"/>
      <c r="F648" s="227"/>
      <c r="G648" s="49">
        <v>1</v>
      </c>
      <c r="H648" s="73"/>
      <c r="I648" s="44"/>
      <c r="J648" s="48">
        <f t="shared" si="30"/>
        <v>1</v>
      </c>
      <c r="K648" s="48">
        <f t="shared" si="31"/>
        <v>0</v>
      </c>
      <c r="L648" s="68">
        <f t="shared" si="32"/>
        <v>0</v>
      </c>
    </row>
    <row r="649" spans="2:12" x14ac:dyDescent="0.85">
      <c r="B649" s="46">
        <v>643</v>
      </c>
      <c r="C649" s="10"/>
      <c r="D649" s="66"/>
      <c r="E649" s="10"/>
      <c r="F649" s="226"/>
      <c r="G649" s="47">
        <v>1</v>
      </c>
      <c r="H649" s="72"/>
      <c r="I649" s="10"/>
      <c r="J649" s="46">
        <f t="shared" si="30"/>
        <v>1</v>
      </c>
      <c r="K649" s="46">
        <f t="shared" si="31"/>
        <v>0</v>
      </c>
      <c r="L649" s="69">
        <f t="shared" si="32"/>
        <v>0</v>
      </c>
    </row>
    <row r="650" spans="2:12" x14ac:dyDescent="0.85">
      <c r="B650" s="48">
        <v>644</v>
      </c>
      <c r="C650" s="44"/>
      <c r="D650" s="50"/>
      <c r="E650" s="44"/>
      <c r="F650" s="227"/>
      <c r="G650" s="49">
        <v>1</v>
      </c>
      <c r="H650" s="73"/>
      <c r="I650" s="44"/>
      <c r="J650" s="48">
        <f t="shared" si="30"/>
        <v>1</v>
      </c>
      <c r="K650" s="48">
        <f t="shared" si="31"/>
        <v>0</v>
      </c>
      <c r="L650" s="68">
        <f t="shared" si="32"/>
        <v>0</v>
      </c>
    </row>
    <row r="651" spans="2:12" x14ac:dyDescent="0.85">
      <c r="B651" s="46">
        <v>645</v>
      </c>
      <c r="C651" s="10"/>
      <c r="D651" s="66"/>
      <c r="E651" s="10"/>
      <c r="F651" s="226"/>
      <c r="G651" s="47">
        <v>1</v>
      </c>
      <c r="H651" s="72"/>
      <c r="I651" s="10"/>
      <c r="J651" s="46">
        <f t="shared" si="30"/>
        <v>1</v>
      </c>
      <c r="K651" s="46">
        <f t="shared" si="31"/>
        <v>0</v>
      </c>
      <c r="L651" s="69">
        <f t="shared" si="32"/>
        <v>0</v>
      </c>
    </row>
    <row r="652" spans="2:12" x14ac:dyDescent="0.85">
      <c r="B652" s="48">
        <v>646</v>
      </c>
      <c r="C652" s="44"/>
      <c r="D652" s="50"/>
      <c r="E652" s="44"/>
      <c r="F652" s="227"/>
      <c r="G652" s="49">
        <v>1</v>
      </c>
      <c r="H652" s="73"/>
      <c r="I652" s="44"/>
      <c r="J652" s="48">
        <f t="shared" si="30"/>
        <v>1</v>
      </c>
      <c r="K652" s="48">
        <f t="shared" si="31"/>
        <v>0</v>
      </c>
      <c r="L652" s="68">
        <f t="shared" si="32"/>
        <v>0</v>
      </c>
    </row>
    <row r="653" spans="2:12" x14ac:dyDescent="0.85">
      <c r="B653" s="46">
        <v>647</v>
      </c>
      <c r="C653" s="10"/>
      <c r="D653" s="66"/>
      <c r="E653" s="10"/>
      <c r="F653" s="226"/>
      <c r="G653" s="47">
        <v>1</v>
      </c>
      <c r="H653" s="72"/>
      <c r="I653" s="10"/>
      <c r="J653" s="46">
        <f t="shared" si="30"/>
        <v>1</v>
      </c>
      <c r="K653" s="46">
        <f t="shared" si="31"/>
        <v>0</v>
      </c>
      <c r="L653" s="69">
        <f t="shared" si="32"/>
        <v>0</v>
      </c>
    </row>
    <row r="654" spans="2:12" x14ac:dyDescent="0.85">
      <c r="B654" s="48">
        <v>648</v>
      </c>
      <c r="C654" s="44"/>
      <c r="D654" s="50"/>
      <c r="E654" s="44"/>
      <c r="F654" s="227"/>
      <c r="G654" s="49">
        <v>1</v>
      </c>
      <c r="H654" s="73"/>
      <c r="I654" s="44"/>
      <c r="J654" s="48">
        <f t="shared" si="30"/>
        <v>1</v>
      </c>
      <c r="K654" s="48">
        <f t="shared" si="31"/>
        <v>0</v>
      </c>
      <c r="L654" s="68">
        <f t="shared" si="32"/>
        <v>0</v>
      </c>
    </row>
    <row r="655" spans="2:12" x14ac:dyDescent="0.85">
      <c r="B655" s="46">
        <v>649</v>
      </c>
      <c r="C655" s="10"/>
      <c r="D655" s="66"/>
      <c r="E655" s="10"/>
      <c r="F655" s="226"/>
      <c r="G655" s="47">
        <v>1</v>
      </c>
      <c r="H655" s="72"/>
      <c r="I655" s="10"/>
      <c r="J655" s="46">
        <f t="shared" si="30"/>
        <v>1</v>
      </c>
      <c r="K655" s="46">
        <f t="shared" si="31"/>
        <v>0</v>
      </c>
      <c r="L655" s="69">
        <f t="shared" si="32"/>
        <v>0</v>
      </c>
    </row>
    <row r="656" spans="2:12" x14ac:dyDescent="0.85">
      <c r="B656" s="48">
        <v>650</v>
      </c>
      <c r="C656" s="44"/>
      <c r="D656" s="50"/>
      <c r="E656" s="44"/>
      <c r="F656" s="227"/>
      <c r="G656" s="49">
        <v>1</v>
      </c>
      <c r="H656" s="73"/>
      <c r="I656" s="44"/>
      <c r="J656" s="48">
        <f t="shared" si="30"/>
        <v>1</v>
      </c>
      <c r="K656" s="48">
        <f t="shared" si="31"/>
        <v>0</v>
      </c>
      <c r="L656" s="68">
        <f t="shared" si="32"/>
        <v>0</v>
      </c>
    </row>
    <row r="657" spans="2:12" x14ac:dyDescent="0.85">
      <c r="B657" s="46">
        <v>651</v>
      </c>
      <c r="C657" s="10"/>
      <c r="D657" s="66"/>
      <c r="E657" s="10"/>
      <c r="F657" s="226"/>
      <c r="G657" s="47">
        <v>1</v>
      </c>
      <c r="H657" s="72"/>
      <c r="I657" s="10"/>
      <c r="J657" s="46">
        <f t="shared" si="30"/>
        <v>1</v>
      </c>
      <c r="K657" s="46">
        <f t="shared" si="31"/>
        <v>0</v>
      </c>
      <c r="L657" s="69">
        <f t="shared" si="32"/>
        <v>0</v>
      </c>
    </row>
    <row r="658" spans="2:12" x14ac:dyDescent="0.85">
      <c r="B658" s="48">
        <v>652</v>
      </c>
      <c r="C658" s="44"/>
      <c r="D658" s="50"/>
      <c r="E658" s="44"/>
      <c r="F658" s="227"/>
      <c r="G658" s="49">
        <v>1</v>
      </c>
      <c r="H658" s="73"/>
      <c r="I658" s="44"/>
      <c r="J658" s="48">
        <f t="shared" si="30"/>
        <v>1</v>
      </c>
      <c r="K658" s="48">
        <f t="shared" si="31"/>
        <v>0</v>
      </c>
      <c r="L658" s="68">
        <f t="shared" si="32"/>
        <v>0</v>
      </c>
    </row>
    <row r="659" spans="2:12" x14ac:dyDescent="0.85">
      <c r="B659" s="46">
        <v>653</v>
      </c>
      <c r="C659" s="10"/>
      <c r="D659" s="66"/>
      <c r="E659" s="10"/>
      <c r="F659" s="226"/>
      <c r="G659" s="47">
        <v>1</v>
      </c>
      <c r="H659" s="72"/>
      <c r="I659" s="10"/>
      <c r="J659" s="46">
        <f t="shared" si="30"/>
        <v>1</v>
      </c>
      <c r="K659" s="46">
        <f t="shared" si="31"/>
        <v>0</v>
      </c>
      <c r="L659" s="69">
        <f t="shared" si="32"/>
        <v>0</v>
      </c>
    </row>
    <row r="660" spans="2:12" x14ac:dyDescent="0.85">
      <c r="B660" s="48">
        <v>654</v>
      </c>
      <c r="C660" s="44"/>
      <c r="D660" s="50"/>
      <c r="E660" s="44"/>
      <c r="F660" s="227"/>
      <c r="G660" s="49">
        <v>1</v>
      </c>
      <c r="H660" s="73"/>
      <c r="I660" s="44"/>
      <c r="J660" s="48">
        <f t="shared" si="30"/>
        <v>1</v>
      </c>
      <c r="K660" s="48">
        <f t="shared" si="31"/>
        <v>0</v>
      </c>
      <c r="L660" s="68">
        <f t="shared" si="32"/>
        <v>0</v>
      </c>
    </row>
    <row r="661" spans="2:12" x14ac:dyDescent="0.85">
      <c r="B661" s="46">
        <v>655</v>
      </c>
      <c r="C661" s="10"/>
      <c r="D661" s="66"/>
      <c r="E661" s="10"/>
      <c r="F661" s="226"/>
      <c r="G661" s="47">
        <v>1</v>
      </c>
      <c r="H661" s="72"/>
      <c r="I661" s="10"/>
      <c r="J661" s="46">
        <f t="shared" si="30"/>
        <v>1</v>
      </c>
      <c r="K661" s="46">
        <f t="shared" si="31"/>
        <v>0</v>
      </c>
      <c r="L661" s="69">
        <f t="shared" si="32"/>
        <v>0</v>
      </c>
    </row>
    <row r="662" spans="2:12" x14ac:dyDescent="0.85">
      <c r="B662" s="48">
        <v>656</v>
      </c>
      <c r="C662" s="44"/>
      <c r="D662" s="50"/>
      <c r="E662" s="44"/>
      <c r="F662" s="227"/>
      <c r="G662" s="49">
        <v>1</v>
      </c>
      <c r="H662" s="73"/>
      <c r="I662" s="44"/>
      <c r="J662" s="48">
        <f t="shared" si="30"/>
        <v>1</v>
      </c>
      <c r="K662" s="48">
        <f t="shared" si="31"/>
        <v>0</v>
      </c>
      <c r="L662" s="68">
        <f t="shared" si="32"/>
        <v>0</v>
      </c>
    </row>
    <row r="663" spans="2:12" x14ac:dyDescent="0.85">
      <c r="B663" s="46">
        <v>657</v>
      </c>
      <c r="C663" s="10"/>
      <c r="D663" s="66"/>
      <c r="E663" s="10"/>
      <c r="F663" s="226"/>
      <c r="G663" s="47">
        <v>1</v>
      </c>
      <c r="H663" s="72"/>
      <c r="I663" s="10"/>
      <c r="J663" s="46">
        <f t="shared" si="30"/>
        <v>1</v>
      </c>
      <c r="K663" s="46">
        <f t="shared" si="31"/>
        <v>0</v>
      </c>
      <c r="L663" s="69">
        <f t="shared" si="32"/>
        <v>0</v>
      </c>
    </row>
    <row r="664" spans="2:12" x14ac:dyDescent="0.85">
      <c r="B664" s="48">
        <v>658</v>
      </c>
      <c r="C664" s="44"/>
      <c r="D664" s="50"/>
      <c r="E664" s="44"/>
      <c r="F664" s="227"/>
      <c r="G664" s="49">
        <v>1</v>
      </c>
      <c r="H664" s="73"/>
      <c r="I664" s="44"/>
      <c r="J664" s="48">
        <f t="shared" si="30"/>
        <v>1</v>
      </c>
      <c r="K664" s="48">
        <f t="shared" si="31"/>
        <v>0</v>
      </c>
      <c r="L664" s="68">
        <f t="shared" si="32"/>
        <v>0</v>
      </c>
    </row>
    <row r="665" spans="2:12" x14ac:dyDescent="0.85">
      <c r="B665" s="46">
        <v>659</v>
      </c>
      <c r="C665" s="10"/>
      <c r="D665" s="66"/>
      <c r="E665" s="10"/>
      <c r="F665" s="226"/>
      <c r="G665" s="47">
        <v>1</v>
      </c>
      <c r="H665" s="72"/>
      <c r="I665" s="10"/>
      <c r="J665" s="46">
        <f t="shared" si="30"/>
        <v>1</v>
      </c>
      <c r="K665" s="46">
        <f t="shared" si="31"/>
        <v>0</v>
      </c>
      <c r="L665" s="69">
        <f t="shared" si="32"/>
        <v>0</v>
      </c>
    </row>
    <row r="666" spans="2:12" x14ac:dyDescent="0.85">
      <c r="B666" s="48">
        <v>660</v>
      </c>
      <c r="C666" s="44"/>
      <c r="D666" s="50"/>
      <c r="E666" s="44"/>
      <c r="F666" s="227"/>
      <c r="G666" s="49">
        <v>1</v>
      </c>
      <c r="H666" s="73"/>
      <c r="I666" s="44"/>
      <c r="J666" s="48">
        <f t="shared" si="30"/>
        <v>1</v>
      </c>
      <c r="K666" s="48">
        <f t="shared" si="31"/>
        <v>0</v>
      </c>
      <c r="L666" s="68">
        <f t="shared" si="32"/>
        <v>0</v>
      </c>
    </row>
    <row r="667" spans="2:12" x14ac:dyDescent="0.85">
      <c r="B667" s="46">
        <v>661</v>
      </c>
      <c r="C667" s="10"/>
      <c r="D667" s="66"/>
      <c r="E667" s="10"/>
      <c r="F667" s="226"/>
      <c r="G667" s="47">
        <v>1</v>
      </c>
      <c r="H667" s="72"/>
      <c r="I667" s="10"/>
      <c r="J667" s="46">
        <f t="shared" si="30"/>
        <v>1</v>
      </c>
      <c r="K667" s="46">
        <f t="shared" si="31"/>
        <v>0</v>
      </c>
      <c r="L667" s="69">
        <f t="shared" si="32"/>
        <v>0</v>
      </c>
    </row>
    <row r="668" spans="2:12" x14ac:dyDescent="0.85">
      <c r="B668" s="48">
        <v>662</v>
      </c>
      <c r="C668" s="44"/>
      <c r="D668" s="50"/>
      <c r="E668" s="44"/>
      <c r="F668" s="227"/>
      <c r="G668" s="49">
        <v>1</v>
      </c>
      <c r="H668" s="73"/>
      <c r="I668" s="44"/>
      <c r="J668" s="48">
        <f t="shared" si="30"/>
        <v>1</v>
      </c>
      <c r="K668" s="48">
        <f t="shared" si="31"/>
        <v>0</v>
      </c>
      <c r="L668" s="68">
        <f t="shared" si="32"/>
        <v>0</v>
      </c>
    </row>
    <row r="669" spans="2:12" x14ac:dyDescent="0.85">
      <c r="B669" s="46">
        <v>663</v>
      </c>
      <c r="C669" s="10"/>
      <c r="D669" s="66"/>
      <c r="E669" s="10"/>
      <c r="F669" s="226"/>
      <c r="G669" s="47">
        <v>1</v>
      </c>
      <c r="H669" s="72"/>
      <c r="I669" s="10"/>
      <c r="J669" s="46">
        <f t="shared" si="30"/>
        <v>1</v>
      </c>
      <c r="K669" s="46">
        <f t="shared" si="31"/>
        <v>0</v>
      </c>
      <c r="L669" s="69">
        <f t="shared" si="32"/>
        <v>0</v>
      </c>
    </row>
    <row r="670" spans="2:12" x14ac:dyDescent="0.85">
      <c r="B670" s="48">
        <v>664</v>
      </c>
      <c r="C670" s="44"/>
      <c r="D670" s="50"/>
      <c r="E670" s="44"/>
      <c r="F670" s="227"/>
      <c r="G670" s="49">
        <v>1</v>
      </c>
      <c r="H670" s="73"/>
      <c r="I670" s="44"/>
      <c r="J670" s="48">
        <f t="shared" si="30"/>
        <v>1</v>
      </c>
      <c r="K670" s="48">
        <f t="shared" si="31"/>
        <v>0</v>
      </c>
      <c r="L670" s="68">
        <f t="shared" si="32"/>
        <v>0</v>
      </c>
    </row>
    <row r="671" spans="2:12" x14ac:dyDescent="0.85">
      <c r="B671" s="46">
        <v>665</v>
      </c>
      <c r="C671" s="10"/>
      <c r="D671" s="66"/>
      <c r="E671" s="10"/>
      <c r="F671" s="226"/>
      <c r="G671" s="47">
        <v>1</v>
      </c>
      <c r="H671" s="72"/>
      <c r="I671" s="10"/>
      <c r="J671" s="46">
        <f t="shared" si="30"/>
        <v>1</v>
      </c>
      <c r="K671" s="46">
        <f t="shared" si="31"/>
        <v>0</v>
      </c>
      <c r="L671" s="69">
        <f t="shared" si="32"/>
        <v>0</v>
      </c>
    </row>
    <row r="672" spans="2:12" x14ac:dyDescent="0.85">
      <c r="B672" s="48">
        <v>666</v>
      </c>
      <c r="C672" s="44"/>
      <c r="D672" s="50"/>
      <c r="E672" s="44"/>
      <c r="F672" s="227"/>
      <c r="G672" s="49">
        <v>1</v>
      </c>
      <c r="H672" s="73"/>
      <c r="I672" s="44"/>
      <c r="J672" s="48">
        <f t="shared" si="30"/>
        <v>1</v>
      </c>
      <c r="K672" s="48">
        <f t="shared" si="31"/>
        <v>0</v>
      </c>
      <c r="L672" s="68">
        <f t="shared" si="32"/>
        <v>0</v>
      </c>
    </row>
    <row r="673" spans="2:12" x14ac:dyDescent="0.85">
      <c r="B673" s="46">
        <v>667</v>
      </c>
      <c r="C673" s="10"/>
      <c r="D673" s="66"/>
      <c r="E673" s="10"/>
      <c r="F673" s="226"/>
      <c r="G673" s="47">
        <v>1</v>
      </c>
      <c r="H673" s="72"/>
      <c r="I673" s="10"/>
      <c r="J673" s="46">
        <f t="shared" si="30"/>
        <v>1</v>
      </c>
      <c r="K673" s="46">
        <f t="shared" si="31"/>
        <v>0</v>
      </c>
      <c r="L673" s="69">
        <f t="shared" si="32"/>
        <v>0</v>
      </c>
    </row>
    <row r="674" spans="2:12" x14ac:dyDescent="0.85">
      <c r="B674" s="48">
        <v>668</v>
      </c>
      <c r="C674" s="44"/>
      <c r="D674" s="50"/>
      <c r="E674" s="44"/>
      <c r="F674" s="227"/>
      <c r="G674" s="49">
        <v>1</v>
      </c>
      <c r="H674" s="73"/>
      <c r="I674" s="44"/>
      <c r="J674" s="48">
        <f t="shared" si="30"/>
        <v>1</v>
      </c>
      <c r="K674" s="48">
        <f t="shared" si="31"/>
        <v>0</v>
      </c>
      <c r="L674" s="68">
        <f t="shared" si="32"/>
        <v>0</v>
      </c>
    </row>
    <row r="675" spans="2:12" x14ac:dyDescent="0.85">
      <c r="B675" s="46">
        <v>669</v>
      </c>
      <c r="C675" s="10"/>
      <c r="D675" s="66"/>
      <c r="E675" s="10"/>
      <c r="F675" s="226"/>
      <c r="G675" s="47">
        <v>1</v>
      </c>
      <c r="H675" s="72"/>
      <c r="I675" s="10"/>
      <c r="J675" s="46">
        <f t="shared" si="30"/>
        <v>1</v>
      </c>
      <c r="K675" s="46">
        <f t="shared" si="31"/>
        <v>0</v>
      </c>
      <c r="L675" s="69">
        <f t="shared" si="32"/>
        <v>0</v>
      </c>
    </row>
    <row r="676" spans="2:12" x14ac:dyDescent="0.85">
      <c r="B676" s="48">
        <v>670</v>
      </c>
      <c r="C676" s="44"/>
      <c r="D676" s="50"/>
      <c r="E676" s="44"/>
      <c r="F676" s="227"/>
      <c r="G676" s="49">
        <v>1</v>
      </c>
      <c r="H676" s="73"/>
      <c r="I676" s="44"/>
      <c r="J676" s="48">
        <f t="shared" si="30"/>
        <v>1</v>
      </c>
      <c r="K676" s="48">
        <f t="shared" si="31"/>
        <v>0</v>
      </c>
      <c r="L676" s="68">
        <f t="shared" si="32"/>
        <v>0</v>
      </c>
    </row>
    <row r="677" spans="2:12" x14ac:dyDescent="0.85">
      <c r="B677" s="46">
        <v>671</v>
      </c>
      <c r="C677" s="10"/>
      <c r="D677" s="66"/>
      <c r="E677" s="10"/>
      <c r="F677" s="226"/>
      <c r="G677" s="47">
        <v>1</v>
      </c>
      <c r="H677" s="72"/>
      <c r="I677" s="10"/>
      <c r="J677" s="46">
        <f t="shared" si="30"/>
        <v>1</v>
      </c>
      <c r="K677" s="46">
        <f t="shared" si="31"/>
        <v>0</v>
      </c>
      <c r="L677" s="69">
        <f t="shared" si="32"/>
        <v>0</v>
      </c>
    </row>
    <row r="678" spans="2:12" x14ac:dyDescent="0.85">
      <c r="B678" s="48">
        <v>672</v>
      </c>
      <c r="C678" s="44"/>
      <c r="D678" s="50"/>
      <c r="E678" s="44"/>
      <c r="F678" s="227"/>
      <c r="G678" s="49">
        <v>1</v>
      </c>
      <c r="H678" s="73"/>
      <c r="I678" s="44"/>
      <c r="J678" s="48">
        <f t="shared" si="30"/>
        <v>1</v>
      </c>
      <c r="K678" s="48">
        <f t="shared" si="31"/>
        <v>0</v>
      </c>
      <c r="L678" s="68">
        <f t="shared" si="32"/>
        <v>0</v>
      </c>
    </row>
    <row r="679" spans="2:12" x14ac:dyDescent="0.85">
      <c r="B679" s="46">
        <v>673</v>
      </c>
      <c r="C679" s="10"/>
      <c r="D679" s="66"/>
      <c r="E679" s="10"/>
      <c r="F679" s="226"/>
      <c r="G679" s="47">
        <v>1</v>
      </c>
      <c r="H679" s="72"/>
      <c r="I679" s="10"/>
      <c r="J679" s="46">
        <f t="shared" si="30"/>
        <v>1</v>
      </c>
      <c r="K679" s="46">
        <f t="shared" si="31"/>
        <v>0</v>
      </c>
      <c r="L679" s="69">
        <f t="shared" si="32"/>
        <v>0</v>
      </c>
    </row>
    <row r="680" spans="2:12" x14ac:dyDescent="0.85">
      <c r="B680" s="48">
        <v>674</v>
      </c>
      <c r="C680" s="44"/>
      <c r="D680" s="50"/>
      <c r="E680" s="44"/>
      <c r="F680" s="227"/>
      <c r="G680" s="49">
        <v>1</v>
      </c>
      <c r="H680" s="73"/>
      <c r="I680" s="44"/>
      <c r="J680" s="48">
        <f t="shared" si="30"/>
        <v>1</v>
      </c>
      <c r="K680" s="48">
        <f t="shared" si="31"/>
        <v>0</v>
      </c>
      <c r="L680" s="68">
        <f t="shared" si="32"/>
        <v>0</v>
      </c>
    </row>
    <row r="681" spans="2:12" x14ac:dyDescent="0.85">
      <c r="B681" s="46">
        <v>675</v>
      </c>
      <c r="C681" s="10"/>
      <c r="D681" s="66"/>
      <c r="E681" s="10"/>
      <c r="F681" s="226"/>
      <c r="G681" s="47">
        <v>1</v>
      </c>
      <c r="H681" s="72"/>
      <c r="I681" s="10"/>
      <c r="J681" s="46">
        <f t="shared" si="30"/>
        <v>1</v>
      </c>
      <c r="K681" s="46">
        <f t="shared" si="31"/>
        <v>0</v>
      </c>
      <c r="L681" s="69">
        <f t="shared" si="32"/>
        <v>0</v>
      </c>
    </row>
    <row r="682" spans="2:12" x14ac:dyDescent="0.85">
      <c r="B682" s="48">
        <v>676</v>
      </c>
      <c r="C682" s="44"/>
      <c r="D682" s="50"/>
      <c r="E682" s="44"/>
      <c r="F682" s="227"/>
      <c r="G682" s="49">
        <v>1</v>
      </c>
      <c r="H682" s="73"/>
      <c r="I682" s="44"/>
      <c r="J682" s="48">
        <f t="shared" si="30"/>
        <v>1</v>
      </c>
      <c r="K682" s="48">
        <f t="shared" si="31"/>
        <v>0</v>
      </c>
      <c r="L682" s="68">
        <f t="shared" si="32"/>
        <v>0</v>
      </c>
    </row>
    <row r="683" spans="2:12" x14ac:dyDescent="0.85">
      <c r="B683" s="46">
        <v>677</v>
      </c>
      <c r="C683" s="10"/>
      <c r="D683" s="66"/>
      <c r="E683" s="10"/>
      <c r="F683" s="226"/>
      <c r="G683" s="47">
        <v>1</v>
      </c>
      <c r="H683" s="72"/>
      <c r="I683" s="10"/>
      <c r="J683" s="46">
        <f t="shared" si="30"/>
        <v>1</v>
      </c>
      <c r="K683" s="46">
        <f t="shared" si="31"/>
        <v>0</v>
      </c>
      <c r="L683" s="69">
        <f t="shared" si="32"/>
        <v>0</v>
      </c>
    </row>
    <row r="684" spans="2:12" x14ac:dyDescent="0.85">
      <c r="B684" s="48">
        <v>678</v>
      </c>
      <c r="C684" s="44"/>
      <c r="D684" s="50"/>
      <c r="E684" s="44"/>
      <c r="F684" s="227"/>
      <c r="G684" s="49">
        <v>1</v>
      </c>
      <c r="H684" s="73"/>
      <c r="I684" s="44"/>
      <c r="J684" s="48">
        <f t="shared" si="30"/>
        <v>1</v>
      </c>
      <c r="K684" s="48">
        <f t="shared" si="31"/>
        <v>0</v>
      </c>
      <c r="L684" s="68">
        <f t="shared" si="32"/>
        <v>0</v>
      </c>
    </row>
    <row r="685" spans="2:12" x14ac:dyDescent="0.85">
      <c r="B685" s="46">
        <v>679</v>
      </c>
      <c r="C685" s="10"/>
      <c r="D685" s="66"/>
      <c r="E685" s="10"/>
      <c r="F685" s="226"/>
      <c r="G685" s="47">
        <v>1</v>
      </c>
      <c r="H685" s="72"/>
      <c r="I685" s="10"/>
      <c r="J685" s="46">
        <f t="shared" si="30"/>
        <v>1</v>
      </c>
      <c r="K685" s="46">
        <f t="shared" si="31"/>
        <v>0</v>
      </c>
      <c r="L685" s="69">
        <f t="shared" si="32"/>
        <v>0</v>
      </c>
    </row>
    <row r="686" spans="2:12" x14ac:dyDescent="0.85">
      <c r="B686" s="48">
        <v>680</v>
      </c>
      <c r="C686" s="44"/>
      <c r="D686" s="50"/>
      <c r="E686" s="44"/>
      <c r="F686" s="227"/>
      <c r="G686" s="49">
        <v>1</v>
      </c>
      <c r="H686" s="73"/>
      <c r="I686" s="44"/>
      <c r="J686" s="48">
        <f t="shared" si="30"/>
        <v>1</v>
      </c>
      <c r="K686" s="48">
        <f t="shared" si="31"/>
        <v>0</v>
      </c>
      <c r="L686" s="68">
        <f t="shared" si="32"/>
        <v>0</v>
      </c>
    </row>
    <row r="687" spans="2:12" x14ac:dyDescent="0.85">
      <c r="B687" s="46">
        <v>681</v>
      </c>
      <c r="C687" s="10"/>
      <c r="D687" s="66"/>
      <c r="E687" s="10"/>
      <c r="F687" s="226"/>
      <c r="G687" s="47">
        <v>1</v>
      </c>
      <c r="H687" s="72"/>
      <c r="I687" s="10"/>
      <c r="J687" s="46">
        <f t="shared" si="30"/>
        <v>1</v>
      </c>
      <c r="K687" s="46">
        <f t="shared" si="31"/>
        <v>0</v>
      </c>
      <c r="L687" s="69">
        <f t="shared" si="32"/>
        <v>0</v>
      </c>
    </row>
    <row r="688" spans="2:12" x14ac:dyDescent="0.85">
      <c r="B688" s="48">
        <v>682</v>
      </c>
      <c r="C688" s="44"/>
      <c r="D688" s="50"/>
      <c r="E688" s="44"/>
      <c r="F688" s="227"/>
      <c r="G688" s="49">
        <v>1</v>
      </c>
      <c r="H688" s="73"/>
      <c r="I688" s="44"/>
      <c r="J688" s="48">
        <f t="shared" si="30"/>
        <v>1</v>
      </c>
      <c r="K688" s="48">
        <f t="shared" si="31"/>
        <v>0</v>
      </c>
      <c r="L688" s="68">
        <f t="shared" si="32"/>
        <v>0</v>
      </c>
    </row>
    <row r="689" spans="2:12" x14ac:dyDescent="0.85">
      <c r="B689" s="46">
        <v>683</v>
      </c>
      <c r="C689" s="10"/>
      <c r="D689" s="66"/>
      <c r="E689" s="10"/>
      <c r="F689" s="226"/>
      <c r="G689" s="47">
        <v>1</v>
      </c>
      <c r="H689" s="72"/>
      <c r="I689" s="10"/>
      <c r="J689" s="46">
        <f t="shared" si="30"/>
        <v>1</v>
      </c>
      <c r="K689" s="46">
        <f t="shared" si="31"/>
        <v>0</v>
      </c>
      <c r="L689" s="69">
        <f t="shared" si="32"/>
        <v>0</v>
      </c>
    </row>
    <row r="690" spans="2:12" x14ac:dyDescent="0.85">
      <c r="B690" s="48">
        <v>684</v>
      </c>
      <c r="C690" s="44"/>
      <c r="D690" s="50"/>
      <c r="E690" s="44"/>
      <c r="F690" s="227"/>
      <c r="G690" s="49">
        <v>1</v>
      </c>
      <c r="H690" s="73"/>
      <c r="I690" s="44"/>
      <c r="J690" s="48">
        <f t="shared" si="30"/>
        <v>1</v>
      </c>
      <c r="K690" s="48">
        <f t="shared" si="31"/>
        <v>0</v>
      </c>
      <c r="L690" s="68">
        <f t="shared" si="32"/>
        <v>0</v>
      </c>
    </row>
    <row r="691" spans="2:12" x14ac:dyDescent="0.85">
      <c r="B691" s="46">
        <v>685</v>
      </c>
      <c r="C691" s="10"/>
      <c r="D691" s="66"/>
      <c r="E691" s="10"/>
      <c r="F691" s="226"/>
      <c r="G691" s="47">
        <v>1</v>
      </c>
      <c r="H691" s="72"/>
      <c r="I691" s="10"/>
      <c r="J691" s="46">
        <f t="shared" si="30"/>
        <v>1</v>
      </c>
      <c r="K691" s="46">
        <f t="shared" si="31"/>
        <v>0</v>
      </c>
      <c r="L691" s="69">
        <f t="shared" si="32"/>
        <v>0</v>
      </c>
    </row>
    <row r="692" spans="2:12" x14ac:dyDescent="0.85">
      <c r="B692" s="48">
        <v>686</v>
      </c>
      <c r="C692" s="44"/>
      <c r="D692" s="50"/>
      <c r="E692" s="44"/>
      <c r="F692" s="227"/>
      <c r="G692" s="49">
        <v>1</v>
      </c>
      <c r="H692" s="73"/>
      <c r="I692" s="44"/>
      <c r="J692" s="48">
        <f t="shared" si="30"/>
        <v>1</v>
      </c>
      <c r="K692" s="48">
        <f t="shared" si="31"/>
        <v>0</v>
      </c>
      <c r="L692" s="68">
        <f t="shared" si="32"/>
        <v>0</v>
      </c>
    </row>
    <row r="693" spans="2:12" x14ac:dyDescent="0.85">
      <c r="B693" s="46">
        <v>687</v>
      </c>
      <c r="C693" s="10"/>
      <c r="D693" s="66"/>
      <c r="E693" s="10"/>
      <c r="F693" s="226"/>
      <c r="G693" s="47">
        <v>1</v>
      </c>
      <c r="H693" s="72"/>
      <c r="I693" s="10"/>
      <c r="J693" s="46">
        <f t="shared" si="30"/>
        <v>1</v>
      </c>
      <c r="K693" s="46">
        <f t="shared" si="31"/>
        <v>0</v>
      </c>
      <c r="L693" s="69">
        <f t="shared" si="32"/>
        <v>0</v>
      </c>
    </row>
    <row r="694" spans="2:12" x14ac:dyDescent="0.85">
      <c r="B694" s="48">
        <v>688</v>
      </c>
      <c r="C694" s="44"/>
      <c r="D694" s="50"/>
      <c r="E694" s="44"/>
      <c r="F694" s="227"/>
      <c r="G694" s="49">
        <v>1</v>
      </c>
      <c r="H694" s="73"/>
      <c r="I694" s="44"/>
      <c r="J694" s="48">
        <f t="shared" si="30"/>
        <v>1</v>
      </c>
      <c r="K694" s="48">
        <f t="shared" si="31"/>
        <v>0</v>
      </c>
      <c r="L694" s="68">
        <f t="shared" si="32"/>
        <v>0</v>
      </c>
    </row>
    <row r="695" spans="2:12" x14ac:dyDescent="0.85">
      <c r="B695" s="46">
        <v>689</v>
      </c>
      <c r="C695" s="10"/>
      <c r="D695" s="66"/>
      <c r="E695" s="10"/>
      <c r="F695" s="226"/>
      <c r="G695" s="47">
        <v>1</v>
      </c>
      <c r="H695" s="72"/>
      <c r="I695" s="10"/>
      <c r="J695" s="46">
        <f t="shared" si="30"/>
        <v>1</v>
      </c>
      <c r="K695" s="46">
        <f t="shared" si="31"/>
        <v>0</v>
      </c>
      <c r="L695" s="69">
        <f t="shared" si="32"/>
        <v>0</v>
      </c>
    </row>
    <row r="696" spans="2:12" x14ac:dyDescent="0.85">
      <c r="B696" s="48">
        <v>690</v>
      </c>
      <c r="C696" s="44"/>
      <c r="D696" s="50"/>
      <c r="E696" s="44"/>
      <c r="F696" s="227"/>
      <c r="G696" s="49">
        <v>1</v>
      </c>
      <c r="H696" s="73"/>
      <c r="I696" s="44"/>
      <c r="J696" s="48">
        <f t="shared" si="30"/>
        <v>1</v>
      </c>
      <c r="K696" s="48">
        <f t="shared" si="31"/>
        <v>0</v>
      </c>
      <c r="L696" s="68">
        <f t="shared" si="32"/>
        <v>0</v>
      </c>
    </row>
    <row r="697" spans="2:12" x14ac:dyDescent="0.85">
      <c r="B697" s="46">
        <v>691</v>
      </c>
      <c r="C697" s="10"/>
      <c r="D697" s="66"/>
      <c r="E697" s="10"/>
      <c r="F697" s="226"/>
      <c r="G697" s="47">
        <v>1</v>
      </c>
      <c r="H697" s="72"/>
      <c r="I697" s="10"/>
      <c r="J697" s="46">
        <f t="shared" si="30"/>
        <v>1</v>
      </c>
      <c r="K697" s="46">
        <f t="shared" si="31"/>
        <v>0</v>
      </c>
      <c r="L697" s="69">
        <f t="shared" si="32"/>
        <v>0</v>
      </c>
    </row>
    <row r="698" spans="2:12" x14ac:dyDescent="0.85">
      <c r="B698" s="48">
        <v>692</v>
      </c>
      <c r="C698" s="44"/>
      <c r="D698" s="50"/>
      <c r="E698" s="44"/>
      <c r="F698" s="227"/>
      <c r="G698" s="49">
        <v>1</v>
      </c>
      <c r="H698" s="73"/>
      <c r="I698" s="44"/>
      <c r="J698" s="48">
        <f t="shared" si="30"/>
        <v>1</v>
      </c>
      <c r="K698" s="48">
        <f t="shared" si="31"/>
        <v>0</v>
      </c>
      <c r="L698" s="68">
        <f t="shared" si="32"/>
        <v>0</v>
      </c>
    </row>
    <row r="699" spans="2:12" x14ac:dyDescent="0.85">
      <c r="B699" s="46">
        <v>693</v>
      </c>
      <c r="C699" s="10"/>
      <c r="D699" s="66"/>
      <c r="E699" s="10"/>
      <c r="F699" s="226"/>
      <c r="G699" s="47">
        <v>1</v>
      </c>
      <c r="H699" s="72"/>
      <c r="I699" s="10"/>
      <c r="J699" s="46">
        <f t="shared" si="30"/>
        <v>1</v>
      </c>
      <c r="K699" s="46">
        <f t="shared" si="31"/>
        <v>0</v>
      </c>
      <c r="L699" s="69">
        <f t="shared" si="32"/>
        <v>0</v>
      </c>
    </row>
    <row r="700" spans="2:12" x14ac:dyDescent="0.85">
      <c r="B700" s="48">
        <v>694</v>
      </c>
      <c r="C700" s="44"/>
      <c r="D700" s="50"/>
      <c r="E700" s="44"/>
      <c r="F700" s="227"/>
      <c r="G700" s="49">
        <v>1</v>
      </c>
      <c r="H700" s="73"/>
      <c r="I700" s="44"/>
      <c r="J700" s="48">
        <f t="shared" si="30"/>
        <v>1</v>
      </c>
      <c r="K700" s="48">
        <f t="shared" si="31"/>
        <v>0</v>
      </c>
      <c r="L700" s="68">
        <f t="shared" si="32"/>
        <v>0</v>
      </c>
    </row>
    <row r="701" spans="2:12" x14ac:dyDescent="0.85">
      <c r="B701" s="46">
        <v>695</v>
      </c>
      <c r="C701" s="10"/>
      <c r="D701" s="66"/>
      <c r="E701" s="10"/>
      <c r="F701" s="226"/>
      <c r="G701" s="47">
        <v>1</v>
      </c>
      <c r="H701" s="72"/>
      <c r="I701" s="10"/>
      <c r="J701" s="46">
        <f t="shared" si="30"/>
        <v>1</v>
      </c>
      <c r="K701" s="46">
        <f t="shared" si="31"/>
        <v>0</v>
      </c>
      <c r="L701" s="69">
        <f t="shared" si="32"/>
        <v>0</v>
      </c>
    </row>
    <row r="702" spans="2:12" x14ac:dyDescent="0.85">
      <c r="B702" s="48">
        <v>696</v>
      </c>
      <c r="C702" s="44"/>
      <c r="D702" s="50"/>
      <c r="E702" s="44"/>
      <c r="F702" s="227"/>
      <c r="G702" s="49">
        <v>1</v>
      </c>
      <c r="H702" s="73"/>
      <c r="I702" s="44"/>
      <c r="J702" s="48">
        <f t="shared" si="30"/>
        <v>1</v>
      </c>
      <c r="K702" s="48">
        <f t="shared" si="31"/>
        <v>0</v>
      </c>
      <c r="L702" s="68">
        <f t="shared" si="32"/>
        <v>0</v>
      </c>
    </row>
    <row r="703" spans="2:12" x14ac:dyDescent="0.85">
      <c r="B703" s="46">
        <v>697</v>
      </c>
      <c r="C703" s="10"/>
      <c r="D703" s="66"/>
      <c r="E703" s="10"/>
      <c r="F703" s="226"/>
      <c r="G703" s="47">
        <v>1</v>
      </c>
      <c r="H703" s="72"/>
      <c r="I703" s="10"/>
      <c r="J703" s="46">
        <f t="shared" si="30"/>
        <v>1</v>
      </c>
      <c r="K703" s="46">
        <f t="shared" si="31"/>
        <v>0</v>
      </c>
      <c r="L703" s="69">
        <f t="shared" si="32"/>
        <v>0</v>
      </c>
    </row>
    <row r="704" spans="2:12" x14ac:dyDescent="0.85">
      <c r="B704" s="48">
        <v>698</v>
      </c>
      <c r="C704" s="44"/>
      <c r="D704" s="50"/>
      <c r="E704" s="44"/>
      <c r="F704" s="227"/>
      <c r="G704" s="49">
        <v>1</v>
      </c>
      <c r="H704" s="73"/>
      <c r="I704" s="44"/>
      <c r="J704" s="48">
        <f t="shared" si="30"/>
        <v>1</v>
      </c>
      <c r="K704" s="48">
        <f t="shared" si="31"/>
        <v>0</v>
      </c>
      <c r="L704" s="68">
        <f t="shared" si="32"/>
        <v>0</v>
      </c>
    </row>
    <row r="705" spans="2:12" x14ac:dyDescent="0.85">
      <c r="B705" s="46">
        <v>699</v>
      </c>
      <c r="C705" s="10"/>
      <c r="D705" s="66"/>
      <c r="E705" s="10"/>
      <c r="F705" s="226"/>
      <c r="G705" s="47">
        <v>1</v>
      </c>
      <c r="H705" s="72"/>
      <c r="I705" s="10"/>
      <c r="J705" s="46">
        <f t="shared" si="30"/>
        <v>1</v>
      </c>
      <c r="K705" s="46">
        <f t="shared" si="31"/>
        <v>0</v>
      </c>
      <c r="L705" s="69">
        <f t="shared" si="32"/>
        <v>0</v>
      </c>
    </row>
    <row r="706" spans="2:12" x14ac:dyDescent="0.85">
      <c r="B706" s="48">
        <v>700</v>
      </c>
      <c r="C706" s="44"/>
      <c r="D706" s="50"/>
      <c r="E706" s="44"/>
      <c r="F706" s="227"/>
      <c r="G706" s="49">
        <v>1</v>
      </c>
      <c r="H706" s="73"/>
      <c r="I706" s="44"/>
      <c r="J706" s="48">
        <f t="shared" si="30"/>
        <v>1</v>
      </c>
      <c r="K706" s="48">
        <f t="shared" si="31"/>
        <v>0</v>
      </c>
      <c r="L706" s="68">
        <f t="shared" si="32"/>
        <v>0</v>
      </c>
    </row>
    <row r="707" spans="2:12" x14ac:dyDescent="0.85">
      <c r="B707" s="46">
        <v>701</v>
      </c>
      <c r="C707" s="10"/>
      <c r="D707" s="66"/>
      <c r="E707" s="10"/>
      <c r="F707" s="226"/>
      <c r="G707" s="47">
        <v>1</v>
      </c>
      <c r="H707" s="72"/>
      <c r="I707" s="10"/>
      <c r="J707" s="46">
        <f t="shared" si="30"/>
        <v>1</v>
      </c>
      <c r="K707" s="46">
        <f t="shared" si="31"/>
        <v>0</v>
      </c>
      <c r="L707" s="69">
        <f t="shared" si="32"/>
        <v>0</v>
      </c>
    </row>
    <row r="708" spans="2:12" x14ac:dyDescent="0.85">
      <c r="B708" s="48">
        <v>702</v>
      </c>
      <c r="C708" s="44"/>
      <c r="D708" s="50"/>
      <c r="E708" s="44"/>
      <c r="F708" s="227"/>
      <c r="G708" s="49">
        <v>1</v>
      </c>
      <c r="H708" s="73"/>
      <c r="I708" s="44"/>
      <c r="J708" s="48">
        <f t="shared" si="30"/>
        <v>1</v>
      </c>
      <c r="K708" s="48">
        <f t="shared" si="31"/>
        <v>0</v>
      </c>
      <c r="L708" s="68">
        <f t="shared" si="32"/>
        <v>0</v>
      </c>
    </row>
    <row r="709" spans="2:12" x14ac:dyDescent="0.85">
      <c r="B709" s="46">
        <v>703</v>
      </c>
      <c r="C709" s="10"/>
      <c r="D709" s="66"/>
      <c r="E709" s="10"/>
      <c r="F709" s="226"/>
      <c r="G709" s="47">
        <v>1</v>
      </c>
      <c r="H709" s="72"/>
      <c r="I709" s="10"/>
      <c r="J709" s="46">
        <f t="shared" si="30"/>
        <v>1</v>
      </c>
      <c r="K709" s="46">
        <f t="shared" si="31"/>
        <v>0</v>
      </c>
      <c r="L709" s="69">
        <f t="shared" si="32"/>
        <v>0</v>
      </c>
    </row>
    <row r="710" spans="2:12" x14ac:dyDescent="0.85">
      <c r="B710" s="48">
        <v>704</v>
      </c>
      <c r="C710" s="44"/>
      <c r="D710" s="50"/>
      <c r="E710" s="44"/>
      <c r="F710" s="227"/>
      <c r="G710" s="49">
        <v>1</v>
      </c>
      <c r="H710" s="73"/>
      <c r="I710" s="44"/>
      <c r="J710" s="48">
        <f t="shared" si="30"/>
        <v>1</v>
      </c>
      <c r="K710" s="48">
        <f t="shared" si="31"/>
        <v>0</v>
      </c>
      <c r="L710" s="68">
        <f t="shared" si="32"/>
        <v>0</v>
      </c>
    </row>
    <row r="711" spans="2:12" x14ac:dyDescent="0.85">
      <c r="B711" s="46">
        <v>705</v>
      </c>
      <c r="C711" s="10"/>
      <c r="D711" s="66"/>
      <c r="E711" s="10"/>
      <c r="F711" s="226"/>
      <c r="G711" s="47">
        <v>1</v>
      </c>
      <c r="H711" s="72"/>
      <c r="I711" s="10"/>
      <c r="J711" s="46">
        <f t="shared" ref="J711:J774" si="33">IF(ISBLANK(H711),1,H711)</f>
        <v>1</v>
      </c>
      <c r="K711" s="46">
        <f t="shared" ref="K711:K774" si="34">IF(COUNTIF(FreeElements, E711)&gt;0, F711, 0)</f>
        <v>0</v>
      </c>
      <c r="L711" s="69">
        <f t="shared" ref="L711:L774" si="35">J711*K711</f>
        <v>0</v>
      </c>
    </row>
    <row r="712" spans="2:12" x14ac:dyDescent="0.85">
      <c r="B712" s="48">
        <v>706</v>
      </c>
      <c r="C712" s="44"/>
      <c r="D712" s="50"/>
      <c r="E712" s="44"/>
      <c r="F712" s="227"/>
      <c r="G712" s="49">
        <v>1</v>
      </c>
      <c r="H712" s="73"/>
      <c r="I712" s="44"/>
      <c r="J712" s="48">
        <f t="shared" si="33"/>
        <v>1</v>
      </c>
      <c r="K712" s="48">
        <f t="shared" si="34"/>
        <v>0</v>
      </c>
      <c r="L712" s="68">
        <f t="shared" si="35"/>
        <v>0</v>
      </c>
    </row>
    <row r="713" spans="2:12" x14ac:dyDescent="0.85">
      <c r="B713" s="46">
        <v>707</v>
      </c>
      <c r="C713" s="10"/>
      <c r="D713" s="66"/>
      <c r="E713" s="10"/>
      <c r="F713" s="226"/>
      <c r="G713" s="47">
        <v>1</v>
      </c>
      <c r="H713" s="72"/>
      <c r="I713" s="10"/>
      <c r="J713" s="46">
        <f t="shared" si="33"/>
        <v>1</v>
      </c>
      <c r="K713" s="46">
        <f t="shared" si="34"/>
        <v>0</v>
      </c>
      <c r="L713" s="69">
        <f t="shared" si="35"/>
        <v>0</v>
      </c>
    </row>
    <row r="714" spans="2:12" x14ac:dyDescent="0.85">
      <c r="B714" s="48">
        <v>708</v>
      </c>
      <c r="C714" s="44"/>
      <c r="D714" s="50"/>
      <c r="E714" s="44"/>
      <c r="F714" s="227"/>
      <c r="G714" s="49">
        <v>1</v>
      </c>
      <c r="H714" s="73"/>
      <c r="I714" s="44"/>
      <c r="J714" s="48">
        <f t="shared" si="33"/>
        <v>1</v>
      </c>
      <c r="K714" s="48">
        <f t="shared" si="34"/>
        <v>0</v>
      </c>
      <c r="L714" s="68">
        <f t="shared" si="35"/>
        <v>0</v>
      </c>
    </row>
    <row r="715" spans="2:12" x14ac:dyDescent="0.85">
      <c r="B715" s="46">
        <v>709</v>
      </c>
      <c r="C715" s="10"/>
      <c r="D715" s="66"/>
      <c r="E715" s="10"/>
      <c r="F715" s="226"/>
      <c r="G715" s="47">
        <v>1</v>
      </c>
      <c r="H715" s="72"/>
      <c r="I715" s="10"/>
      <c r="J715" s="46">
        <f t="shared" si="33"/>
        <v>1</v>
      </c>
      <c r="K715" s="46">
        <f t="shared" si="34"/>
        <v>0</v>
      </c>
      <c r="L715" s="69">
        <f t="shared" si="35"/>
        <v>0</v>
      </c>
    </row>
    <row r="716" spans="2:12" x14ac:dyDescent="0.85">
      <c r="B716" s="48">
        <v>710</v>
      </c>
      <c r="C716" s="44"/>
      <c r="D716" s="50"/>
      <c r="E716" s="44"/>
      <c r="F716" s="227"/>
      <c r="G716" s="49">
        <v>1</v>
      </c>
      <c r="H716" s="73"/>
      <c r="I716" s="44"/>
      <c r="J716" s="48">
        <f t="shared" si="33"/>
        <v>1</v>
      </c>
      <c r="K716" s="48">
        <f t="shared" si="34"/>
        <v>0</v>
      </c>
      <c r="L716" s="68">
        <f t="shared" si="35"/>
        <v>0</v>
      </c>
    </row>
    <row r="717" spans="2:12" x14ac:dyDescent="0.85">
      <c r="B717" s="46">
        <v>711</v>
      </c>
      <c r="C717" s="10"/>
      <c r="D717" s="66"/>
      <c r="E717" s="10"/>
      <c r="F717" s="226"/>
      <c r="G717" s="47">
        <v>1</v>
      </c>
      <c r="H717" s="72"/>
      <c r="I717" s="10"/>
      <c r="J717" s="46">
        <f t="shared" si="33"/>
        <v>1</v>
      </c>
      <c r="K717" s="46">
        <f t="shared" si="34"/>
        <v>0</v>
      </c>
      <c r="L717" s="69">
        <f t="shared" si="35"/>
        <v>0</v>
      </c>
    </row>
    <row r="718" spans="2:12" x14ac:dyDescent="0.85">
      <c r="B718" s="48">
        <v>712</v>
      </c>
      <c r="C718" s="44"/>
      <c r="D718" s="50"/>
      <c r="E718" s="44"/>
      <c r="F718" s="227"/>
      <c r="G718" s="49">
        <v>1</v>
      </c>
      <c r="H718" s="73"/>
      <c r="I718" s="44"/>
      <c r="J718" s="48">
        <f t="shared" si="33"/>
        <v>1</v>
      </c>
      <c r="K718" s="48">
        <f t="shared" si="34"/>
        <v>0</v>
      </c>
      <c r="L718" s="68">
        <f t="shared" si="35"/>
        <v>0</v>
      </c>
    </row>
    <row r="719" spans="2:12" x14ac:dyDescent="0.85">
      <c r="B719" s="46">
        <v>713</v>
      </c>
      <c r="C719" s="10"/>
      <c r="D719" s="66"/>
      <c r="E719" s="10"/>
      <c r="F719" s="226"/>
      <c r="G719" s="47">
        <v>1</v>
      </c>
      <c r="H719" s="72"/>
      <c r="I719" s="10"/>
      <c r="J719" s="46">
        <f t="shared" si="33"/>
        <v>1</v>
      </c>
      <c r="K719" s="46">
        <f t="shared" si="34"/>
        <v>0</v>
      </c>
      <c r="L719" s="69">
        <f t="shared" si="35"/>
        <v>0</v>
      </c>
    </row>
    <row r="720" spans="2:12" x14ac:dyDescent="0.85">
      <c r="B720" s="48">
        <v>714</v>
      </c>
      <c r="C720" s="44"/>
      <c r="D720" s="50"/>
      <c r="E720" s="44"/>
      <c r="F720" s="227"/>
      <c r="G720" s="49">
        <v>1</v>
      </c>
      <c r="H720" s="73"/>
      <c r="I720" s="44"/>
      <c r="J720" s="48">
        <f t="shared" si="33"/>
        <v>1</v>
      </c>
      <c r="K720" s="48">
        <f t="shared" si="34"/>
        <v>0</v>
      </c>
      <c r="L720" s="68">
        <f t="shared" si="35"/>
        <v>0</v>
      </c>
    </row>
    <row r="721" spans="2:12" x14ac:dyDescent="0.85">
      <c r="B721" s="46">
        <v>715</v>
      </c>
      <c r="C721" s="10"/>
      <c r="D721" s="66"/>
      <c r="E721" s="10"/>
      <c r="F721" s="226"/>
      <c r="G721" s="47">
        <v>1</v>
      </c>
      <c r="H721" s="72"/>
      <c r="I721" s="10"/>
      <c r="J721" s="46">
        <f t="shared" si="33"/>
        <v>1</v>
      </c>
      <c r="K721" s="46">
        <f t="shared" si="34"/>
        <v>0</v>
      </c>
      <c r="L721" s="69">
        <f t="shared" si="35"/>
        <v>0</v>
      </c>
    </row>
    <row r="722" spans="2:12" x14ac:dyDescent="0.85">
      <c r="B722" s="48">
        <v>716</v>
      </c>
      <c r="C722" s="44"/>
      <c r="D722" s="50"/>
      <c r="E722" s="44"/>
      <c r="F722" s="227"/>
      <c r="G722" s="49">
        <v>1</v>
      </c>
      <c r="H722" s="73"/>
      <c r="I722" s="44"/>
      <c r="J722" s="48">
        <f t="shared" si="33"/>
        <v>1</v>
      </c>
      <c r="K722" s="48">
        <f t="shared" si="34"/>
        <v>0</v>
      </c>
      <c r="L722" s="68">
        <f t="shared" si="35"/>
        <v>0</v>
      </c>
    </row>
    <row r="723" spans="2:12" x14ac:dyDescent="0.85">
      <c r="B723" s="46">
        <v>717</v>
      </c>
      <c r="C723" s="10"/>
      <c r="D723" s="66"/>
      <c r="E723" s="10"/>
      <c r="F723" s="226"/>
      <c r="G723" s="47">
        <v>1</v>
      </c>
      <c r="H723" s="72"/>
      <c r="I723" s="10"/>
      <c r="J723" s="46">
        <f t="shared" si="33"/>
        <v>1</v>
      </c>
      <c r="K723" s="46">
        <f t="shared" si="34"/>
        <v>0</v>
      </c>
      <c r="L723" s="69">
        <f t="shared" si="35"/>
        <v>0</v>
      </c>
    </row>
    <row r="724" spans="2:12" x14ac:dyDescent="0.85">
      <c r="B724" s="48">
        <v>718</v>
      </c>
      <c r="C724" s="44"/>
      <c r="D724" s="50"/>
      <c r="E724" s="44"/>
      <c r="F724" s="227"/>
      <c r="G724" s="49">
        <v>1</v>
      </c>
      <c r="H724" s="73"/>
      <c r="I724" s="44"/>
      <c r="J724" s="48">
        <f t="shared" si="33"/>
        <v>1</v>
      </c>
      <c r="K724" s="48">
        <f t="shared" si="34"/>
        <v>0</v>
      </c>
      <c r="L724" s="68">
        <f t="shared" si="35"/>
        <v>0</v>
      </c>
    </row>
    <row r="725" spans="2:12" x14ac:dyDescent="0.85">
      <c r="B725" s="46">
        <v>719</v>
      </c>
      <c r="C725" s="10"/>
      <c r="D725" s="66"/>
      <c r="E725" s="10"/>
      <c r="F725" s="226"/>
      <c r="G725" s="47">
        <v>1</v>
      </c>
      <c r="H725" s="72"/>
      <c r="I725" s="10"/>
      <c r="J725" s="46">
        <f t="shared" si="33"/>
        <v>1</v>
      </c>
      <c r="K725" s="46">
        <f t="shared" si="34"/>
        <v>0</v>
      </c>
      <c r="L725" s="69">
        <f t="shared" si="35"/>
        <v>0</v>
      </c>
    </row>
    <row r="726" spans="2:12" x14ac:dyDescent="0.85">
      <c r="B726" s="48">
        <v>720</v>
      </c>
      <c r="C726" s="44"/>
      <c r="D726" s="50"/>
      <c r="E726" s="44"/>
      <c r="F726" s="227"/>
      <c r="G726" s="49">
        <v>1</v>
      </c>
      <c r="H726" s="73"/>
      <c r="I726" s="44"/>
      <c r="J726" s="48">
        <f t="shared" si="33"/>
        <v>1</v>
      </c>
      <c r="K726" s="48">
        <f t="shared" si="34"/>
        <v>0</v>
      </c>
      <c r="L726" s="68">
        <f t="shared" si="35"/>
        <v>0</v>
      </c>
    </row>
    <row r="727" spans="2:12" x14ac:dyDescent="0.85">
      <c r="B727" s="46">
        <v>721</v>
      </c>
      <c r="C727" s="10"/>
      <c r="D727" s="66"/>
      <c r="E727" s="10"/>
      <c r="F727" s="226"/>
      <c r="G727" s="47">
        <v>1</v>
      </c>
      <c r="H727" s="72"/>
      <c r="I727" s="10"/>
      <c r="J727" s="46">
        <f t="shared" si="33"/>
        <v>1</v>
      </c>
      <c r="K727" s="46">
        <f t="shared" si="34"/>
        <v>0</v>
      </c>
      <c r="L727" s="69">
        <f t="shared" si="35"/>
        <v>0</v>
      </c>
    </row>
    <row r="728" spans="2:12" x14ac:dyDescent="0.85">
      <c r="B728" s="48">
        <v>722</v>
      </c>
      <c r="C728" s="44"/>
      <c r="D728" s="50"/>
      <c r="E728" s="44"/>
      <c r="F728" s="227"/>
      <c r="G728" s="49">
        <v>1</v>
      </c>
      <c r="H728" s="73"/>
      <c r="I728" s="44"/>
      <c r="J728" s="48">
        <f t="shared" si="33"/>
        <v>1</v>
      </c>
      <c r="K728" s="48">
        <f t="shared" si="34"/>
        <v>0</v>
      </c>
      <c r="L728" s="68">
        <f t="shared" si="35"/>
        <v>0</v>
      </c>
    </row>
    <row r="729" spans="2:12" x14ac:dyDescent="0.85">
      <c r="B729" s="46">
        <v>723</v>
      </c>
      <c r="C729" s="10"/>
      <c r="D729" s="66"/>
      <c r="E729" s="10"/>
      <c r="F729" s="226"/>
      <c r="G729" s="47">
        <v>1</v>
      </c>
      <c r="H729" s="72"/>
      <c r="I729" s="10"/>
      <c r="J729" s="46">
        <f t="shared" si="33"/>
        <v>1</v>
      </c>
      <c r="K729" s="46">
        <f t="shared" si="34"/>
        <v>0</v>
      </c>
      <c r="L729" s="69">
        <f t="shared" si="35"/>
        <v>0</v>
      </c>
    </row>
    <row r="730" spans="2:12" x14ac:dyDescent="0.85">
      <c r="B730" s="48">
        <v>724</v>
      </c>
      <c r="C730" s="44"/>
      <c r="D730" s="50"/>
      <c r="E730" s="44"/>
      <c r="F730" s="227"/>
      <c r="G730" s="49">
        <v>1</v>
      </c>
      <c r="H730" s="73"/>
      <c r="I730" s="44"/>
      <c r="J730" s="48">
        <f t="shared" si="33"/>
        <v>1</v>
      </c>
      <c r="K730" s="48">
        <f t="shared" si="34"/>
        <v>0</v>
      </c>
      <c r="L730" s="68">
        <f t="shared" si="35"/>
        <v>0</v>
      </c>
    </row>
    <row r="731" spans="2:12" x14ac:dyDescent="0.85">
      <c r="B731" s="46">
        <v>725</v>
      </c>
      <c r="C731" s="10"/>
      <c r="D731" s="66"/>
      <c r="E731" s="10"/>
      <c r="F731" s="226"/>
      <c r="G731" s="47">
        <v>1</v>
      </c>
      <c r="H731" s="72"/>
      <c r="I731" s="10"/>
      <c r="J731" s="46">
        <f t="shared" si="33"/>
        <v>1</v>
      </c>
      <c r="K731" s="46">
        <f t="shared" si="34"/>
        <v>0</v>
      </c>
      <c r="L731" s="69">
        <f t="shared" si="35"/>
        <v>0</v>
      </c>
    </row>
    <row r="732" spans="2:12" x14ac:dyDescent="0.85">
      <c r="B732" s="48">
        <v>726</v>
      </c>
      <c r="C732" s="44"/>
      <c r="D732" s="50"/>
      <c r="E732" s="44"/>
      <c r="F732" s="227"/>
      <c r="G732" s="49">
        <v>1</v>
      </c>
      <c r="H732" s="73"/>
      <c r="I732" s="44"/>
      <c r="J732" s="48">
        <f t="shared" si="33"/>
        <v>1</v>
      </c>
      <c r="K732" s="48">
        <f t="shared" si="34"/>
        <v>0</v>
      </c>
      <c r="L732" s="68">
        <f t="shared" si="35"/>
        <v>0</v>
      </c>
    </row>
    <row r="733" spans="2:12" x14ac:dyDescent="0.85">
      <c r="B733" s="46">
        <v>727</v>
      </c>
      <c r="C733" s="10"/>
      <c r="D733" s="66"/>
      <c r="E733" s="10"/>
      <c r="F733" s="226"/>
      <c r="G733" s="47">
        <v>1</v>
      </c>
      <c r="H733" s="72"/>
      <c r="I733" s="10"/>
      <c r="J733" s="46">
        <f t="shared" si="33"/>
        <v>1</v>
      </c>
      <c r="K733" s="46">
        <f t="shared" si="34"/>
        <v>0</v>
      </c>
      <c r="L733" s="69">
        <f t="shared" si="35"/>
        <v>0</v>
      </c>
    </row>
    <row r="734" spans="2:12" x14ac:dyDescent="0.85">
      <c r="B734" s="48">
        <v>728</v>
      </c>
      <c r="C734" s="44"/>
      <c r="D734" s="50"/>
      <c r="E734" s="44"/>
      <c r="F734" s="227"/>
      <c r="G734" s="49">
        <v>1</v>
      </c>
      <c r="H734" s="73"/>
      <c r="I734" s="44"/>
      <c r="J734" s="48">
        <f t="shared" si="33"/>
        <v>1</v>
      </c>
      <c r="K734" s="48">
        <f t="shared" si="34"/>
        <v>0</v>
      </c>
      <c r="L734" s="68">
        <f t="shared" si="35"/>
        <v>0</v>
      </c>
    </row>
    <row r="735" spans="2:12" x14ac:dyDescent="0.85">
      <c r="B735" s="46">
        <v>729</v>
      </c>
      <c r="C735" s="10"/>
      <c r="D735" s="66"/>
      <c r="E735" s="10"/>
      <c r="F735" s="226"/>
      <c r="G735" s="47">
        <v>1</v>
      </c>
      <c r="H735" s="72"/>
      <c r="I735" s="10"/>
      <c r="J735" s="46">
        <f t="shared" si="33"/>
        <v>1</v>
      </c>
      <c r="K735" s="46">
        <f t="shared" si="34"/>
        <v>0</v>
      </c>
      <c r="L735" s="69">
        <f t="shared" si="35"/>
        <v>0</v>
      </c>
    </row>
    <row r="736" spans="2:12" x14ac:dyDescent="0.85">
      <c r="B736" s="48">
        <v>730</v>
      </c>
      <c r="C736" s="44"/>
      <c r="D736" s="50"/>
      <c r="E736" s="44"/>
      <c r="F736" s="227"/>
      <c r="G736" s="49">
        <v>1</v>
      </c>
      <c r="H736" s="73"/>
      <c r="I736" s="44"/>
      <c r="J736" s="48">
        <f t="shared" si="33"/>
        <v>1</v>
      </c>
      <c r="K736" s="48">
        <f t="shared" si="34"/>
        <v>0</v>
      </c>
      <c r="L736" s="68">
        <f t="shared" si="35"/>
        <v>0</v>
      </c>
    </row>
    <row r="737" spans="2:12" x14ac:dyDescent="0.85">
      <c r="B737" s="46">
        <v>731</v>
      </c>
      <c r="C737" s="10"/>
      <c r="D737" s="66"/>
      <c r="E737" s="10"/>
      <c r="F737" s="226"/>
      <c r="G737" s="47">
        <v>1</v>
      </c>
      <c r="H737" s="72"/>
      <c r="I737" s="10"/>
      <c r="J737" s="46">
        <f t="shared" si="33"/>
        <v>1</v>
      </c>
      <c r="K737" s="46">
        <f t="shared" si="34"/>
        <v>0</v>
      </c>
      <c r="L737" s="69">
        <f t="shared" si="35"/>
        <v>0</v>
      </c>
    </row>
    <row r="738" spans="2:12" x14ac:dyDescent="0.85">
      <c r="B738" s="48">
        <v>732</v>
      </c>
      <c r="C738" s="44"/>
      <c r="D738" s="50"/>
      <c r="E738" s="44"/>
      <c r="F738" s="227"/>
      <c r="G738" s="49">
        <v>1</v>
      </c>
      <c r="H738" s="73"/>
      <c r="I738" s="44"/>
      <c r="J738" s="48">
        <f t="shared" si="33"/>
        <v>1</v>
      </c>
      <c r="K738" s="48">
        <f t="shared" si="34"/>
        <v>0</v>
      </c>
      <c r="L738" s="68">
        <f t="shared" si="35"/>
        <v>0</v>
      </c>
    </row>
    <row r="739" spans="2:12" x14ac:dyDescent="0.85">
      <c r="B739" s="46">
        <v>733</v>
      </c>
      <c r="C739" s="10"/>
      <c r="D739" s="66"/>
      <c r="E739" s="10"/>
      <c r="F739" s="226"/>
      <c r="G739" s="47">
        <v>1</v>
      </c>
      <c r="H739" s="72"/>
      <c r="I739" s="10"/>
      <c r="J739" s="46">
        <f t="shared" si="33"/>
        <v>1</v>
      </c>
      <c r="K739" s="46">
        <f t="shared" si="34"/>
        <v>0</v>
      </c>
      <c r="L739" s="69">
        <f t="shared" si="35"/>
        <v>0</v>
      </c>
    </row>
    <row r="740" spans="2:12" x14ac:dyDescent="0.85">
      <c r="B740" s="48">
        <v>734</v>
      </c>
      <c r="C740" s="44"/>
      <c r="D740" s="50"/>
      <c r="E740" s="44"/>
      <c r="F740" s="227"/>
      <c r="G740" s="49">
        <v>1</v>
      </c>
      <c r="H740" s="73"/>
      <c r="I740" s="44"/>
      <c r="J740" s="48">
        <f t="shared" si="33"/>
        <v>1</v>
      </c>
      <c r="K740" s="48">
        <f t="shared" si="34"/>
        <v>0</v>
      </c>
      <c r="L740" s="68">
        <f t="shared" si="35"/>
        <v>0</v>
      </c>
    </row>
    <row r="741" spans="2:12" x14ac:dyDescent="0.85">
      <c r="B741" s="46">
        <v>735</v>
      </c>
      <c r="C741" s="10"/>
      <c r="D741" s="66"/>
      <c r="E741" s="10"/>
      <c r="F741" s="226"/>
      <c r="G741" s="47">
        <v>1</v>
      </c>
      <c r="H741" s="72"/>
      <c r="I741" s="10"/>
      <c r="J741" s="46">
        <f t="shared" si="33"/>
        <v>1</v>
      </c>
      <c r="K741" s="46">
        <f t="shared" si="34"/>
        <v>0</v>
      </c>
      <c r="L741" s="69">
        <f t="shared" si="35"/>
        <v>0</v>
      </c>
    </row>
    <row r="742" spans="2:12" x14ac:dyDescent="0.85">
      <c r="B742" s="48">
        <v>736</v>
      </c>
      <c r="C742" s="44"/>
      <c r="D742" s="50"/>
      <c r="E742" s="44"/>
      <c r="F742" s="227"/>
      <c r="G742" s="49">
        <v>1</v>
      </c>
      <c r="H742" s="73"/>
      <c r="I742" s="44"/>
      <c r="J742" s="48">
        <f t="shared" si="33"/>
        <v>1</v>
      </c>
      <c r="K742" s="48">
        <f t="shared" si="34"/>
        <v>0</v>
      </c>
      <c r="L742" s="68">
        <f t="shared" si="35"/>
        <v>0</v>
      </c>
    </row>
    <row r="743" spans="2:12" x14ac:dyDescent="0.85">
      <c r="B743" s="46">
        <v>737</v>
      </c>
      <c r="C743" s="10"/>
      <c r="D743" s="66"/>
      <c r="E743" s="10"/>
      <c r="F743" s="226"/>
      <c r="G743" s="47">
        <v>1</v>
      </c>
      <c r="H743" s="72"/>
      <c r="I743" s="10"/>
      <c r="J743" s="46">
        <f t="shared" si="33"/>
        <v>1</v>
      </c>
      <c r="K743" s="46">
        <f t="shared" si="34"/>
        <v>0</v>
      </c>
      <c r="L743" s="69">
        <f t="shared" si="35"/>
        <v>0</v>
      </c>
    </row>
    <row r="744" spans="2:12" x14ac:dyDescent="0.85">
      <c r="B744" s="48">
        <v>738</v>
      </c>
      <c r="C744" s="44"/>
      <c r="D744" s="50"/>
      <c r="E744" s="44"/>
      <c r="F744" s="227"/>
      <c r="G744" s="49">
        <v>1</v>
      </c>
      <c r="H744" s="73"/>
      <c r="I744" s="44"/>
      <c r="J744" s="48">
        <f t="shared" si="33"/>
        <v>1</v>
      </c>
      <c r="K744" s="48">
        <f t="shared" si="34"/>
        <v>0</v>
      </c>
      <c r="L744" s="68">
        <f t="shared" si="35"/>
        <v>0</v>
      </c>
    </row>
    <row r="745" spans="2:12" x14ac:dyDescent="0.85">
      <c r="B745" s="46">
        <v>739</v>
      </c>
      <c r="C745" s="10"/>
      <c r="D745" s="66"/>
      <c r="E745" s="10"/>
      <c r="F745" s="226"/>
      <c r="G745" s="47">
        <v>1</v>
      </c>
      <c r="H745" s="72"/>
      <c r="I745" s="10"/>
      <c r="J745" s="46">
        <f t="shared" si="33"/>
        <v>1</v>
      </c>
      <c r="K745" s="46">
        <f t="shared" si="34"/>
        <v>0</v>
      </c>
      <c r="L745" s="69">
        <f t="shared" si="35"/>
        <v>0</v>
      </c>
    </row>
    <row r="746" spans="2:12" x14ac:dyDescent="0.85">
      <c r="B746" s="48">
        <v>740</v>
      </c>
      <c r="C746" s="44"/>
      <c r="D746" s="50"/>
      <c r="E746" s="44"/>
      <c r="F746" s="227"/>
      <c r="G746" s="49">
        <v>1</v>
      </c>
      <c r="H746" s="73"/>
      <c r="I746" s="44"/>
      <c r="J746" s="48">
        <f t="shared" si="33"/>
        <v>1</v>
      </c>
      <c r="K746" s="48">
        <f t="shared" si="34"/>
        <v>0</v>
      </c>
      <c r="L746" s="68">
        <f t="shared" si="35"/>
        <v>0</v>
      </c>
    </row>
    <row r="747" spans="2:12" x14ac:dyDescent="0.85">
      <c r="B747" s="46">
        <v>741</v>
      </c>
      <c r="C747" s="10"/>
      <c r="D747" s="66"/>
      <c r="E747" s="10"/>
      <c r="F747" s="226"/>
      <c r="G747" s="47">
        <v>1</v>
      </c>
      <c r="H747" s="72"/>
      <c r="I747" s="10"/>
      <c r="J747" s="46">
        <f t="shared" si="33"/>
        <v>1</v>
      </c>
      <c r="K747" s="46">
        <f t="shared" si="34"/>
        <v>0</v>
      </c>
      <c r="L747" s="69">
        <f t="shared" si="35"/>
        <v>0</v>
      </c>
    </row>
    <row r="748" spans="2:12" x14ac:dyDescent="0.85">
      <c r="B748" s="48">
        <v>742</v>
      </c>
      <c r="C748" s="44"/>
      <c r="D748" s="50"/>
      <c r="E748" s="44"/>
      <c r="F748" s="227"/>
      <c r="G748" s="49">
        <v>1</v>
      </c>
      <c r="H748" s="73"/>
      <c r="I748" s="44"/>
      <c r="J748" s="48">
        <f t="shared" si="33"/>
        <v>1</v>
      </c>
      <c r="K748" s="48">
        <f t="shared" si="34"/>
        <v>0</v>
      </c>
      <c r="L748" s="68">
        <f t="shared" si="35"/>
        <v>0</v>
      </c>
    </row>
    <row r="749" spans="2:12" x14ac:dyDescent="0.85">
      <c r="B749" s="46">
        <v>743</v>
      </c>
      <c r="C749" s="10"/>
      <c r="D749" s="66"/>
      <c r="E749" s="10"/>
      <c r="F749" s="226"/>
      <c r="G749" s="47">
        <v>1</v>
      </c>
      <c r="H749" s="72"/>
      <c r="I749" s="10"/>
      <c r="J749" s="46">
        <f t="shared" si="33"/>
        <v>1</v>
      </c>
      <c r="K749" s="46">
        <f t="shared" si="34"/>
        <v>0</v>
      </c>
      <c r="L749" s="69">
        <f t="shared" si="35"/>
        <v>0</v>
      </c>
    </row>
    <row r="750" spans="2:12" x14ac:dyDescent="0.85">
      <c r="B750" s="48">
        <v>744</v>
      </c>
      <c r="C750" s="44"/>
      <c r="D750" s="50"/>
      <c r="E750" s="44"/>
      <c r="F750" s="227"/>
      <c r="G750" s="49">
        <v>1</v>
      </c>
      <c r="H750" s="73"/>
      <c r="I750" s="44"/>
      <c r="J750" s="48">
        <f t="shared" si="33"/>
        <v>1</v>
      </c>
      <c r="K750" s="48">
        <f t="shared" si="34"/>
        <v>0</v>
      </c>
      <c r="L750" s="68">
        <f t="shared" si="35"/>
        <v>0</v>
      </c>
    </row>
    <row r="751" spans="2:12" x14ac:dyDescent="0.85">
      <c r="B751" s="46">
        <v>745</v>
      </c>
      <c r="C751" s="10"/>
      <c r="D751" s="66"/>
      <c r="E751" s="10"/>
      <c r="F751" s="226"/>
      <c r="G751" s="47">
        <v>1</v>
      </c>
      <c r="H751" s="72"/>
      <c r="I751" s="10"/>
      <c r="J751" s="46">
        <f t="shared" si="33"/>
        <v>1</v>
      </c>
      <c r="K751" s="46">
        <f t="shared" si="34"/>
        <v>0</v>
      </c>
      <c r="L751" s="69">
        <f t="shared" si="35"/>
        <v>0</v>
      </c>
    </row>
    <row r="752" spans="2:12" x14ac:dyDescent="0.85">
      <c r="B752" s="48">
        <v>746</v>
      </c>
      <c r="C752" s="44"/>
      <c r="D752" s="50"/>
      <c r="E752" s="44"/>
      <c r="F752" s="227"/>
      <c r="G752" s="49">
        <v>1</v>
      </c>
      <c r="H752" s="73"/>
      <c r="I752" s="44"/>
      <c r="J752" s="48">
        <f t="shared" si="33"/>
        <v>1</v>
      </c>
      <c r="K752" s="48">
        <f t="shared" si="34"/>
        <v>0</v>
      </c>
      <c r="L752" s="68">
        <f t="shared" si="35"/>
        <v>0</v>
      </c>
    </row>
    <row r="753" spans="2:12" x14ac:dyDescent="0.85">
      <c r="B753" s="46">
        <v>747</v>
      </c>
      <c r="C753" s="10"/>
      <c r="D753" s="66"/>
      <c r="E753" s="10"/>
      <c r="F753" s="226"/>
      <c r="G753" s="47">
        <v>1</v>
      </c>
      <c r="H753" s="72"/>
      <c r="I753" s="10"/>
      <c r="J753" s="46">
        <f t="shared" si="33"/>
        <v>1</v>
      </c>
      <c r="K753" s="46">
        <f t="shared" si="34"/>
        <v>0</v>
      </c>
      <c r="L753" s="69">
        <f t="shared" si="35"/>
        <v>0</v>
      </c>
    </row>
    <row r="754" spans="2:12" x14ac:dyDescent="0.85">
      <c r="B754" s="48">
        <v>748</v>
      </c>
      <c r="C754" s="44"/>
      <c r="D754" s="50"/>
      <c r="E754" s="44"/>
      <c r="F754" s="227"/>
      <c r="G754" s="49">
        <v>1</v>
      </c>
      <c r="H754" s="73"/>
      <c r="I754" s="44"/>
      <c r="J754" s="48">
        <f t="shared" si="33"/>
        <v>1</v>
      </c>
      <c r="K754" s="48">
        <f t="shared" si="34"/>
        <v>0</v>
      </c>
      <c r="L754" s="68">
        <f t="shared" si="35"/>
        <v>0</v>
      </c>
    </row>
    <row r="755" spans="2:12" x14ac:dyDescent="0.85">
      <c r="B755" s="46">
        <v>749</v>
      </c>
      <c r="C755" s="10"/>
      <c r="D755" s="66"/>
      <c r="E755" s="10"/>
      <c r="F755" s="226"/>
      <c r="G755" s="47">
        <v>1</v>
      </c>
      <c r="H755" s="72"/>
      <c r="I755" s="10"/>
      <c r="J755" s="46">
        <f t="shared" si="33"/>
        <v>1</v>
      </c>
      <c r="K755" s="46">
        <f t="shared" si="34"/>
        <v>0</v>
      </c>
      <c r="L755" s="69">
        <f t="shared" si="35"/>
        <v>0</v>
      </c>
    </row>
    <row r="756" spans="2:12" x14ac:dyDescent="0.85">
      <c r="B756" s="48">
        <v>750</v>
      </c>
      <c r="C756" s="44"/>
      <c r="D756" s="50"/>
      <c r="E756" s="44"/>
      <c r="F756" s="227"/>
      <c r="G756" s="49">
        <v>1</v>
      </c>
      <c r="H756" s="73"/>
      <c r="I756" s="44"/>
      <c r="J756" s="48">
        <f t="shared" si="33"/>
        <v>1</v>
      </c>
      <c r="K756" s="48">
        <f t="shared" si="34"/>
        <v>0</v>
      </c>
      <c r="L756" s="68">
        <f t="shared" si="35"/>
        <v>0</v>
      </c>
    </row>
    <row r="757" spans="2:12" x14ac:dyDescent="0.85">
      <c r="B757" s="46">
        <v>751</v>
      </c>
      <c r="C757" s="10"/>
      <c r="D757" s="66"/>
      <c r="E757" s="10"/>
      <c r="F757" s="226"/>
      <c r="G757" s="47">
        <v>1</v>
      </c>
      <c r="H757" s="72"/>
      <c r="I757" s="10"/>
      <c r="J757" s="46">
        <f t="shared" si="33"/>
        <v>1</v>
      </c>
      <c r="K757" s="46">
        <f t="shared" si="34"/>
        <v>0</v>
      </c>
      <c r="L757" s="69">
        <f t="shared" si="35"/>
        <v>0</v>
      </c>
    </row>
    <row r="758" spans="2:12" x14ac:dyDescent="0.85">
      <c r="B758" s="48">
        <v>752</v>
      </c>
      <c r="C758" s="44"/>
      <c r="D758" s="50"/>
      <c r="E758" s="44"/>
      <c r="F758" s="227"/>
      <c r="G758" s="49">
        <v>1</v>
      </c>
      <c r="H758" s="73"/>
      <c r="I758" s="44"/>
      <c r="J758" s="48">
        <f t="shared" si="33"/>
        <v>1</v>
      </c>
      <c r="K758" s="48">
        <f t="shared" si="34"/>
        <v>0</v>
      </c>
      <c r="L758" s="68">
        <f t="shared" si="35"/>
        <v>0</v>
      </c>
    </row>
    <row r="759" spans="2:12" x14ac:dyDescent="0.85">
      <c r="B759" s="46">
        <v>753</v>
      </c>
      <c r="C759" s="10"/>
      <c r="D759" s="66"/>
      <c r="E759" s="10"/>
      <c r="F759" s="226"/>
      <c r="G759" s="47">
        <v>1</v>
      </c>
      <c r="H759" s="72"/>
      <c r="I759" s="10"/>
      <c r="J759" s="46">
        <f t="shared" si="33"/>
        <v>1</v>
      </c>
      <c r="K759" s="46">
        <f t="shared" si="34"/>
        <v>0</v>
      </c>
      <c r="L759" s="69">
        <f t="shared" si="35"/>
        <v>0</v>
      </c>
    </row>
    <row r="760" spans="2:12" x14ac:dyDescent="0.85">
      <c r="B760" s="48">
        <v>754</v>
      </c>
      <c r="C760" s="44"/>
      <c r="D760" s="50"/>
      <c r="E760" s="44"/>
      <c r="F760" s="227"/>
      <c r="G760" s="49">
        <v>1</v>
      </c>
      <c r="H760" s="73"/>
      <c r="I760" s="44"/>
      <c r="J760" s="48">
        <f t="shared" si="33"/>
        <v>1</v>
      </c>
      <c r="K760" s="48">
        <f t="shared" si="34"/>
        <v>0</v>
      </c>
      <c r="L760" s="68">
        <f t="shared" si="35"/>
        <v>0</v>
      </c>
    </row>
    <row r="761" spans="2:12" x14ac:dyDescent="0.85">
      <c r="B761" s="46">
        <v>755</v>
      </c>
      <c r="C761" s="10"/>
      <c r="D761" s="66"/>
      <c r="E761" s="10"/>
      <c r="F761" s="226"/>
      <c r="G761" s="47">
        <v>1</v>
      </c>
      <c r="H761" s="72"/>
      <c r="I761" s="10"/>
      <c r="J761" s="46">
        <f t="shared" si="33"/>
        <v>1</v>
      </c>
      <c r="K761" s="46">
        <f t="shared" si="34"/>
        <v>0</v>
      </c>
      <c r="L761" s="69">
        <f t="shared" si="35"/>
        <v>0</v>
      </c>
    </row>
    <row r="762" spans="2:12" x14ac:dyDescent="0.85">
      <c r="B762" s="48">
        <v>756</v>
      </c>
      <c r="C762" s="44"/>
      <c r="D762" s="50"/>
      <c r="E762" s="44"/>
      <c r="F762" s="227"/>
      <c r="G762" s="49">
        <v>1</v>
      </c>
      <c r="H762" s="73"/>
      <c r="I762" s="44"/>
      <c r="J762" s="48">
        <f t="shared" si="33"/>
        <v>1</v>
      </c>
      <c r="K762" s="48">
        <f t="shared" si="34"/>
        <v>0</v>
      </c>
      <c r="L762" s="68">
        <f t="shared" si="35"/>
        <v>0</v>
      </c>
    </row>
    <row r="763" spans="2:12" x14ac:dyDescent="0.85">
      <c r="B763" s="46">
        <v>757</v>
      </c>
      <c r="C763" s="10"/>
      <c r="D763" s="66"/>
      <c r="E763" s="10"/>
      <c r="F763" s="226"/>
      <c r="G763" s="47">
        <v>1</v>
      </c>
      <c r="H763" s="72"/>
      <c r="I763" s="10"/>
      <c r="J763" s="46">
        <f t="shared" si="33"/>
        <v>1</v>
      </c>
      <c r="K763" s="46">
        <f t="shared" si="34"/>
        <v>0</v>
      </c>
      <c r="L763" s="69">
        <f t="shared" si="35"/>
        <v>0</v>
      </c>
    </row>
    <row r="764" spans="2:12" x14ac:dyDescent="0.85">
      <c r="B764" s="48">
        <v>758</v>
      </c>
      <c r="C764" s="44"/>
      <c r="D764" s="50"/>
      <c r="E764" s="44"/>
      <c r="F764" s="227"/>
      <c r="G764" s="49">
        <v>1</v>
      </c>
      <c r="H764" s="73"/>
      <c r="I764" s="44"/>
      <c r="J764" s="48">
        <f t="shared" si="33"/>
        <v>1</v>
      </c>
      <c r="K764" s="48">
        <f t="shared" si="34"/>
        <v>0</v>
      </c>
      <c r="L764" s="68">
        <f t="shared" si="35"/>
        <v>0</v>
      </c>
    </row>
    <row r="765" spans="2:12" x14ac:dyDescent="0.85">
      <c r="B765" s="46">
        <v>759</v>
      </c>
      <c r="C765" s="10"/>
      <c r="D765" s="66"/>
      <c r="E765" s="10"/>
      <c r="F765" s="226"/>
      <c r="G765" s="47">
        <v>1</v>
      </c>
      <c r="H765" s="72"/>
      <c r="I765" s="10"/>
      <c r="J765" s="46">
        <f t="shared" si="33"/>
        <v>1</v>
      </c>
      <c r="K765" s="46">
        <f t="shared" si="34"/>
        <v>0</v>
      </c>
      <c r="L765" s="69">
        <f t="shared" si="35"/>
        <v>0</v>
      </c>
    </row>
    <row r="766" spans="2:12" x14ac:dyDescent="0.85">
      <c r="B766" s="48">
        <v>760</v>
      </c>
      <c r="C766" s="44"/>
      <c r="D766" s="50"/>
      <c r="E766" s="44"/>
      <c r="F766" s="227"/>
      <c r="G766" s="49">
        <v>1</v>
      </c>
      <c r="H766" s="73"/>
      <c r="I766" s="44"/>
      <c r="J766" s="48">
        <f t="shared" si="33"/>
        <v>1</v>
      </c>
      <c r="K766" s="48">
        <f t="shared" si="34"/>
        <v>0</v>
      </c>
      <c r="L766" s="68">
        <f t="shared" si="35"/>
        <v>0</v>
      </c>
    </row>
    <row r="767" spans="2:12" x14ac:dyDescent="0.85">
      <c r="B767" s="46">
        <v>761</v>
      </c>
      <c r="C767" s="10"/>
      <c r="D767" s="66"/>
      <c r="E767" s="10"/>
      <c r="F767" s="226"/>
      <c r="G767" s="47">
        <v>1</v>
      </c>
      <c r="H767" s="72"/>
      <c r="I767" s="10"/>
      <c r="J767" s="46">
        <f t="shared" si="33"/>
        <v>1</v>
      </c>
      <c r="K767" s="46">
        <f t="shared" si="34"/>
        <v>0</v>
      </c>
      <c r="L767" s="69">
        <f t="shared" si="35"/>
        <v>0</v>
      </c>
    </row>
    <row r="768" spans="2:12" x14ac:dyDescent="0.85">
      <c r="B768" s="48">
        <v>762</v>
      </c>
      <c r="C768" s="44"/>
      <c r="D768" s="50"/>
      <c r="E768" s="44"/>
      <c r="F768" s="227"/>
      <c r="G768" s="49">
        <v>1</v>
      </c>
      <c r="H768" s="73"/>
      <c r="I768" s="44"/>
      <c r="J768" s="48">
        <f t="shared" si="33"/>
        <v>1</v>
      </c>
      <c r="K768" s="48">
        <f t="shared" si="34"/>
        <v>0</v>
      </c>
      <c r="L768" s="68">
        <f t="shared" si="35"/>
        <v>0</v>
      </c>
    </row>
    <row r="769" spans="2:12" x14ac:dyDescent="0.85">
      <c r="B769" s="46">
        <v>763</v>
      </c>
      <c r="C769" s="10"/>
      <c r="D769" s="66"/>
      <c r="E769" s="10"/>
      <c r="F769" s="226"/>
      <c r="G769" s="47">
        <v>1</v>
      </c>
      <c r="H769" s="72"/>
      <c r="I769" s="10"/>
      <c r="J769" s="46">
        <f t="shared" si="33"/>
        <v>1</v>
      </c>
      <c r="K769" s="46">
        <f t="shared" si="34"/>
        <v>0</v>
      </c>
      <c r="L769" s="69">
        <f t="shared" si="35"/>
        <v>0</v>
      </c>
    </row>
    <row r="770" spans="2:12" x14ac:dyDescent="0.85">
      <c r="B770" s="48">
        <v>764</v>
      </c>
      <c r="C770" s="44"/>
      <c r="D770" s="50"/>
      <c r="E770" s="44"/>
      <c r="F770" s="227"/>
      <c r="G770" s="49">
        <v>1</v>
      </c>
      <c r="H770" s="73"/>
      <c r="I770" s="44"/>
      <c r="J770" s="48">
        <f t="shared" si="33"/>
        <v>1</v>
      </c>
      <c r="K770" s="48">
        <f t="shared" si="34"/>
        <v>0</v>
      </c>
      <c r="L770" s="68">
        <f t="shared" si="35"/>
        <v>0</v>
      </c>
    </row>
    <row r="771" spans="2:12" x14ac:dyDescent="0.85">
      <c r="B771" s="46">
        <v>765</v>
      </c>
      <c r="C771" s="10"/>
      <c r="D771" s="66"/>
      <c r="E771" s="10"/>
      <c r="F771" s="226"/>
      <c r="G771" s="47">
        <v>1</v>
      </c>
      <c r="H771" s="72"/>
      <c r="I771" s="10"/>
      <c r="J771" s="46">
        <f t="shared" si="33"/>
        <v>1</v>
      </c>
      <c r="K771" s="46">
        <f t="shared" si="34"/>
        <v>0</v>
      </c>
      <c r="L771" s="69">
        <f t="shared" si="35"/>
        <v>0</v>
      </c>
    </row>
    <row r="772" spans="2:12" x14ac:dyDescent="0.85">
      <c r="B772" s="48">
        <v>766</v>
      </c>
      <c r="C772" s="44"/>
      <c r="D772" s="50"/>
      <c r="E772" s="44"/>
      <c r="F772" s="227"/>
      <c r="G772" s="49">
        <v>1</v>
      </c>
      <c r="H772" s="73"/>
      <c r="I772" s="44"/>
      <c r="J772" s="48">
        <f t="shared" si="33"/>
        <v>1</v>
      </c>
      <c r="K772" s="48">
        <f t="shared" si="34"/>
        <v>0</v>
      </c>
      <c r="L772" s="68">
        <f t="shared" si="35"/>
        <v>0</v>
      </c>
    </row>
    <row r="773" spans="2:12" x14ac:dyDescent="0.85">
      <c r="B773" s="46">
        <v>767</v>
      </c>
      <c r="C773" s="10"/>
      <c r="D773" s="66"/>
      <c r="E773" s="10"/>
      <c r="F773" s="226"/>
      <c r="G773" s="47">
        <v>1</v>
      </c>
      <c r="H773" s="72"/>
      <c r="I773" s="10"/>
      <c r="J773" s="46">
        <f t="shared" si="33"/>
        <v>1</v>
      </c>
      <c r="K773" s="46">
        <f t="shared" si="34"/>
        <v>0</v>
      </c>
      <c r="L773" s="69">
        <f t="shared" si="35"/>
        <v>0</v>
      </c>
    </row>
    <row r="774" spans="2:12" x14ac:dyDescent="0.85">
      <c r="B774" s="48">
        <v>768</v>
      </c>
      <c r="C774" s="44"/>
      <c r="D774" s="50"/>
      <c r="E774" s="44"/>
      <c r="F774" s="227"/>
      <c r="G774" s="49">
        <v>1</v>
      </c>
      <c r="H774" s="73"/>
      <c r="I774" s="44"/>
      <c r="J774" s="48">
        <f t="shared" si="33"/>
        <v>1</v>
      </c>
      <c r="K774" s="48">
        <f t="shared" si="34"/>
        <v>0</v>
      </c>
      <c r="L774" s="68">
        <f t="shared" si="35"/>
        <v>0</v>
      </c>
    </row>
    <row r="775" spans="2:12" x14ac:dyDescent="0.85">
      <c r="B775" s="46">
        <v>769</v>
      </c>
      <c r="C775" s="10"/>
      <c r="D775" s="66"/>
      <c r="E775" s="10"/>
      <c r="F775" s="226"/>
      <c r="G775" s="47">
        <v>1</v>
      </c>
      <c r="H775" s="72"/>
      <c r="I775" s="10"/>
      <c r="J775" s="46">
        <f t="shared" ref="J775:J838" si="36">IF(ISBLANK(H775),1,H775)</f>
        <v>1</v>
      </c>
      <c r="K775" s="46">
        <f t="shared" ref="K775:K838" si="37">IF(COUNTIF(FreeElements, E775)&gt;0, F775, 0)</f>
        <v>0</v>
      </c>
      <c r="L775" s="69">
        <f t="shared" ref="L775:L838" si="38">J775*K775</f>
        <v>0</v>
      </c>
    </row>
    <row r="776" spans="2:12" x14ac:dyDescent="0.85">
      <c r="B776" s="48">
        <v>770</v>
      </c>
      <c r="C776" s="44"/>
      <c r="D776" s="50"/>
      <c r="E776" s="44"/>
      <c r="F776" s="227"/>
      <c r="G776" s="49">
        <v>1</v>
      </c>
      <c r="H776" s="73"/>
      <c r="I776" s="44"/>
      <c r="J776" s="48">
        <f t="shared" si="36"/>
        <v>1</v>
      </c>
      <c r="K776" s="48">
        <f t="shared" si="37"/>
        <v>0</v>
      </c>
      <c r="L776" s="68">
        <f t="shared" si="38"/>
        <v>0</v>
      </c>
    </row>
    <row r="777" spans="2:12" x14ac:dyDescent="0.85">
      <c r="B777" s="46">
        <v>771</v>
      </c>
      <c r="C777" s="10"/>
      <c r="D777" s="66"/>
      <c r="E777" s="10"/>
      <c r="F777" s="226"/>
      <c r="G777" s="47">
        <v>1</v>
      </c>
      <c r="H777" s="72"/>
      <c r="I777" s="10"/>
      <c r="J777" s="46">
        <f t="shared" si="36"/>
        <v>1</v>
      </c>
      <c r="K777" s="46">
        <f t="shared" si="37"/>
        <v>0</v>
      </c>
      <c r="L777" s="69">
        <f t="shared" si="38"/>
        <v>0</v>
      </c>
    </row>
    <row r="778" spans="2:12" x14ac:dyDescent="0.85">
      <c r="B778" s="48">
        <v>772</v>
      </c>
      <c r="C778" s="44"/>
      <c r="D778" s="50"/>
      <c r="E778" s="44"/>
      <c r="F778" s="227"/>
      <c r="G778" s="49">
        <v>1</v>
      </c>
      <c r="H778" s="73"/>
      <c r="I778" s="44"/>
      <c r="J778" s="48">
        <f t="shared" si="36"/>
        <v>1</v>
      </c>
      <c r="K778" s="48">
        <f t="shared" si="37"/>
        <v>0</v>
      </c>
      <c r="L778" s="68">
        <f t="shared" si="38"/>
        <v>0</v>
      </c>
    </row>
    <row r="779" spans="2:12" x14ac:dyDescent="0.85">
      <c r="B779" s="46">
        <v>773</v>
      </c>
      <c r="C779" s="10"/>
      <c r="D779" s="66"/>
      <c r="E779" s="10"/>
      <c r="F779" s="226"/>
      <c r="G779" s="47">
        <v>1</v>
      </c>
      <c r="H779" s="72"/>
      <c r="I779" s="10"/>
      <c r="J779" s="46">
        <f t="shared" si="36"/>
        <v>1</v>
      </c>
      <c r="K779" s="46">
        <f t="shared" si="37"/>
        <v>0</v>
      </c>
      <c r="L779" s="69">
        <f t="shared" si="38"/>
        <v>0</v>
      </c>
    </row>
    <row r="780" spans="2:12" x14ac:dyDescent="0.85">
      <c r="B780" s="48">
        <v>774</v>
      </c>
      <c r="C780" s="44"/>
      <c r="D780" s="50"/>
      <c r="E780" s="44"/>
      <c r="F780" s="227"/>
      <c r="G780" s="49">
        <v>1</v>
      </c>
      <c r="H780" s="73"/>
      <c r="I780" s="44"/>
      <c r="J780" s="48">
        <f t="shared" si="36"/>
        <v>1</v>
      </c>
      <c r="K780" s="48">
        <f t="shared" si="37"/>
        <v>0</v>
      </c>
      <c r="L780" s="68">
        <f t="shared" si="38"/>
        <v>0</v>
      </c>
    </row>
    <row r="781" spans="2:12" x14ac:dyDescent="0.85">
      <c r="B781" s="46">
        <v>775</v>
      </c>
      <c r="C781" s="10"/>
      <c r="D781" s="66"/>
      <c r="E781" s="10"/>
      <c r="F781" s="226"/>
      <c r="G781" s="47">
        <v>1</v>
      </c>
      <c r="H781" s="72"/>
      <c r="I781" s="10"/>
      <c r="J781" s="46">
        <f t="shared" si="36"/>
        <v>1</v>
      </c>
      <c r="K781" s="46">
        <f t="shared" si="37"/>
        <v>0</v>
      </c>
      <c r="L781" s="69">
        <f t="shared" si="38"/>
        <v>0</v>
      </c>
    </row>
    <row r="782" spans="2:12" x14ac:dyDescent="0.85">
      <c r="B782" s="48">
        <v>776</v>
      </c>
      <c r="C782" s="44"/>
      <c r="D782" s="50"/>
      <c r="E782" s="44"/>
      <c r="F782" s="227"/>
      <c r="G782" s="49">
        <v>1</v>
      </c>
      <c r="H782" s="73"/>
      <c r="I782" s="44"/>
      <c r="J782" s="48">
        <f t="shared" si="36"/>
        <v>1</v>
      </c>
      <c r="K782" s="48">
        <f t="shared" si="37"/>
        <v>0</v>
      </c>
      <c r="L782" s="68">
        <f t="shared" si="38"/>
        <v>0</v>
      </c>
    </row>
    <row r="783" spans="2:12" x14ac:dyDescent="0.85">
      <c r="B783" s="46">
        <v>777</v>
      </c>
      <c r="C783" s="10"/>
      <c r="D783" s="66"/>
      <c r="E783" s="10"/>
      <c r="F783" s="226"/>
      <c r="G783" s="47">
        <v>1</v>
      </c>
      <c r="H783" s="72"/>
      <c r="I783" s="10"/>
      <c r="J783" s="46">
        <f t="shared" si="36"/>
        <v>1</v>
      </c>
      <c r="K783" s="46">
        <f t="shared" si="37"/>
        <v>0</v>
      </c>
      <c r="L783" s="69">
        <f t="shared" si="38"/>
        <v>0</v>
      </c>
    </row>
    <row r="784" spans="2:12" x14ac:dyDescent="0.85">
      <c r="B784" s="48">
        <v>778</v>
      </c>
      <c r="C784" s="44"/>
      <c r="D784" s="50"/>
      <c r="E784" s="44"/>
      <c r="F784" s="227"/>
      <c r="G784" s="49">
        <v>1</v>
      </c>
      <c r="H784" s="73"/>
      <c r="I784" s="44"/>
      <c r="J784" s="48">
        <f t="shared" si="36"/>
        <v>1</v>
      </c>
      <c r="K784" s="48">
        <f t="shared" si="37"/>
        <v>0</v>
      </c>
      <c r="L784" s="68">
        <f t="shared" si="38"/>
        <v>0</v>
      </c>
    </row>
    <row r="785" spans="2:12" x14ac:dyDescent="0.85">
      <c r="B785" s="46">
        <v>779</v>
      </c>
      <c r="C785" s="10"/>
      <c r="D785" s="66"/>
      <c r="E785" s="10"/>
      <c r="F785" s="226"/>
      <c r="G785" s="47">
        <v>1</v>
      </c>
      <c r="H785" s="72"/>
      <c r="I785" s="10"/>
      <c r="J785" s="46">
        <f t="shared" si="36"/>
        <v>1</v>
      </c>
      <c r="K785" s="46">
        <f t="shared" si="37"/>
        <v>0</v>
      </c>
      <c r="L785" s="69">
        <f t="shared" si="38"/>
        <v>0</v>
      </c>
    </row>
    <row r="786" spans="2:12" x14ac:dyDescent="0.85">
      <c r="B786" s="48">
        <v>780</v>
      </c>
      <c r="C786" s="44"/>
      <c r="D786" s="50"/>
      <c r="E786" s="44"/>
      <c r="F786" s="227"/>
      <c r="G786" s="49">
        <v>1</v>
      </c>
      <c r="H786" s="73"/>
      <c r="I786" s="44"/>
      <c r="J786" s="48">
        <f t="shared" si="36"/>
        <v>1</v>
      </c>
      <c r="K786" s="48">
        <f t="shared" si="37"/>
        <v>0</v>
      </c>
      <c r="L786" s="68">
        <f t="shared" si="38"/>
        <v>0</v>
      </c>
    </row>
    <row r="787" spans="2:12" x14ac:dyDescent="0.85">
      <c r="B787" s="46">
        <v>781</v>
      </c>
      <c r="C787" s="10"/>
      <c r="D787" s="66"/>
      <c r="E787" s="10"/>
      <c r="F787" s="226"/>
      <c r="G787" s="47">
        <v>1</v>
      </c>
      <c r="H787" s="72"/>
      <c r="I787" s="10"/>
      <c r="J787" s="46">
        <f t="shared" si="36"/>
        <v>1</v>
      </c>
      <c r="K787" s="46">
        <f t="shared" si="37"/>
        <v>0</v>
      </c>
      <c r="L787" s="69">
        <f t="shared" si="38"/>
        <v>0</v>
      </c>
    </row>
    <row r="788" spans="2:12" x14ac:dyDescent="0.85">
      <c r="B788" s="48">
        <v>782</v>
      </c>
      <c r="C788" s="44"/>
      <c r="D788" s="50"/>
      <c r="E788" s="44"/>
      <c r="F788" s="227"/>
      <c r="G788" s="49">
        <v>1</v>
      </c>
      <c r="H788" s="73"/>
      <c r="I788" s="44"/>
      <c r="J788" s="48">
        <f t="shared" si="36"/>
        <v>1</v>
      </c>
      <c r="K788" s="48">
        <f t="shared" si="37"/>
        <v>0</v>
      </c>
      <c r="L788" s="68">
        <f t="shared" si="38"/>
        <v>0</v>
      </c>
    </row>
    <row r="789" spans="2:12" x14ac:dyDescent="0.85">
      <c r="B789" s="46">
        <v>783</v>
      </c>
      <c r="C789" s="10"/>
      <c r="D789" s="66"/>
      <c r="E789" s="10"/>
      <c r="F789" s="226"/>
      <c r="G789" s="47">
        <v>1</v>
      </c>
      <c r="H789" s="72"/>
      <c r="I789" s="10"/>
      <c r="J789" s="46">
        <f t="shared" si="36"/>
        <v>1</v>
      </c>
      <c r="K789" s="46">
        <f t="shared" si="37"/>
        <v>0</v>
      </c>
      <c r="L789" s="69">
        <f t="shared" si="38"/>
        <v>0</v>
      </c>
    </row>
    <row r="790" spans="2:12" x14ac:dyDescent="0.85">
      <c r="B790" s="48">
        <v>784</v>
      </c>
      <c r="C790" s="44"/>
      <c r="D790" s="50"/>
      <c r="E790" s="44"/>
      <c r="F790" s="227"/>
      <c r="G790" s="49">
        <v>1</v>
      </c>
      <c r="H790" s="73"/>
      <c r="I790" s="44"/>
      <c r="J790" s="48">
        <f t="shared" si="36"/>
        <v>1</v>
      </c>
      <c r="K790" s="48">
        <f t="shared" si="37"/>
        <v>0</v>
      </c>
      <c r="L790" s="68">
        <f t="shared" si="38"/>
        <v>0</v>
      </c>
    </row>
    <row r="791" spans="2:12" x14ac:dyDescent="0.85">
      <c r="B791" s="46">
        <v>785</v>
      </c>
      <c r="C791" s="10"/>
      <c r="D791" s="66"/>
      <c r="E791" s="10"/>
      <c r="F791" s="226"/>
      <c r="G791" s="47">
        <v>1</v>
      </c>
      <c r="H791" s="72"/>
      <c r="I791" s="10"/>
      <c r="J791" s="46">
        <f t="shared" si="36"/>
        <v>1</v>
      </c>
      <c r="K791" s="46">
        <f t="shared" si="37"/>
        <v>0</v>
      </c>
      <c r="L791" s="69">
        <f t="shared" si="38"/>
        <v>0</v>
      </c>
    </row>
    <row r="792" spans="2:12" x14ac:dyDescent="0.85">
      <c r="B792" s="48">
        <v>786</v>
      </c>
      <c r="C792" s="44"/>
      <c r="D792" s="50"/>
      <c r="E792" s="44"/>
      <c r="F792" s="227"/>
      <c r="G792" s="49">
        <v>1</v>
      </c>
      <c r="H792" s="73"/>
      <c r="I792" s="44"/>
      <c r="J792" s="48">
        <f t="shared" si="36"/>
        <v>1</v>
      </c>
      <c r="K792" s="48">
        <f t="shared" si="37"/>
        <v>0</v>
      </c>
      <c r="L792" s="68">
        <f t="shared" si="38"/>
        <v>0</v>
      </c>
    </row>
    <row r="793" spans="2:12" x14ac:dyDescent="0.85">
      <c r="B793" s="46">
        <v>787</v>
      </c>
      <c r="C793" s="10"/>
      <c r="D793" s="66"/>
      <c r="E793" s="10"/>
      <c r="F793" s="226"/>
      <c r="G793" s="47">
        <v>1</v>
      </c>
      <c r="H793" s="72"/>
      <c r="I793" s="10"/>
      <c r="J793" s="46">
        <f t="shared" si="36"/>
        <v>1</v>
      </c>
      <c r="K793" s="46">
        <f t="shared" si="37"/>
        <v>0</v>
      </c>
      <c r="L793" s="69">
        <f t="shared" si="38"/>
        <v>0</v>
      </c>
    </row>
    <row r="794" spans="2:12" x14ac:dyDescent="0.85">
      <c r="B794" s="48">
        <v>788</v>
      </c>
      <c r="C794" s="44"/>
      <c r="D794" s="50"/>
      <c r="E794" s="44"/>
      <c r="F794" s="227"/>
      <c r="G794" s="49">
        <v>1</v>
      </c>
      <c r="H794" s="73"/>
      <c r="I794" s="44"/>
      <c r="J794" s="48">
        <f t="shared" si="36"/>
        <v>1</v>
      </c>
      <c r="K794" s="48">
        <f t="shared" si="37"/>
        <v>0</v>
      </c>
      <c r="L794" s="68">
        <f t="shared" si="38"/>
        <v>0</v>
      </c>
    </row>
    <row r="795" spans="2:12" x14ac:dyDescent="0.85">
      <c r="B795" s="46">
        <v>789</v>
      </c>
      <c r="C795" s="10"/>
      <c r="D795" s="66"/>
      <c r="E795" s="10"/>
      <c r="F795" s="226"/>
      <c r="G795" s="47">
        <v>1</v>
      </c>
      <c r="H795" s="72"/>
      <c r="I795" s="10"/>
      <c r="J795" s="46">
        <f t="shared" si="36"/>
        <v>1</v>
      </c>
      <c r="K795" s="46">
        <f t="shared" si="37"/>
        <v>0</v>
      </c>
      <c r="L795" s="69">
        <f t="shared" si="38"/>
        <v>0</v>
      </c>
    </row>
    <row r="796" spans="2:12" x14ac:dyDescent="0.85">
      <c r="B796" s="48">
        <v>790</v>
      </c>
      <c r="C796" s="44"/>
      <c r="D796" s="50"/>
      <c r="E796" s="44"/>
      <c r="F796" s="227"/>
      <c r="G796" s="49">
        <v>1</v>
      </c>
      <c r="H796" s="73"/>
      <c r="I796" s="44"/>
      <c r="J796" s="48">
        <f t="shared" si="36"/>
        <v>1</v>
      </c>
      <c r="K796" s="48">
        <f t="shared" si="37"/>
        <v>0</v>
      </c>
      <c r="L796" s="68">
        <f t="shared" si="38"/>
        <v>0</v>
      </c>
    </row>
    <row r="797" spans="2:12" x14ac:dyDescent="0.85">
      <c r="B797" s="46">
        <v>791</v>
      </c>
      <c r="C797" s="10"/>
      <c r="D797" s="66"/>
      <c r="E797" s="10"/>
      <c r="F797" s="226"/>
      <c r="G797" s="47">
        <v>1</v>
      </c>
      <c r="H797" s="72"/>
      <c r="I797" s="10"/>
      <c r="J797" s="46">
        <f t="shared" si="36"/>
        <v>1</v>
      </c>
      <c r="K797" s="46">
        <f t="shared" si="37"/>
        <v>0</v>
      </c>
      <c r="L797" s="69">
        <f t="shared" si="38"/>
        <v>0</v>
      </c>
    </row>
    <row r="798" spans="2:12" x14ac:dyDescent="0.85">
      <c r="B798" s="48">
        <v>792</v>
      </c>
      <c r="C798" s="44"/>
      <c r="D798" s="50"/>
      <c r="E798" s="44"/>
      <c r="F798" s="227"/>
      <c r="G798" s="49">
        <v>1</v>
      </c>
      <c r="H798" s="73"/>
      <c r="I798" s="44"/>
      <c r="J798" s="48">
        <f t="shared" si="36"/>
        <v>1</v>
      </c>
      <c r="K798" s="48">
        <f t="shared" si="37"/>
        <v>0</v>
      </c>
      <c r="L798" s="68">
        <f t="shared" si="38"/>
        <v>0</v>
      </c>
    </row>
    <row r="799" spans="2:12" x14ac:dyDescent="0.85">
      <c r="B799" s="46">
        <v>793</v>
      </c>
      <c r="C799" s="10"/>
      <c r="D799" s="66"/>
      <c r="E799" s="10"/>
      <c r="F799" s="226"/>
      <c r="G799" s="47">
        <v>1</v>
      </c>
      <c r="H799" s="72"/>
      <c r="I799" s="10"/>
      <c r="J799" s="46">
        <f t="shared" si="36"/>
        <v>1</v>
      </c>
      <c r="K799" s="46">
        <f t="shared" si="37"/>
        <v>0</v>
      </c>
      <c r="L799" s="69">
        <f t="shared" si="38"/>
        <v>0</v>
      </c>
    </row>
    <row r="800" spans="2:12" x14ac:dyDescent="0.85">
      <c r="B800" s="48">
        <v>794</v>
      </c>
      <c r="C800" s="44"/>
      <c r="D800" s="50"/>
      <c r="E800" s="44"/>
      <c r="F800" s="227"/>
      <c r="G800" s="49">
        <v>1</v>
      </c>
      <c r="H800" s="73"/>
      <c r="I800" s="44"/>
      <c r="J800" s="48">
        <f t="shared" si="36"/>
        <v>1</v>
      </c>
      <c r="K800" s="48">
        <f t="shared" si="37"/>
        <v>0</v>
      </c>
      <c r="L800" s="68">
        <f t="shared" si="38"/>
        <v>0</v>
      </c>
    </row>
    <row r="801" spans="2:12" x14ac:dyDescent="0.85">
      <c r="B801" s="46">
        <v>795</v>
      </c>
      <c r="C801" s="10"/>
      <c r="D801" s="66"/>
      <c r="E801" s="10"/>
      <c r="F801" s="226"/>
      <c r="G801" s="47">
        <v>1</v>
      </c>
      <c r="H801" s="72"/>
      <c r="I801" s="10"/>
      <c r="J801" s="46">
        <f t="shared" si="36"/>
        <v>1</v>
      </c>
      <c r="K801" s="46">
        <f t="shared" si="37"/>
        <v>0</v>
      </c>
      <c r="L801" s="69">
        <f t="shared" si="38"/>
        <v>0</v>
      </c>
    </row>
    <row r="802" spans="2:12" x14ac:dyDescent="0.85">
      <c r="B802" s="48">
        <v>796</v>
      </c>
      <c r="C802" s="44"/>
      <c r="D802" s="50"/>
      <c r="E802" s="44"/>
      <c r="F802" s="227"/>
      <c r="G802" s="49">
        <v>1</v>
      </c>
      <c r="H802" s="73"/>
      <c r="I802" s="44"/>
      <c r="J802" s="48">
        <f t="shared" si="36"/>
        <v>1</v>
      </c>
      <c r="K802" s="48">
        <f t="shared" si="37"/>
        <v>0</v>
      </c>
      <c r="L802" s="68">
        <f t="shared" si="38"/>
        <v>0</v>
      </c>
    </row>
    <row r="803" spans="2:12" x14ac:dyDescent="0.85">
      <c r="B803" s="46">
        <v>797</v>
      </c>
      <c r="C803" s="10"/>
      <c r="D803" s="66"/>
      <c r="E803" s="10"/>
      <c r="F803" s="226"/>
      <c r="G803" s="47">
        <v>1</v>
      </c>
      <c r="H803" s="72"/>
      <c r="I803" s="10"/>
      <c r="J803" s="46">
        <f t="shared" si="36"/>
        <v>1</v>
      </c>
      <c r="K803" s="46">
        <f t="shared" si="37"/>
        <v>0</v>
      </c>
      <c r="L803" s="69">
        <f t="shared" si="38"/>
        <v>0</v>
      </c>
    </row>
    <row r="804" spans="2:12" x14ac:dyDescent="0.85">
      <c r="B804" s="48">
        <v>798</v>
      </c>
      <c r="C804" s="44"/>
      <c r="D804" s="50"/>
      <c r="E804" s="44"/>
      <c r="F804" s="227"/>
      <c r="G804" s="49">
        <v>1</v>
      </c>
      <c r="H804" s="73"/>
      <c r="I804" s="44"/>
      <c r="J804" s="48">
        <f t="shared" si="36"/>
        <v>1</v>
      </c>
      <c r="K804" s="48">
        <f t="shared" si="37"/>
        <v>0</v>
      </c>
      <c r="L804" s="68">
        <f t="shared" si="38"/>
        <v>0</v>
      </c>
    </row>
    <row r="805" spans="2:12" x14ac:dyDescent="0.85">
      <c r="B805" s="46">
        <v>799</v>
      </c>
      <c r="C805" s="10"/>
      <c r="D805" s="66"/>
      <c r="E805" s="10"/>
      <c r="F805" s="226"/>
      <c r="G805" s="47">
        <v>1</v>
      </c>
      <c r="H805" s="72"/>
      <c r="I805" s="10"/>
      <c r="J805" s="46">
        <f t="shared" si="36"/>
        <v>1</v>
      </c>
      <c r="K805" s="46">
        <f t="shared" si="37"/>
        <v>0</v>
      </c>
      <c r="L805" s="69">
        <f t="shared" si="38"/>
        <v>0</v>
      </c>
    </row>
    <row r="806" spans="2:12" x14ac:dyDescent="0.85">
      <c r="B806" s="48">
        <v>800</v>
      </c>
      <c r="C806" s="44"/>
      <c r="D806" s="50"/>
      <c r="E806" s="44"/>
      <c r="F806" s="227"/>
      <c r="G806" s="49">
        <v>1</v>
      </c>
      <c r="H806" s="73"/>
      <c r="I806" s="44"/>
      <c r="J806" s="48">
        <f t="shared" si="36"/>
        <v>1</v>
      </c>
      <c r="K806" s="48">
        <f t="shared" si="37"/>
        <v>0</v>
      </c>
      <c r="L806" s="68">
        <f t="shared" si="38"/>
        <v>0</v>
      </c>
    </row>
    <row r="807" spans="2:12" x14ac:dyDescent="0.85">
      <c r="B807" s="46">
        <v>801</v>
      </c>
      <c r="C807" s="10"/>
      <c r="D807" s="66"/>
      <c r="E807" s="10"/>
      <c r="F807" s="226"/>
      <c r="G807" s="47">
        <v>1</v>
      </c>
      <c r="H807" s="72"/>
      <c r="I807" s="10"/>
      <c r="J807" s="46">
        <f t="shared" si="36"/>
        <v>1</v>
      </c>
      <c r="K807" s="46">
        <f t="shared" si="37"/>
        <v>0</v>
      </c>
      <c r="L807" s="69">
        <f t="shared" si="38"/>
        <v>0</v>
      </c>
    </row>
    <row r="808" spans="2:12" x14ac:dyDescent="0.85">
      <c r="B808" s="48">
        <v>802</v>
      </c>
      <c r="C808" s="44"/>
      <c r="D808" s="50"/>
      <c r="E808" s="44"/>
      <c r="F808" s="227"/>
      <c r="G808" s="49">
        <v>1</v>
      </c>
      <c r="H808" s="73"/>
      <c r="I808" s="44"/>
      <c r="J808" s="48">
        <f t="shared" si="36"/>
        <v>1</v>
      </c>
      <c r="K808" s="48">
        <f t="shared" si="37"/>
        <v>0</v>
      </c>
      <c r="L808" s="68">
        <f t="shared" si="38"/>
        <v>0</v>
      </c>
    </row>
    <row r="809" spans="2:12" x14ac:dyDescent="0.85">
      <c r="B809" s="46">
        <v>803</v>
      </c>
      <c r="C809" s="10"/>
      <c r="D809" s="66"/>
      <c r="E809" s="10"/>
      <c r="F809" s="226"/>
      <c r="G809" s="47">
        <v>1</v>
      </c>
      <c r="H809" s="72"/>
      <c r="I809" s="10"/>
      <c r="J809" s="46">
        <f t="shared" si="36"/>
        <v>1</v>
      </c>
      <c r="K809" s="46">
        <f t="shared" si="37"/>
        <v>0</v>
      </c>
      <c r="L809" s="69">
        <f t="shared" si="38"/>
        <v>0</v>
      </c>
    </row>
    <row r="810" spans="2:12" x14ac:dyDescent="0.85">
      <c r="B810" s="48">
        <v>804</v>
      </c>
      <c r="C810" s="44"/>
      <c r="D810" s="50"/>
      <c r="E810" s="44"/>
      <c r="F810" s="227"/>
      <c r="G810" s="49">
        <v>1</v>
      </c>
      <c r="H810" s="73"/>
      <c r="I810" s="44"/>
      <c r="J810" s="48">
        <f t="shared" si="36"/>
        <v>1</v>
      </c>
      <c r="K810" s="48">
        <f t="shared" si="37"/>
        <v>0</v>
      </c>
      <c r="L810" s="68">
        <f t="shared" si="38"/>
        <v>0</v>
      </c>
    </row>
    <row r="811" spans="2:12" x14ac:dyDescent="0.85">
      <c r="B811" s="46">
        <v>805</v>
      </c>
      <c r="C811" s="10"/>
      <c r="D811" s="66"/>
      <c r="E811" s="10"/>
      <c r="F811" s="226"/>
      <c r="G811" s="47">
        <v>1</v>
      </c>
      <c r="H811" s="72"/>
      <c r="I811" s="10"/>
      <c r="J811" s="46">
        <f t="shared" si="36"/>
        <v>1</v>
      </c>
      <c r="K811" s="46">
        <f t="shared" si="37"/>
        <v>0</v>
      </c>
      <c r="L811" s="69">
        <f t="shared" si="38"/>
        <v>0</v>
      </c>
    </row>
    <row r="812" spans="2:12" x14ac:dyDescent="0.85">
      <c r="B812" s="48">
        <v>806</v>
      </c>
      <c r="C812" s="44"/>
      <c r="D812" s="50"/>
      <c r="E812" s="44"/>
      <c r="F812" s="227"/>
      <c r="G812" s="49">
        <v>1</v>
      </c>
      <c r="H812" s="73"/>
      <c r="I812" s="44"/>
      <c r="J812" s="48">
        <f t="shared" si="36"/>
        <v>1</v>
      </c>
      <c r="K812" s="48">
        <f t="shared" si="37"/>
        <v>0</v>
      </c>
      <c r="L812" s="68">
        <f t="shared" si="38"/>
        <v>0</v>
      </c>
    </row>
    <row r="813" spans="2:12" x14ac:dyDescent="0.85">
      <c r="B813" s="46">
        <v>807</v>
      </c>
      <c r="C813" s="10"/>
      <c r="D813" s="66"/>
      <c r="E813" s="10"/>
      <c r="F813" s="226"/>
      <c r="G813" s="47">
        <v>1</v>
      </c>
      <c r="H813" s="72"/>
      <c r="I813" s="10"/>
      <c r="J813" s="46">
        <f t="shared" si="36"/>
        <v>1</v>
      </c>
      <c r="K813" s="46">
        <f t="shared" si="37"/>
        <v>0</v>
      </c>
      <c r="L813" s="69">
        <f t="shared" si="38"/>
        <v>0</v>
      </c>
    </row>
    <row r="814" spans="2:12" x14ac:dyDescent="0.85">
      <c r="B814" s="48">
        <v>808</v>
      </c>
      <c r="C814" s="44"/>
      <c r="D814" s="50"/>
      <c r="E814" s="44"/>
      <c r="F814" s="227"/>
      <c r="G814" s="49">
        <v>1</v>
      </c>
      <c r="H814" s="73"/>
      <c r="I814" s="44"/>
      <c r="J814" s="48">
        <f t="shared" si="36"/>
        <v>1</v>
      </c>
      <c r="K814" s="48">
        <f t="shared" si="37"/>
        <v>0</v>
      </c>
      <c r="L814" s="68">
        <f t="shared" si="38"/>
        <v>0</v>
      </c>
    </row>
    <row r="815" spans="2:12" x14ac:dyDescent="0.85">
      <c r="B815" s="46">
        <v>809</v>
      </c>
      <c r="C815" s="10"/>
      <c r="D815" s="66"/>
      <c r="E815" s="10"/>
      <c r="F815" s="226"/>
      <c r="G815" s="47">
        <v>1</v>
      </c>
      <c r="H815" s="72"/>
      <c r="I815" s="10"/>
      <c r="J815" s="46">
        <f t="shared" si="36"/>
        <v>1</v>
      </c>
      <c r="K815" s="46">
        <f t="shared" si="37"/>
        <v>0</v>
      </c>
      <c r="L815" s="69">
        <f t="shared" si="38"/>
        <v>0</v>
      </c>
    </row>
    <row r="816" spans="2:12" x14ac:dyDescent="0.85">
      <c r="B816" s="48">
        <v>810</v>
      </c>
      <c r="C816" s="44"/>
      <c r="D816" s="50"/>
      <c r="E816" s="44"/>
      <c r="F816" s="227"/>
      <c r="G816" s="49">
        <v>1</v>
      </c>
      <c r="H816" s="73"/>
      <c r="I816" s="44"/>
      <c r="J816" s="48">
        <f t="shared" si="36"/>
        <v>1</v>
      </c>
      <c r="K816" s="48">
        <f t="shared" si="37"/>
        <v>0</v>
      </c>
      <c r="L816" s="68">
        <f t="shared" si="38"/>
        <v>0</v>
      </c>
    </row>
    <row r="817" spans="2:12" x14ac:dyDescent="0.85">
      <c r="B817" s="46">
        <v>811</v>
      </c>
      <c r="C817" s="10"/>
      <c r="D817" s="66"/>
      <c r="E817" s="10"/>
      <c r="F817" s="226"/>
      <c r="G817" s="47">
        <v>1</v>
      </c>
      <c r="H817" s="72"/>
      <c r="I817" s="10"/>
      <c r="J817" s="46">
        <f t="shared" si="36"/>
        <v>1</v>
      </c>
      <c r="K817" s="46">
        <f t="shared" si="37"/>
        <v>0</v>
      </c>
      <c r="L817" s="69">
        <f t="shared" si="38"/>
        <v>0</v>
      </c>
    </row>
    <row r="818" spans="2:12" x14ac:dyDescent="0.85">
      <c r="B818" s="48">
        <v>812</v>
      </c>
      <c r="C818" s="44"/>
      <c r="D818" s="50"/>
      <c r="E818" s="44"/>
      <c r="F818" s="227"/>
      <c r="G818" s="49">
        <v>1</v>
      </c>
      <c r="H818" s="73"/>
      <c r="I818" s="44"/>
      <c r="J818" s="48">
        <f t="shared" si="36"/>
        <v>1</v>
      </c>
      <c r="K818" s="48">
        <f t="shared" si="37"/>
        <v>0</v>
      </c>
      <c r="L818" s="68">
        <f t="shared" si="38"/>
        <v>0</v>
      </c>
    </row>
    <row r="819" spans="2:12" x14ac:dyDescent="0.85">
      <c r="B819" s="46">
        <v>813</v>
      </c>
      <c r="C819" s="10"/>
      <c r="D819" s="66"/>
      <c r="E819" s="10"/>
      <c r="F819" s="226"/>
      <c r="G819" s="47">
        <v>1</v>
      </c>
      <c r="H819" s="72"/>
      <c r="I819" s="10"/>
      <c r="J819" s="46">
        <f t="shared" si="36"/>
        <v>1</v>
      </c>
      <c r="K819" s="46">
        <f t="shared" si="37"/>
        <v>0</v>
      </c>
      <c r="L819" s="69">
        <f t="shared" si="38"/>
        <v>0</v>
      </c>
    </row>
    <row r="820" spans="2:12" x14ac:dyDescent="0.85">
      <c r="B820" s="48">
        <v>814</v>
      </c>
      <c r="C820" s="44"/>
      <c r="D820" s="50"/>
      <c r="E820" s="44"/>
      <c r="F820" s="227"/>
      <c r="G820" s="49">
        <v>1</v>
      </c>
      <c r="H820" s="73"/>
      <c r="I820" s="44"/>
      <c r="J820" s="48">
        <f t="shared" si="36"/>
        <v>1</v>
      </c>
      <c r="K820" s="48">
        <f t="shared" si="37"/>
        <v>0</v>
      </c>
      <c r="L820" s="68">
        <f t="shared" si="38"/>
        <v>0</v>
      </c>
    </row>
    <row r="821" spans="2:12" x14ac:dyDescent="0.85">
      <c r="B821" s="46">
        <v>815</v>
      </c>
      <c r="C821" s="10"/>
      <c r="D821" s="66"/>
      <c r="E821" s="10"/>
      <c r="F821" s="226"/>
      <c r="G821" s="47">
        <v>1</v>
      </c>
      <c r="H821" s="72"/>
      <c r="I821" s="10"/>
      <c r="J821" s="46">
        <f t="shared" si="36"/>
        <v>1</v>
      </c>
      <c r="K821" s="46">
        <f t="shared" si="37"/>
        <v>0</v>
      </c>
      <c r="L821" s="69">
        <f t="shared" si="38"/>
        <v>0</v>
      </c>
    </row>
    <row r="822" spans="2:12" x14ac:dyDescent="0.85">
      <c r="B822" s="48">
        <v>816</v>
      </c>
      <c r="C822" s="44"/>
      <c r="D822" s="50"/>
      <c r="E822" s="44"/>
      <c r="F822" s="227"/>
      <c r="G822" s="49">
        <v>1</v>
      </c>
      <c r="H822" s="73"/>
      <c r="I822" s="44"/>
      <c r="J822" s="48">
        <f t="shared" si="36"/>
        <v>1</v>
      </c>
      <c r="K822" s="48">
        <f t="shared" si="37"/>
        <v>0</v>
      </c>
      <c r="L822" s="68">
        <f t="shared" si="38"/>
        <v>0</v>
      </c>
    </row>
    <row r="823" spans="2:12" x14ac:dyDescent="0.85">
      <c r="B823" s="46">
        <v>817</v>
      </c>
      <c r="C823" s="10"/>
      <c r="D823" s="66"/>
      <c r="E823" s="10"/>
      <c r="F823" s="226"/>
      <c r="G823" s="47">
        <v>1</v>
      </c>
      <c r="H823" s="72"/>
      <c r="I823" s="10"/>
      <c r="J823" s="46">
        <f t="shared" si="36"/>
        <v>1</v>
      </c>
      <c r="K823" s="46">
        <f t="shared" si="37"/>
        <v>0</v>
      </c>
      <c r="L823" s="69">
        <f t="shared" si="38"/>
        <v>0</v>
      </c>
    </row>
    <row r="824" spans="2:12" x14ac:dyDescent="0.85">
      <c r="B824" s="48">
        <v>818</v>
      </c>
      <c r="C824" s="44"/>
      <c r="D824" s="50"/>
      <c r="E824" s="44"/>
      <c r="F824" s="227"/>
      <c r="G824" s="49">
        <v>1</v>
      </c>
      <c r="H824" s="73"/>
      <c r="I824" s="44"/>
      <c r="J824" s="48">
        <f t="shared" si="36"/>
        <v>1</v>
      </c>
      <c r="K824" s="48">
        <f t="shared" si="37"/>
        <v>0</v>
      </c>
      <c r="L824" s="68">
        <f t="shared" si="38"/>
        <v>0</v>
      </c>
    </row>
    <row r="825" spans="2:12" x14ac:dyDescent="0.85">
      <c r="B825" s="46">
        <v>819</v>
      </c>
      <c r="C825" s="10"/>
      <c r="D825" s="66"/>
      <c r="E825" s="10"/>
      <c r="F825" s="226"/>
      <c r="G825" s="47">
        <v>1</v>
      </c>
      <c r="H825" s="72"/>
      <c r="I825" s="10"/>
      <c r="J825" s="46">
        <f t="shared" si="36"/>
        <v>1</v>
      </c>
      <c r="K825" s="46">
        <f t="shared" si="37"/>
        <v>0</v>
      </c>
      <c r="L825" s="69">
        <f t="shared" si="38"/>
        <v>0</v>
      </c>
    </row>
    <row r="826" spans="2:12" x14ac:dyDescent="0.85">
      <c r="B826" s="48">
        <v>820</v>
      </c>
      <c r="C826" s="44"/>
      <c r="D826" s="50"/>
      <c r="E826" s="44"/>
      <c r="F826" s="227"/>
      <c r="G826" s="49">
        <v>1</v>
      </c>
      <c r="H826" s="73"/>
      <c r="I826" s="44"/>
      <c r="J826" s="48">
        <f t="shared" si="36"/>
        <v>1</v>
      </c>
      <c r="K826" s="48">
        <f t="shared" si="37"/>
        <v>0</v>
      </c>
      <c r="L826" s="68">
        <f t="shared" si="38"/>
        <v>0</v>
      </c>
    </row>
    <row r="827" spans="2:12" x14ac:dyDescent="0.85">
      <c r="B827" s="46">
        <v>821</v>
      </c>
      <c r="C827" s="10"/>
      <c r="D827" s="66"/>
      <c r="E827" s="10"/>
      <c r="F827" s="226"/>
      <c r="G827" s="47">
        <v>1</v>
      </c>
      <c r="H827" s="72"/>
      <c r="I827" s="10"/>
      <c r="J827" s="46">
        <f t="shared" si="36"/>
        <v>1</v>
      </c>
      <c r="K827" s="46">
        <f t="shared" si="37"/>
        <v>0</v>
      </c>
      <c r="L827" s="69">
        <f t="shared" si="38"/>
        <v>0</v>
      </c>
    </row>
    <row r="828" spans="2:12" x14ac:dyDescent="0.85">
      <c r="B828" s="48">
        <v>822</v>
      </c>
      <c r="C828" s="44"/>
      <c r="D828" s="50"/>
      <c r="E828" s="44"/>
      <c r="F828" s="227"/>
      <c r="G828" s="49">
        <v>1</v>
      </c>
      <c r="H828" s="73"/>
      <c r="I828" s="44"/>
      <c r="J828" s="48">
        <f t="shared" si="36"/>
        <v>1</v>
      </c>
      <c r="K828" s="48">
        <f t="shared" si="37"/>
        <v>0</v>
      </c>
      <c r="L828" s="68">
        <f t="shared" si="38"/>
        <v>0</v>
      </c>
    </row>
    <row r="829" spans="2:12" x14ac:dyDescent="0.85">
      <c r="B829" s="46">
        <v>823</v>
      </c>
      <c r="C829" s="10"/>
      <c r="D829" s="66"/>
      <c r="E829" s="10"/>
      <c r="F829" s="226"/>
      <c r="G829" s="47">
        <v>1</v>
      </c>
      <c r="H829" s="72"/>
      <c r="I829" s="10"/>
      <c r="J829" s="46">
        <f t="shared" si="36"/>
        <v>1</v>
      </c>
      <c r="K829" s="46">
        <f t="shared" si="37"/>
        <v>0</v>
      </c>
      <c r="L829" s="69">
        <f t="shared" si="38"/>
        <v>0</v>
      </c>
    </row>
    <row r="830" spans="2:12" x14ac:dyDescent="0.85">
      <c r="B830" s="48">
        <v>824</v>
      </c>
      <c r="C830" s="44"/>
      <c r="D830" s="50"/>
      <c r="E830" s="44"/>
      <c r="F830" s="227"/>
      <c r="G830" s="49">
        <v>1</v>
      </c>
      <c r="H830" s="73"/>
      <c r="I830" s="44"/>
      <c r="J830" s="48">
        <f t="shared" si="36"/>
        <v>1</v>
      </c>
      <c r="K830" s="48">
        <f t="shared" si="37"/>
        <v>0</v>
      </c>
      <c r="L830" s="68">
        <f t="shared" si="38"/>
        <v>0</v>
      </c>
    </row>
    <row r="831" spans="2:12" x14ac:dyDescent="0.85">
      <c r="B831" s="46">
        <v>825</v>
      </c>
      <c r="C831" s="10"/>
      <c r="D831" s="66"/>
      <c r="E831" s="10"/>
      <c r="F831" s="226"/>
      <c r="G831" s="47">
        <v>1</v>
      </c>
      <c r="H831" s="72"/>
      <c r="I831" s="10"/>
      <c r="J831" s="46">
        <f t="shared" si="36"/>
        <v>1</v>
      </c>
      <c r="K831" s="46">
        <f t="shared" si="37"/>
        <v>0</v>
      </c>
      <c r="L831" s="69">
        <f t="shared" si="38"/>
        <v>0</v>
      </c>
    </row>
    <row r="832" spans="2:12" x14ac:dyDescent="0.85">
      <c r="B832" s="48">
        <v>826</v>
      </c>
      <c r="C832" s="44"/>
      <c r="D832" s="50"/>
      <c r="E832" s="44"/>
      <c r="F832" s="227"/>
      <c r="G832" s="49">
        <v>1</v>
      </c>
      <c r="H832" s="73"/>
      <c r="I832" s="44"/>
      <c r="J832" s="48">
        <f t="shared" si="36"/>
        <v>1</v>
      </c>
      <c r="K832" s="48">
        <f t="shared" si="37"/>
        <v>0</v>
      </c>
      <c r="L832" s="68">
        <f t="shared" si="38"/>
        <v>0</v>
      </c>
    </row>
    <row r="833" spans="2:12" x14ac:dyDescent="0.85">
      <c r="B833" s="46">
        <v>827</v>
      </c>
      <c r="C833" s="10"/>
      <c r="D833" s="66"/>
      <c r="E833" s="10"/>
      <c r="F833" s="226"/>
      <c r="G833" s="47">
        <v>1</v>
      </c>
      <c r="H833" s="72"/>
      <c r="I833" s="10"/>
      <c r="J833" s="46">
        <f t="shared" si="36"/>
        <v>1</v>
      </c>
      <c r="K833" s="46">
        <f t="shared" si="37"/>
        <v>0</v>
      </c>
      <c r="L833" s="69">
        <f t="shared" si="38"/>
        <v>0</v>
      </c>
    </row>
    <row r="834" spans="2:12" x14ac:dyDescent="0.85">
      <c r="B834" s="48">
        <v>828</v>
      </c>
      <c r="C834" s="44"/>
      <c r="D834" s="50"/>
      <c r="E834" s="44"/>
      <c r="F834" s="227"/>
      <c r="G834" s="49">
        <v>1</v>
      </c>
      <c r="H834" s="73"/>
      <c r="I834" s="44"/>
      <c r="J834" s="48">
        <f t="shared" si="36"/>
        <v>1</v>
      </c>
      <c r="K834" s="48">
        <f t="shared" si="37"/>
        <v>0</v>
      </c>
      <c r="L834" s="68">
        <f t="shared" si="38"/>
        <v>0</v>
      </c>
    </row>
    <row r="835" spans="2:12" x14ac:dyDescent="0.85">
      <c r="B835" s="46">
        <v>829</v>
      </c>
      <c r="C835" s="10"/>
      <c r="D835" s="66"/>
      <c r="E835" s="10"/>
      <c r="F835" s="226"/>
      <c r="G835" s="47">
        <v>1</v>
      </c>
      <c r="H835" s="72"/>
      <c r="I835" s="10"/>
      <c r="J835" s="46">
        <f t="shared" si="36"/>
        <v>1</v>
      </c>
      <c r="K835" s="46">
        <f t="shared" si="37"/>
        <v>0</v>
      </c>
      <c r="L835" s="69">
        <f t="shared" si="38"/>
        <v>0</v>
      </c>
    </row>
    <row r="836" spans="2:12" x14ac:dyDescent="0.85">
      <c r="B836" s="48">
        <v>830</v>
      </c>
      <c r="C836" s="44"/>
      <c r="D836" s="50"/>
      <c r="E836" s="44"/>
      <c r="F836" s="227"/>
      <c r="G836" s="49">
        <v>1</v>
      </c>
      <c r="H836" s="73"/>
      <c r="I836" s="44"/>
      <c r="J836" s="48">
        <f t="shared" si="36"/>
        <v>1</v>
      </c>
      <c r="K836" s="48">
        <f t="shared" si="37"/>
        <v>0</v>
      </c>
      <c r="L836" s="68">
        <f t="shared" si="38"/>
        <v>0</v>
      </c>
    </row>
    <row r="837" spans="2:12" x14ac:dyDescent="0.85">
      <c r="B837" s="46">
        <v>831</v>
      </c>
      <c r="C837" s="10"/>
      <c r="D837" s="66"/>
      <c r="E837" s="10"/>
      <c r="F837" s="226"/>
      <c r="G837" s="47">
        <v>1</v>
      </c>
      <c r="H837" s="72"/>
      <c r="I837" s="10"/>
      <c r="J837" s="46">
        <f t="shared" si="36"/>
        <v>1</v>
      </c>
      <c r="K837" s="46">
        <f t="shared" si="37"/>
        <v>0</v>
      </c>
      <c r="L837" s="69">
        <f t="shared" si="38"/>
        <v>0</v>
      </c>
    </row>
    <row r="838" spans="2:12" x14ac:dyDescent="0.85">
      <c r="B838" s="48">
        <v>832</v>
      </c>
      <c r="C838" s="44"/>
      <c r="D838" s="50"/>
      <c r="E838" s="44"/>
      <c r="F838" s="227"/>
      <c r="G838" s="49">
        <v>1</v>
      </c>
      <c r="H838" s="73"/>
      <c r="I838" s="44"/>
      <c r="J838" s="48">
        <f t="shared" si="36"/>
        <v>1</v>
      </c>
      <c r="K838" s="48">
        <f t="shared" si="37"/>
        <v>0</v>
      </c>
      <c r="L838" s="68">
        <f t="shared" si="38"/>
        <v>0</v>
      </c>
    </row>
    <row r="839" spans="2:12" x14ac:dyDescent="0.85">
      <c r="B839" s="46">
        <v>833</v>
      </c>
      <c r="C839" s="10"/>
      <c r="D839" s="66"/>
      <c r="E839" s="10"/>
      <c r="F839" s="226"/>
      <c r="G839" s="47">
        <v>1</v>
      </c>
      <c r="H839" s="72"/>
      <c r="I839" s="10"/>
      <c r="J839" s="46">
        <f t="shared" ref="J839:J902" si="39">IF(ISBLANK(H839),1,H839)</f>
        <v>1</v>
      </c>
      <c r="K839" s="46">
        <f t="shared" ref="K839:K902" si="40">IF(COUNTIF(FreeElements, E839)&gt;0, F839, 0)</f>
        <v>0</v>
      </c>
      <c r="L839" s="69">
        <f t="shared" ref="L839:L902" si="41">J839*K839</f>
        <v>0</v>
      </c>
    </row>
    <row r="840" spans="2:12" x14ac:dyDescent="0.85">
      <c r="B840" s="48">
        <v>834</v>
      </c>
      <c r="C840" s="44"/>
      <c r="D840" s="50"/>
      <c r="E840" s="44"/>
      <c r="F840" s="227"/>
      <c r="G840" s="49">
        <v>1</v>
      </c>
      <c r="H840" s="73"/>
      <c r="I840" s="44"/>
      <c r="J840" s="48">
        <f t="shared" si="39"/>
        <v>1</v>
      </c>
      <c r="K840" s="48">
        <f t="shared" si="40"/>
        <v>0</v>
      </c>
      <c r="L840" s="68">
        <f t="shared" si="41"/>
        <v>0</v>
      </c>
    </row>
    <row r="841" spans="2:12" x14ac:dyDescent="0.85">
      <c r="B841" s="46">
        <v>835</v>
      </c>
      <c r="C841" s="10"/>
      <c r="D841" s="66"/>
      <c r="E841" s="10"/>
      <c r="F841" s="226"/>
      <c r="G841" s="47">
        <v>1</v>
      </c>
      <c r="H841" s="72"/>
      <c r="I841" s="10"/>
      <c r="J841" s="46">
        <f t="shared" si="39"/>
        <v>1</v>
      </c>
      <c r="K841" s="46">
        <f t="shared" si="40"/>
        <v>0</v>
      </c>
      <c r="L841" s="69">
        <f t="shared" si="41"/>
        <v>0</v>
      </c>
    </row>
    <row r="842" spans="2:12" x14ac:dyDescent="0.85">
      <c r="B842" s="48">
        <v>836</v>
      </c>
      <c r="C842" s="44"/>
      <c r="D842" s="50"/>
      <c r="E842" s="44"/>
      <c r="F842" s="227"/>
      <c r="G842" s="49">
        <v>1</v>
      </c>
      <c r="H842" s="73"/>
      <c r="I842" s="44"/>
      <c r="J842" s="48">
        <f t="shared" si="39"/>
        <v>1</v>
      </c>
      <c r="K842" s="48">
        <f t="shared" si="40"/>
        <v>0</v>
      </c>
      <c r="L842" s="68">
        <f t="shared" si="41"/>
        <v>0</v>
      </c>
    </row>
    <row r="843" spans="2:12" x14ac:dyDescent="0.85">
      <c r="B843" s="46">
        <v>837</v>
      </c>
      <c r="C843" s="10"/>
      <c r="D843" s="66"/>
      <c r="E843" s="10"/>
      <c r="F843" s="226"/>
      <c r="G843" s="47">
        <v>1</v>
      </c>
      <c r="H843" s="72"/>
      <c r="I843" s="10"/>
      <c r="J843" s="46">
        <f t="shared" si="39"/>
        <v>1</v>
      </c>
      <c r="K843" s="46">
        <f t="shared" si="40"/>
        <v>0</v>
      </c>
      <c r="L843" s="69">
        <f t="shared" si="41"/>
        <v>0</v>
      </c>
    </row>
    <row r="844" spans="2:12" x14ac:dyDescent="0.85">
      <c r="B844" s="48">
        <v>838</v>
      </c>
      <c r="C844" s="44"/>
      <c r="D844" s="50"/>
      <c r="E844" s="44"/>
      <c r="F844" s="227"/>
      <c r="G844" s="49">
        <v>1</v>
      </c>
      <c r="H844" s="73"/>
      <c r="I844" s="44"/>
      <c r="J844" s="48">
        <f t="shared" si="39"/>
        <v>1</v>
      </c>
      <c r="K844" s="48">
        <f t="shared" si="40"/>
        <v>0</v>
      </c>
      <c r="L844" s="68">
        <f t="shared" si="41"/>
        <v>0</v>
      </c>
    </row>
    <row r="845" spans="2:12" x14ac:dyDescent="0.85">
      <c r="B845" s="46">
        <v>839</v>
      </c>
      <c r="C845" s="10"/>
      <c r="D845" s="66"/>
      <c r="E845" s="10"/>
      <c r="F845" s="226"/>
      <c r="G845" s="47">
        <v>1</v>
      </c>
      <c r="H845" s="72"/>
      <c r="I845" s="10"/>
      <c r="J845" s="46">
        <f t="shared" si="39"/>
        <v>1</v>
      </c>
      <c r="K845" s="46">
        <f t="shared" si="40"/>
        <v>0</v>
      </c>
      <c r="L845" s="69">
        <f t="shared" si="41"/>
        <v>0</v>
      </c>
    </row>
    <row r="846" spans="2:12" x14ac:dyDescent="0.85">
      <c r="B846" s="48">
        <v>840</v>
      </c>
      <c r="C846" s="44"/>
      <c r="D846" s="50"/>
      <c r="E846" s="44"/>
      <c r="F846" s="227"/>
      <c r="G846" s="49">
        <v>1</v>
      </c>
      <c r="H846" s="73"/>
      <c r="I846" s="44"/>
      <c r="J846" s="48">
        <f t="shared" si="39"/>
        <v>1</v>
      </c>
      <c r="K846" s="48">
        <f t="shared" si="40"/>
        <v>0</v>
      </c>
      <c r="L846" s="68">
        <f t="shared" si="41"/>
        <v>0</v>
      </c>
    </row>
    <row r="847" spans="2:12" x14ac:dyDescent="0.85">
      <c r="B847" s="46">
        <v>841</v>
      </c>
      <c r="C847" s="10"/>
      <c r="D847" s="66"/>
      <c r="E847" s="10"/>
      <c r="F847" s="226"/>
      <c r="G847" s="47">
        <v>1</v>
      </c>
      <c r="H847" s="72"/>
      <c r="I847" s="10"/>
      <c r="J847" s="46">
        <f t="shared" si="39"/>
        <v>1</v>
      </c>
      <c r="K847" s="46">
        <f t="shared" si="40"/>
        <v>0</v>
      </c>
      <c r="L847" s="69">
        <f t="shared" si="41"/>
        <v>0</v>
      </c>
    </row>
    <row r="848" spans="2:12" x14ac:dyDescent="0.85">
      <c r="B848" s="48">
        <v>842</v>
      </c>
      <c r="C848" s="44"/>
      <c r="D848" s="50"/>
      <c r="E848" s="44"/>
      <c r="F848" s="227"/>
      <c r="G848" s="49">
        <v>1</v>
      </c>
      <c r="H848" s="73"/>
      <c r="I848" s="44"/>
      <c r="J848" s="48">
        <f t="shared" si="39"/>
        <v>1</v>
      </c>
      <c r="K848" s="48">
        <f t="shared" si="40"/>
        <v>0</v>
      </c>
      <c r="L848" s="68">
        <f t="shared" si="41"/>
        <v>0</v>
      </c>
    </row>
    <row r="849" spans="2:12" x14ac:dyDescent="0.85">
      <c r="B849" s="46">
        <v>843</v>
      </c>
      <c r="C849" s="10"/>
      <c r="D849" s="66"/>
      <c r="E849" s="10"/>
      <c r="F849" s="226"/>
      <c r="G849" s="47">
        <v>1</v>
      </c>
      <c r="H849" s="72"/>
      <c r="I849" s="10"/>
      <c r="J849" s="46">
        <f t="shared" si="39"/>
        <v>1</v>
      </c>
      <c r="K849" s="46">
        <f t="shared" si="40"/>
        <v>0</v>
      </c>
      <c r="L849" s="69">
        <f t="shared" si="41"/>
        <v>0</v>
      </c>
    </row>
    <row r="850" spans="2:12" x14ac:dyDescent="0.85">
      <c r="B850" s="48">
        <v>844</v>
      </c>
      <c r="C850" s="44"/>
      <c r="D850" s="50"/>
      <c r="E850" s="44"/>
      <c r="F850" s="227"/>
      <c r="G850" s="49">
        <v>1</v>
      </c>
      <c r="H850" s="73"/>
      <c r="I850" s="44"/>
      <c r="J850" s="48">
        <f t="shared" si="39"/>
        <v>1</v>
      </c>
      <c r="K850" s="48">
        <f t="shared" si="40"/>
        <v>0</v>
      </c>
      <c r="L850" s="68">
        <f t="shared" si="41"/>
        <v>0</v>
      </c>
    </row>
    <row r="851" spans="2:12" x14ac:dyDescent="0.85">
      <c r="B851" s="46">
        <v>845</v>
      </c>
      <c r="C851" s="10"/>
      <c r="D851" s="66"/>
      <c r="E851" s="10"/>
      <c r="F851" s="226"/>
      <c r="G851" s="47">
        <v>1</v>
      </c>
      <c r="H851" s="72"/>
      <c r="I851" s="10"/>
      <c r="J851" s="46">
        <f t="shared" si="39"/>
        <v>1</v>
      </c>
      <c r="K851" s="46">
        <f t="shared" si="40"/>
        <v>0</v>
      </c>
      <c r="L851" s="69">
        <f t="shared" si="41"/>
        <v>0</v>
      </c>
    </row>
    <row r="852" spans="2:12" x14ac:dyDescent="0.85">
      <c r="B852" s="48">
        <v>846</v>
      </c>
      <c r="C852" s="44"/>
      <c r="D852" s="50"/>
      <c r="E852" s="44"/>
      <c r="F852" s="227"/>
      <c r="G852" s="49">
        <v>1</v>
      </c>
      <c r="H852" s="73"/>
      <c r="I852" s="44"/>
      <c r="J852" s="48">
        <f t="shared" si="39"/>
        <v>1</v>
      </c>
      <c r="K852" s="48">
        <f t="shared" si="40"/>
        <v>0</v>
      </c>
      <c r="L852" s="68">
        <f t="shared" si="41"/>
        <v>0</v>
      </c>
    </row>
    <row r="853" spans="2:12" x14ac:dyDescent="0.85">
      <c r="B853" s="46">
        <v>847</v>
      </c>
      <c r="C853" s="10"/>
      <c r="D853" s="66"/>
      <c r="E853" s="10"/>
      <c r="F853" s="226"/>
      <c r="G853" s="47">
        <v>1</v>
      </c>
      <c r="H853" s="72"/>
      <c r="I853" s="10"/>
      <c r="J853" s="46">
        <f t="shared" si="39"/>
        <v>1</v>
      </c>
      <c r="K853" s="46">
        <f t="shared" si="40"/>
        <v>0</v>
      </c>
      <c r="L853" s="69">
        <f t="shared" si="41"/>
        <v>0</v>
      </c>
    </row>
    <row r="854" spans="2:12" x14ac:dyDescent="0.85">
      <c r="B854" s="48">
        <v>848</v>
      </c>
      <c r="C854" s="44"/>
      <c r="D854" s="50"/>
      <c r="E854" s="44"/>
      <c r="F854" s="227"/>
      <c r="G854" s="49">
        <v>1</v>
      </c>
      <c r="H854" s="73"/>
      <c r="I854" s="44"/>
      <c r="J854" s="48">
        <f t="shared" si="39"/>
        <v>1</v>
      </c>
      <c r="K854" s="48">
        <f t="shared" si="40"/>
        <v>0</v>
      </c>
      <c r="L854" s="68">
        <f t="shared" si="41"/>
        <v>0</v>
      </c>
    </row>
    <row r="855" spans="2:12" x14ac:dyDescent="0.85">
      <c r="B855" s="46">
        <v>849</v>
      </c>
      <c r="C855" s="10"/>
      <c r="D855" s="66"/>
      <c r="E855" s="10"/>
      <c r="F855" s="226"/>
      <c r="G855" s="47">
        <v>1</v>
      </c>
      <c r="H855" s="72"/>
      <c r="I855" s="10"/>
      <c r="J855" s="46">
        <f t="shared" si="39"/>
        <v>1</v>
      </c>
      <c r="K855" s="46">
        <f t="shared" si="40"/>
        <v>0</v>
      </c>
      <c r="L855" s="69">
        <f t="shared" si="41"/>
        <v>0</v>
      </c>
    </row>
    <row r="856" spans="2:12" x14ac:dyDescent="0.85">
      <c r="B856" s="48">
        <v>850</v>
      </c>
      <c r="C856" s="44"/>
      <c r="D856" s="50"/>
      <c r="E856" s="44"/>
      <c r="F856" s="227"/>
      <c r="G856" s="49">
        <v>1</v>
      </c>
      <c r="H856" s="73"/>
      <c r="I856" s="44"/>
      <c r="J856" s="48">
        <f t="shared" si="39"/>
        <v>1</v>
      </c>
      <c r="K856" s="48">
        <f t="shared" si="40"/>
        <v>0</v>
      </c>
      <c r="L856" s="68">
        <f t="shared" si="41"/>
        <v>0</v>
      </c>
    </row>
    <row r="857" spans="2:12" x14ac:dyDescent="0.85">
      <c r="B857" s="46">
        <v>851</v>
      </c>
      <c r="C857" s="10"/>
      <c r="D857" s="66"/>
      <c r="E857" s="10"/>
      <c r="F857" s="226"/>
      <c r="G857" s="47">
        <v>1</v>
      </c>
      <c r="H857" s="72"/>
      <c r="I857" s="10"/>
      <c r="J857" s="46">
        <f t="shared" si="39"/>
        <v>1</v>
      </c>
      <c r="K857" s="46">
        <f t="shared" si="40"/>
        <v>0</v>
      </c>
      <c r="L857" s="69">
        <f t="shared" si="41"/>
        <v>0</v>
      </c>
    </row>
    <row r="858" spans="2:12" x14ac:dyDescent="0.85">
      <c r="B858" s="48">
        <v>852</v>
      </c>
      <c r="C858" s="44"/>
      <c r="D858" s="50"/>
      <c r="E858" s="44"/>
      <c r="F858" s="227"/>
      <c r="G858" s="49">
        <v>1</v>
      </c>
      <c r="H858" s="73"/>
      <c r="I858" s="44"/>
      <c r="J858" s="48">
        <f t="shared" si="39"/>
        <v>1</v>
      </c>
      <c r="K858" s="48">
        <f t="shared" si="40"/>
        <v>0</v>
      </c>
      <c r="L858" s="68">
        <f t="shared" si="41"/>
        <v>0</v>
      </c>
    </row>
    <row r="859" spans="2:12" x14ac:dyDescent="0.85">
      <c r="B859" s="46">
        <v>853</v>
      </c>
      <c r="C859" s="10"/>
      <c r="D859" s="66"/>
      <c r="E859" s="10"/>
      <c r="F859" s="226"/>
      <c r="G859" s="47">
        <v>1</v>
      </c>
      <c r="H859" s="72"/>
      <c r="I859" s="10"/>
      <c r="J859" s="46">
        <f t="shared" si="39"/>
        <v>1</v>
      </c>
      <c r="K859" s="46">
        <f t="shared" si="40"/>
        <v>0</v>
      </c>
      <c r="L859" s="69">
        <f t="shared" si="41"/>
        <v>0</v>
      </c>
    </row>
    <row r="860" spans="2:12" x14ac:dyDescent="0.85">
      <c r="B860" s="48">
        <v>854</v>
      </c>
      <c r="C860" s="44"/>
      <c r="D860" s="50"/>
      <c r="E860" s="44"/>
      <c r="F860" s="227"/>
      <c r="G860" s="49">
        <v>1</v>
      </c>
      <c r="H860" s="73"/>
      <c r="I860" s="44"/>
      <c r="J860" s="48">
        <f t="shared" si="39"/>
        <v>1</v>
      </c>
      <c r="K860" s="48">
        <f t="shared" si="40"/>
        <v>0</v>
      </c>
      <c r="L860" s="68">
        <f t="shared" si="41"/>
        <v>0</v>
      </c>
    </row>
    <row r="861" spans="2:12" x14ac:dyDescent="0.85">
      <c r="B861" s="46">
        <v>855</v>
      </c>
      <c r="C861" s="10"/>
      <c r="D861" s="66"/>
      <c r="E861" s="10"/>
      <c r="F861" s="226"/>
      <c r="G861" s="47">
        <v>1</v>
      </c>
      <c r="H861" s="72"/>
      <c r="I861" s="10"/>
      <c r="J861" s="46">
        <f t="shared" si="39"/>
        <v>1</v>
      </c>
      <c r="K861" s="46">
        <f t="shared" si="40"/>
        <v>0</v>
      </c>
      <c r="L861" s="69">
        <f t="shared" si="41"/>
        <v>0</v>
      </c>
    </row>
    <row r="862" spans="2:12" x14ac:dyDescent="0.85">
      <c r="B862" s="48">
        <v>856</v>
      </c>
      <c r="C862" s="44"/>
      <c r="D862" s="50"/>
      <c r="E862" s="44"/>
      <c r="F862" s="227"/>
      <c r="G862" s="49">
        <v>1</v>
      </c>
      <c r="H862" s="73"/>
      <c r="I862" s="44"/>
      <c r="J862" s="48">
        <f t="shared" si="39"/>
        <v>1</v>
      </c>
      <c r="K862" s="48">
        <f t="shared" si="40"/>
        <v>0</v>
      </c>
      <c r="L862" s="68">
        <f t="shared" si="41"/>
        <v>0</v>
      </c>
    </row>
    <row r="863" spans="2:12" x14ac:dyDescent="0.85">
      <c r="B863" s="46">
        <v>857</v>
      </c>
      <c r="C863" s="10"/>
      <c r="D863" s="66"/>
      <c r="E863" s="10"/>
      <c r="F863" s="226"/>
      <c r="G863" s="47">
        <v>1</v>
      </c>
      <c r="H863" s="72"/>
      <c r="I863" s="10"/>
      <c r="J863" s="46">
        <f t="shared" si="39"/>
        <v>1</v>
      </c>
      <c r="K863" s="46">
        <f t="shared" si="40"/>
        <v>0</v>
      </c>
      <c r="L863" s="69">
        <f t="shared" si="41"/>
        <v>0</v>
      </c>
    </row>
    <row r="864" spans="2:12" x14ac:dyDescent="0.85">
      <c r="B864" s="48">
        <v>858</v>
      </c>
      <c r="C864" s="44"/>
      <c r="D864" s="50"/>
      <c r="E864" s="44"/>
      <c r="F864" s="227"/>
      <c r="G864" s="49">
        <v>1</v>
      </c>
      <c r="H864" s="73"/>
      <c r="I864" s="44"/>
      <c r="J864" s="48">
        <f t="shared" si="39"/>
        <v>1</v>
      </c>
      <c r="K864" s="48">
        <f t="shared" si="40"/>
        <v>0</v>
      </c>
      <c r="L864" s="68">
        <f t="shared" si="41"/>
        <v>0</v>
      </c>
    </row>
    <row r="865" spans="2:12" x14ac:dyDescent="0.85">
      <c r="B865" s="46">
        <v>859</v>
      </c>
      <c r="C865" s="10"/>
      <c r="D865" s="66"/>
      <c r="E865" s="10"/>
      <c r="F865" s="226"/>
      <c r="G865" s="47">
        <v>1</v>
      </c>
      <c r="H865" s="72"/>
      <c r="I865" s="10"/>
      <c r="J865" s="46">
        <f t="shared" si="39"/>
        <v>1</v>
      </c>
      <c r="K865" s="46">
        <f t="shared" si="40"/>
        <v>0</v>
      </c>
      <c r="L865" s="69">
        <f t="shared" si="41"/>
        <v>0</v>
      </c>
    </row>
    <row r="866" spans="2:12" x14ac:dyDescent="0.85">
      <c r="B866" s="48">
        <v>860</v>
      </c>
      <c r="C866" s="44"/>
      <c r="D866" s="50"/>
      <c r="E866" s="44"/>
      <c r="F866" s="227"/>
      <c r="G866" s="49">
        <v>1</v>
      </c>
      <c r="H866" s="73"/>
      <c r="I866" s="44"/>
      <c r="J866" s="48">
        <f t="shared" si="39"/>
        <v>1</v>
      </c>
      <c r="K866" s="48">
        <f t="shared" si="40"/>
        <v>0</v>
      </c>
      <c r="L866" s="68">
        <f t="shared" si="41"/>
        <v>0</v>
      </c>
    </row>
    <row r="867" spans="2:12" x14ac:dyDescent="0.85">
      <c r="B867" s="46">
        <v>861</v>
      </c>
      <c r="C867" s="10"/>
      <c r="D867" s="66"/>
      <c r="E867" s="10"/>
      <c r="F867" s="226"/>
      <c r="G867" s="47">
        <v>1</v>
      </c>
      <c r="H867" s="72"/>
      <c r="I867" s="10"/>
      <c r="J867" s="46">
        <f t="shared" si="39"/>
        <v>1</v>
      </c>
      <c r="K867" s="46">
        <f t="shared" si="40"/>
        <v>0</v>
      </c>
      <c r="L867" s="69">
        <f t="shared" si="41"/>
        <v>0</v>
      </c>
    </row>
    <row r="868" spans="2:12" x14ac:dyDescent="0.85">
      <c r="B868" s="48">
        <v>862</v>
      </c>
      <c r="C868" s="44"/>
      <c r="D868" s="50"/>
      <c r="E868" s="44"/>
      <c r="F868" s="227"/>
      <c r="G868" s="49">
        <v>1</v>
      </c>
      <c r="H868" s="73"/>
      <c r="I868" s="44"/>
      <c r="J868" s="48">
        <f t="shared" si="39"/>
        <v>1</v>
      </c>
      <c r="K868" s="48">
        <f t="shared" si="40"/>
        <v>0</v>
      </c>
      <c r="L868" s="68">
        <f t="shared" si="41"/>
        <v>0</v>
      </c>
    </row>
    <row r="869" spans="2:12" x14ac:dyDescent="0.85">
      <c r="B869" s="46">
        <v>863</v>
      </c>
      <c r="C869" s="10"/>
      <c r="D869" s="66"/>
      <c r="E869" s="10"/>
      <c r="F869" s="226"/>
      <c r="G869" s="47">
        <v>1</v>
      </c>
      <c r="H869" s="72"/>
      <c r="I869" s="10"/>
      <c r="J869" s="46">
        <f t="shared" si="39"/>
        <v>1</v>
      </c>
      <c r="K869" s="46">
        <f t="shared" si="40"/>
        <v>0</v>
      </c>
      <c r="L869" s="69">
        <f t="shared" si="41"/>
        <v>0</v>
      </c>
    </row>
    <row r="870" spans="2:12" x14ac:dyDescent="0.85">
      <c r="B870" s="48">
        <v>864</v>
      </c>
      <c r="C870" s="44"/>
      <c r="D870" s="50"/>
      <c r="E870" s="44"/>
      <c r="F870" s="227"/>
      <c r="G870" s="49">
        <v>1</v>
      </c>
      <c r="H870" s="73"/>
      <c r="I870" s="44"/>
      <c r="J870" s="48">
        <f t="shared" si="39"/>
        <v>1</v>
      </c>
      <c r="K870" s="48">
        <f t="shared" si="40"/>
        <v>0</v>
      </c>
      <c r="L870" s="68">
        <f t="shared" si="41"/>
        <v>0</v>
      </c>
    </row>
    <row r="871" spans="2:12" x14ac:dyDescent="0.85">
      <c r="B871" s="46">
        <v>865</v>
      </c>
      <c r="C871" s="10"/>
      <c r="D871" s="66"/>
      <c r="E871" s="10"/>
      <c r="F871" s="226"/>
      <c r="G871" s="47">
        <v>1</v>
      </c>
      <c r="H871" s="72"/>
      <c r="I871" s="10"/>
      <c r="J871" s="46">
        <f t="shared" si="39"/>
        <v>1</v>
      </c>
      <c r="K871" s="46">
        <f t="shared" si="40"/>
        <v>0</v>
      </c>
      <c r="L871" s="69">
        <f t="shared" si="41"/>
        <v>0</v>
      </c>
    </row>
    <row r="872" spans="2:12" x14ac:dyDescent="0.85">
      <c r="B872" s="48">
        <v>866</v>
      </c>
      <c r="C872" s="44"/>
      <c r="D872" s="50"/>
      <c r="E872" s="44"/>
      <c r="F872" s="227"/>
      <c r="G872" s="49">
        <v>1</v>
      </c>
      <c r="H872" s="73"/>
      <c r="I872" s="44"/>
      <c r="J872" s="48">
        <f t="shared" si="39"/>
        <v>1</v>
      </c>
      <c r="K872" s="48">
        <f t="shared" si="40"/>
        <v>0</v>
      </c>
      <c r="L872" s="68">
        <f t="shared" si="41"/>
        <v>0</v>
      </c>
    </row>
    <row r="873" spans="2:12" x14ac:dyDescent="0.85">
      <c r="B873" s="46">
        <v>867</v>
      </c>
      <c r="C873" s="10"/>
      <c r="D873" s="66"/>
      <c r="E873" s="10"/>
      <c r="F873" s="226"/>
      <c r="G873" s="47">
        <v>1</v>
      </c>
      <c r="H873" s="72"/>
      <c r="I873" s="10"/>
      <c r="J873" s="46">
        <f t="shared" si="39"/>
        <v>1</v>
      </c>
      <c r="K873" s="46">
        <f t="shared" si="40"/>
        <v>0</v>
      </c>
      <c r="L873" s="69">
        <f t="shared" si="41"/>
        <v>0</v>
      </c>
    </row>
    <row r="874" spans="2:12" x14ac:dyDescent="0.85">
      <c r="B874" s="48">
        <v>868</v>
      </c>
      <c r="C874" s="44"/>
      <c r="D874" s="50"/>
      <c r="E874" s="44"/>
      <c r="F874" s="227"/>
      <c r="G874" s="49">
        <v>1</v>
      </c>
      <c r="H874" s="73"/>
      <c r="I874" s="44"/>
      <c r="J874" s="48">
        <f t="shared" si="39"/>
        <v>1</v>
      </c>
      <c r="K874" s="48">
        <f t="shared" si="40"/>
        <v>0</v>
      </c>
      <c r="L874" s="68">
        <f t="shared" si="41"/>
        <v>0</v>
      </c>
    </row>
    <row r="875" spans="2:12" x14ac:dyDescent="0.85">
      <c r="B875" s="46">
        <v>869</v>
      </c>
      <c r="C875" s="10"/>
      <c r="D875" s="66"/>
      <c r="E875" s="10"/>
      <c r="F875" s="226"/>
      <c r="G875" s="47">
        <v>1</v>
      </c>
      <c r="H875" s="72"/>
      <c r="I875" s="10"/>
      <c r="J875" s="46">
        <f t="shared" si="39"/>
        <v>1</v>
      </c>
      <c r="K875" s="46">
        <f t="shared" si="40"/>
        <v>0</v>
      </c>
      <c r="L875" s="69">
        <f t="shared" si="41"/>
        <v>0</v>
      </c>
    </row>
    <row r="876" spans="2:12" x14ac:dyDescent="0.85">
      <c r="B876" s="48">
        <v>870</v>
      </c>
      <c r="C876" s="44"/>
      <c r="D876" s="50"/>
      <c r="E876" s="44"/>
      <c r="F876" s="227"/>
      <c r="G876" s="49">
        <v>1</v>
      </c>
      <c r="H876" s="73"/>
      <c r="I876" s="44"/>
      <c r="J876" s="48">
        <f t="shared" si="39"/>
        <v>1</v>
      </c>
      <c r="K876" s="48">
        <f t="shared" si="40"/>
        <v>0</v>
      </c>
      <c r="L876" s="68">
        <f t="shared" si="41"/>
        <v>0</v>
      </c>
    </row>
    <row r="877" spans="2:12" x14ac:dyDescent="0.85">
      <c r="B877" s="46">
        <v>871</v>
      </c>
      <c r="C877" s="10"/>
      <c r="D877" s="66"/>
      <c r="E877" s="10"/>
      <c r="F877" s="226"/>
      <c r="G877" s="47">
        <v>1</v>
      </c>
      <c r="H877" s="72"/>
      <c r="I877" s="10"/>
      <c r="J877" s="46">
        <f t="shared" si="39"/>
        <v>1</v>
      </c>
      <c r="K877" s="46">
        <f t="shared" si="40"/>
        <v>0</v>
      </c>
      <c r="L877" s="69">
        <f t="shared" si="41"/>
        <v>0</v>
      </c>
    </row>
    <row r="878" spans="2:12" x14ac:dyDescent="0.85">
      <c r="B878" s="48">
        <v>872</v>
      </c>
      <c r="C878" s="44"/>
      <c r="D878" s="50"/>
      <c r="E878" s="44"/>
      <c r="F878" s="227"/>
      <c r="G878" s="49">
        <v>1</v>
      </c>
      <c r="H878" s="73"/>
      <c r="I878" s="44"/>
      <c r="J878" s="48">
        <f t="shared" si="39"/>
        <v>1</v>
      </c>
      <c r="K878" s="48">
        <f t="shared" si="40"/>
        <v>0</v>
      </c>
      <c r="L878" s="68">
        <f t="shared" si="41"/>
        <v>0</v>
      </c>
    </row>
    <row r="879" spans="2:12" x14ac:dyDescent="0.85">
      <c r="B879" s="46">
        <v>873</v>
      </c>
      <c r="C879" s="10"/>
      <c r="D879" s="66"/>
      <c r="E879" s="10"/>
      <c r="F879" s="226"/>
      <c r="G879" s="47">
        <v>1</v>
      </c>
      <c r="H879" s="72"/>
      <c r="I879" s="10"/>
      <c r="J879" s="46">
        <f t="shared" si="39"/>
        <v>1</v>
      </c>
      <c r="K879" s="46">
        <f t="shared" si="40"/>
        <v>0</v>
      </c>
      <c r="L879" s="69">
        <f t="shared" si="41"/>
        <v>0</v>
      </c>
    </row>
    <row r="880" spans="2:12" x14ac:dyDescent="0.85">
      <c r="B880" s="48">
        <v>874</v>
      </c>
      <c r="C880" s="44"/>
      <c r="D880" s="50"/>
      <c r="E880" s="44"/>
      <c r="F880" s="227"/>
      <c r="G880" s="49">
        <v>1</v>
      </c>
      <c r="H880" s="73"/>
      <c r="I880" s="44"/>
      <c r="J880" s="48">
        <f t="shared" si="39"/>
        <v>1</v>
      </c>
      <c r="K880" s="48">
        <f t="shared" si="40"/>
        <v>0</v>
      </c>
      <c r="L880" s="68">
        <f t="shared" si="41"/>
        <v>0</v>
      </c>
    </row>
    <row r="881" spans="2:12" x14ac:dyDescent="0.85">
      <c r="B881" s="46">
        <v>875</v>
      </c>
      <c r="C881" s="10"/>
      <c r="D881" s="66"/>
      <c r="E881" s="10"/>
      <c r="F881" s="226"/>
      <c r="G881" s="47">
        <v>1</v>
      </c>
      <c r="H881" s="72"/>
      <c r="I881" s="10"/>
      <c r="J881" s="46">
        <f t="shared" si="39"/>
        <v>1</v>
      </c>
      <c r="K881" s="46">
        <f t="shared" si="40"/>
        <v>0</v>
      </c>
      <c r="L881" s="69">
        <f t="shared" si="41"/>
        <v>0</v>
      </c>
    </row>
    <row r="882" spans="2:12" x14ac:dyDescent="0.85">
      <c r="B882" s="48">
        <v>876</v>
      </c>
      <c r="C882" s="44"/>
      <c r="D882" s="50"/>
      <c r="E882" s="44"/>
      <c r="F882" s="227"/>
      <c r="G882" s="49">
        <v>1</v>
      </c>
      <c r="H882" s="73"/>
      <c r="I882" s="44"/>
      <c r="J882" s="48">
        <f t="shared" si="39"/>
        <v>1</v>
      </c>
      <c r="K882" s="48">
        <f t="shared" si="40"/>
        <v>0</v>
      </c>
      <c r="L882" s="68">
        <f t="shared" si="41"/>
        <v>0</v>
      </c>
    </row>
    <row r="883" spans="2:12" x14ac:dyDescent="0.85">
      <c r="B883" s="46">
        <v>877</v>
      </c>
      <c r="C883" s="10"/>
      <c r="D883" s="66"/>
      <c r="E883" s="10"/>
      <c r="F883" s="226"/>
      <c r="G883" s="47">
        <v>1</v>
      </c>
      <c r="H883" s="72"/>
      <c r="I883" s="10"/>
      <c r="J883" s="46">
        <f t="shared" si="39"/>
        <v>1</v>
      </c>
      <c r="K883" s="46">
        <f t="shared" si="40"/>
        <v>0</v>
      </c>
      <c r="L883" s="69">
        <f t="shared" si="41"/>
        <v>0</v>
      </c>
    </row>
    <row r="884" spans="2:12" x14ac:dyDescent="0.85">
      <c r="B884" s="48">
        <v>878</v>
      </c>
      <c r="C884" s="44"/>
      <c r="D884" s="50"/>
      <c r="E884" s="44"/>
      <c r="F884" s="227"/>
      <c r="G884" s="49">
        <v>1</v>
      </c>
      <c r="H884" s="73"/>
      <c r="I884" s="44"/>
      <c r="J884" s="48">
        <f t="shared" si="39"/>
        <v>1</v>
      </c>
      <c r="K884" s="48">
        <f t="shared" si="40"/>
        <v>0</v>
      </c>
      <c r="L884" s="68">
        <f t="shared" si="41"/>
        <v>0</v>
      </c>
    </row>
    <row r="885" spans="2:12" x14ac:dyDescent="0.85">
      <c r="B885" s="46">
        <v>879</v>
      </c>
      <c r="C885" s="10"/>
      <c r="D885" s="66"/>
      <c r="E885" s="10"/>
      <c r="F885" s="226"/>
      <c r="G885" s="47">
        <v>1</v>
      </c>
      <c r="H885" s="72"/>
      <c r="I885" s="10"/>
      <c r="J885" s="46">
        <f t="shared" si="39"/>
        <v>1</v>
      </c>
      <c r="K885" s="46">
        <f t="shared" si="40"/>
        <v>0</v>
      </c>
      <c r="L885" s="69">
        <f t="shared" si="41"/>
        <v>0</v>
      </c>
    </row>
    <row r="886" spans="2:12" x14ac:dyDescent="0.85">
      <c r="B886" s="48">
        <v>880</v>
      </c>
      <c r="C886" s="44"/>
      <c r="D886" s="50"/>
      <c r="E886" s="44"/>
      <c r="F886" s="227"/>
      <c r="G886" s="49">
        <v>1</v>
      </c>
      <c r="H886" s="73"/>
      <c r="I886" s="44"/>
      <c r="J886" s="48">
        <f t="shared" si="39"/>
        <v>1</v>
      </c>
      <c r="K886" s="48">
        <f t="shared" si="40"/>
        <v>0</v>
      </c>
      <c r="L886" s="68">
        <f t="shared" si="41"/>
        <v>0</v>
      </c>
    </row>
    <row r="887" spans="2:12" x14ac:dyDescent="0.85">
      <c r="B887" s="46">
        <v>881</v>
      </c>
      <c r="C887" s="10"/>
      <c r="D887" s="66"/>
      <c r="E887" s="10"/>
      <c r="F887" s="226"/>
      <c r="G887" s="47">
        <v>1</v>
      </c>
      <c r="H887" s="72"/>
      <c r="I887" s="10"/>
      <c r="J887" s="46">
        <f t="shared" si="39"/>
        <v>1</v>
      </c>
      <c r="K887" s="46">
        <f t="shared" si="40"/>
        <v>0</v>
      </c>
      <c r="L887" s="69">
        <f t="shared" si="41"/>
        <v>0</v>
      </c>
    </row>
    <row r="888" spans="2:12" x14ac:dyDescent="0.85">
      <c r="B888" s="48">
        <v>882</v>
      </c>
      <c r="C888" s="44"/>
      <c r="D888" s="50"/>
      <c r="E888" s="44"/>
      <c r="F888" s="227"/>
      <c r="G888" s="49">
        <v>1</v>
      </c>
      <c r="H888" s="73"/>
      <c r="I888" s="44"/>
      <c r="J888" s="48">
        <f t="shared" si="39"/>
        <v>1</v>
      </c>
      <c r="K888" s="48">
        <f t="shared" si="40"/>
        <v>0</v>
      </c>
      <c r="L888" s="68">
        <f t="shared" si="41"/>
        <v>0</v>
      </c>
    </row>
    <row r="889" spans="2:12" x14ac:dyDescent="0.85">
      <c r="B889" s="46">
        <v>883</v>
      </c>
      <c r="C889" s="10"/>
      <c r="D889" s="66"/>
      <c r="E889" s="10"/>
      <c r="F889" s="226"/>
      <c r="G889" s="47">
        <v>1</v>
      </c>
      <c r="H889" s="72"/>
      <c r="I889" s="10"/>
      <c r="J889" s="46">
        <f t="shared" si="39"/>
        <v>1</v>
      </c>
      <c r="K889" s="46">
        <f t="shared" si="40"/>
        <v>0</v>
      </c>
      <c r="L889" s="69">
        <f t="shared" si="41"/>
        <v>0</v>
      </c>
    </row>
    <row r="890" spans="2:12" x14ac:dyDescent="0.85">
      <c r="B890" s="48">
        <v>884</v>
      </c>
      <c r="C890" s="44"/>
      <c r="D890" s="50"/>
      <c r="E890" s="44"/>
      <c r="F890" s="227"/>
      <c r="G890" s="49">
        <v>1</v>
      </c>
      <c r="H890" s="73"/>
      <c r="I890" s="44"/>
      <c r="J890" s="48">
        <f t="shared" si="39"/>
        <v>1</v>
      </c>
      <c r="K890" s="48">
        <f t="shared" si="40"/>
        <v>0</v>
      </c>
      <c r="L890" s="68">
        <f t="shared" si="41"/>
        <v>0</v>
      </c>
    </row>
    <row r="891" spans="2:12" x14ac:dyDescent="0.85">
      <c r="B891" s="46">
        <v>885</v>
      </c>
      <c r="C891" s="10"/>
      <c r="D891" s="66"/>
      <c r="E891" s="10"/>
      <c r="F891" s="226"/>
      <c r="G891" s="47">
        <v>1</v>
      </c>
      <c r="H891" s="72"/>
      <c r="I891" s="10"/>
      <c r="J891" s="46">
        <f t="shared" si="39"/>
        <v>1</v>
      </c>
      <c r="K891" s="46">
        <f t="shared" si="40"/>
        <v>0</v>
      </c>
      <c r="L891" s="69">
        <f t="shared" si="41"/>
        <v>0</v>
      </c>
    </row>
    <row r="892" spans="2:12" x14ac:dyDescent="0.85">
      <c r="B892" s="48">
        <v>886</v>
      </c>
      <c r="C892" s="44"/>
      <c r="D892" s="50"/>
      <c r="E892" s="44"/>
      <c r="F892" s="227"/>
      <c r="G892" s="49">
        <v>1</v>
      </c>
      <c r="H892" s="73"/>
      <c r="I892" s="44"/>
      <c r="J892" s="48">
        <f t="shared" si="39"/>
        <v>1</v>
      </c>
      <c r="K892" s="48">
        <f t="shared" si="40"/>
        <v>0</v>
      </c>
      <c r="L892" s="68">
        <f t="shared" si="41"/>
        <v>0</v>
      </c>
    </row>
    <row r="893" spans="2:12" x14ac:dyDescent="0.85">
      <c r="B893" s="46">
        <v>887</v>
      </c>
      <c r="C893" s="10"/>
      <c r="D893" s="66"/>
      <c r="E893" s="10"/>
      <c r="F893" s="226"/>
      <c r="G893" s="47">
        <v>1</v>
      </c>
      <c r="H893" s="72"/>
      <c r="I893" s="10"/>
      <c r="J893" s="46">
        <f t="shared" si="39"/>
        <v>1</v>
      </c>
      <c r="K893" s="46">
        <f t="shared" si="40"/>
        <v>0</v>
      </c>
      <c r="L893" s="69">
        <f t="shared" si="41"/>
        <v>0</v>
      </c>
    </row>
    <row r="894" spans="2:12" x14ac:dyDescent="0.85">
      <c r="B894" s="48">
        <v>888</v>
      </c>
      <c r="C894" s="44"/>
      <c r="D894" s="50"/>
      <c r="E894" s="44"/>
      <c r="F894" s="227"/>
      <c r="G894" s="49">
        <v>1</v>
      </c>
      <c r="H894" s="73"/>
      <c r="I894" s="44"/>
      <c r="J894" s="48">
        <f t="shared" si="39"/>
        <v>1</v>
      </c>
      <c r="K894" s="48">
        <f t="shared" si="40"/>
        <v>0</v>
      </c>
      <c r="L894" s="68">
        <f t="shared" si="41"/>
        <v>0</v>
      </c>
    </row>
    <row r="895" spans="2:12" x14ac:dyDescent="0.85">
      <c r="B895" s="46">
        <v>889</v>
      </c>
      <c r="C895" s="10"/>
      <c r="D895" s="66"/>
      <c r="E895" s="10"/>
      <c r="F895" s="226"/>
      <c r="G895" s="47">
        <v>1</v>
      </c>
      <c r="H895" s="72"/>
      <c r="I895" s="10"/>
      <c r="J895" s="46">
        <f t="shared" si="39"/>
        <v>1</v>
      </c>
      <c r="K895" s="46">
        <f t="shared" si="40"/>
        <v>0</v>
      </c>
      <c r="L895" s="69">
        <f t="shared" si="41"/>
        <v>0</v>
      </c>
    </row>
    <row r="896" spans="2:12" x14ac:dyDescent="0.85">
      <c r="B896" s="48">
        <v>890</v>
      </c>
      <c r="C896" s="44"/>
      <c r="D896" s="50"/>
      <c r="E896" s="44"/>
      <c r="F896" s="227"/>
      <c r="G896" s="49">
        <v>1</v>
      </c>
      <c r="H896" s="73"/>
      <c r="I896" s="44"/>
      <c r="J896" s="48">
        <f t="shared" si="39"/>
        <v>1</v>
      </c>
      <c r="K896" s="48">
        <f t="shared" si="40"/>
        <v>0</v>
      </c>
      <c r="L896" s="68">
        <f t="shared" si="41"/>
        <v>0</v>
      </c>
    </row>
    <row r="897" spans="2:12" x14ac:dyDescent="0.85">
      <c r="B897" s="46">
        <v>891</v>
      </c>
      <c r="C897" s="10"/>
      <c r="D897" s="66"/>
      <c r="E897" s="10"/>
      <c r="F897" s="226"/>
      <c r="G897" s="47">
        <v>1</v>
      </c>
      <c r="H897" s="72"/>
      <c r="I897" s="10"/>
      <c r="J897" s="46">
        <f t="shared" si="39"/>
        <v>1</v>
      </c>
      <c r="K897" s="46">
        <f t="shared" si="40"/>
        <v>0</v>
      </c>
      <c r="L897" s="69">
        <f t="shared" si="41"/>
        <v>0</v>
      </c>
    </row>
    <row r="898" spans="2:12" x14ac:dyDescent="0.85">
      <c r="B898" s="48">
        <v>892</v>
      </c>
      <c r="C898" s="44"/>
      <c r="D898" s="50"/>
      <c r="E898" s="44"/>
      <c r="F898" s="227"/>
      <c r="G898" s="49">
        <v>1</v>
      </c>
      <c r="H898" s="73"/>
      <c r="I898" s="44"/>
      <c r="J898" s="48">
        <f t="shared" si="39"/>
        <v>1</v>
      </c>
      <c r="K898" s="48">
        <f t="shared" si="40"/>
        <v>0</v>
      </c>
      <c r="L898" s="68">
        <f t="shared" si="41"/>
        <v>0</v>
      </c>
    </row>
    <row r="899" spans="2:12" x14ac:dyDescent="0.85">
      <c r="B899" s="46">
        <v>893</v>
      </c>
      <c r="C899" s="10"/>
      <c r="D899" s="66"/>
      <c r="E899" s="10"/>
      <c r="F899" s="226"/>
      <c r="G899" s="47">
        <v>1</v>
      </c>
      <c r="H899" s="72"/>
      <c r="I899" s="10"/>
      <c r="J899" s="46">
        <f t="shared" si="39"/>
        <v>1</v>
      </c>
      <c r="K899" s="46">
        <f t="shared" si="40"/>
        <v>0</v>
      </c>
      <c r="L899" s="69">
        <f t="shared" si="41"/>
        <v>0</v>
      </c>
    </row>
    <row r="900" spans="2:12" x14ac:dyDescent="0.85">
      <c r="B900" s="48">
        <v>894</v>
      </c>
      <c r="C900" s="44"/>
      <c r="D900" s="50"/>
      <c r="E900" s="44"/>
      <c r="F900" s="227"/>
      <c r="G900" s="49">
        <v>1</v>
      </c>
      <c r="H900" s="73"/>
      <c r="I900" s="44"/>
      <c r="J900" s="48">
        <f t="shared" si="39"/>
        <v>1</v>
      </c>
      <c r="K900" s="48">
        <f t="shared" si="40"/>
        <v>0</v>
      </c>
      <c r="L900" s="68">
        <f t="shared" si="41"/>
        <v>0</v>
      </c>
    </row>
    <row r="901" spans="2:12" x14ac:dyDescent="0.85">
      <c r="B901" s="46">
        <v>895</v>
      </c>
      <c r="C901" s="10"/>
      <c r="D901" s="66"/>
      <c r="E901" s="10"/>
      <c r="F901" s="226"/>
      <c r="G901" s="47">
        <v>1</v>
      </c>
      <c r="H901" s="72"/>
      <c r="I901" s="10"/>
      <c r="J901" s="46">
        <f t="shared" si="39"/>
        <v>1</v>
      </c>
      <c r="K901" s="46">
        <f t="shared" si="40"/>
        <v>0</v>
      </c>
      <c r="L901" s="69">
        <f t="shared" si="41"/>
        <v>0</v>
      </c>
    </row>
    <row r="902" spans="2:12" x14ac:dyDescent="0.85">
      <c r="B902" s="48">
        <v>896</v>
      </c>
      <c r="C902" s="44"/>
      <c r="D902" s="50"/>
      <c r="E902" s="44"/>
      <c r="F902" s="227"/>
      <c r="G902" s="49">
        <v>1</v>
      </c>
      <c r="H902" s="73"/>
      <c r="I902" s="44"/>
      <c r="J902" s="48">
        <f t="shared" si="39"/>
        <v>1</v>
      </c>
      <c r="K902" s="48">
        <f t="shared" si="40"/>
        <v>0</v>
      </c>
      <c r="L902" s="68">
        <f t="shared" si="41"/>
        <v>0</v>
      </c>
    </row>
    <row r="903" spans="2:12" x14ac:dyDescent="0.85">
      <c r="B903" s="46">
        <v>897</v>
      </c>
      <c r="C903" s="10"/>
      <c r="D903" s="66"/>
      <c r="E903" s="10"/>
      <c r="F903" s="226"/>
      <c r="G903" s="47">
        <v>1</v>
      </c>
      <c r="H903" s="72"/>
      <c r="I903" s="10"/>
      <c r="J903" s="46">
        <f t="shared" ref="J903:J966" si="42">IF(ISBLANK(H903),1,H903)</f>
        <v>1</v>
      </c>
      <c r="K903" s="46">
        <f t="shared" ref="K903:K966" si="43">IF(COUNTIF(FreeElements, E903)&gt;0, F903, 0)</f>
        <v>0</v>
      </c>
      <c r="L903" s="69">
        <f t="shared" ref="L903:L966" si="44">J903*K903</f>
        <v>0</v>
      </c>
    </row>
    <row r="904" spans="2:12" x14ac:dyDescent="0.85">
      <c r="B904" s="48">
        <v>898</v>
      </c>
      <c r="C904" s="44"/>
      <c r="D904" s="50"/>
      <c r="E904" s="44"/>
      <c r="F904" s="227"/>
      <c r="G904" s="49">
        <v>1</v>
      </c>
      <c r="H904" s="73"/>
      <c r="I904" s="44"/>
      <c r="J904" s="48">
        <f t="shared" si="42"/>
        <v>1</v>
      </c>
      <c r="K904" s="48">
        <f t="shared" si="43"/>
        <v>0</v>
      </c>
      <c r="L904" s="68">
        <f t="shared" si="44"/>
        <v>0</v>
      </c>
    </row>
    <row r="905" spans="2:12" x14ac:dyDescent="0.85">
      <c r="B905" s="46">
        <v>899</v>
      </c>
      <c r="C905" s="10"/>
      <c r="D905" s="66"/>
      <c r="E905" s="10"/>
      <c r="F905" s="226"/>
      <c r="G905" s="47">
        <v>1</v>
      </c>
      <c r="H905" s="72"/>
      <c r="I905" s="10"/>
      <c r="J905" s="46">
        <f t="shared" si="42"/>
        <v>1</v>
      </c>
      <c r="K905" s="46">
        <f t="shared" si="43"/>
        <v>0</v>
      </c>
      <c r="L905" s="69">
        <f t="shared" si="44"/>
        <v>0</v>
      </c>
    </row>
    <row r="906" spans="2:12" x14ac:dyDescent="0.85">
      <c r="B906" s="48">
        <v>900</v>
      </c>
      <c r="C906" s="44"/>
      <c r="D906" s="50"/>
      <c r="E906" s="44"/>
      <c r="F906" s="227"/>
      <c r="G906" s="49">
        <v>1</v>
      </c>
      <c r="H906" s="73"/>
      <c r="I906" s="44"/>
      <c r="J906" s="48">
        <f t="shared" si="42"/>
        <v>1</v>
      </c>
      <c r="K906" s="48">
        <f t="shared" si="43"/>
        <v>0</v>
      </c>
      <c r="L906" s="68">
        <f t="shared" si="44"/>
        <v>0</v>
      </c>
    </row>
    <row r="907" spans="2:12" x14ac:dyDescent="0.85">
      <c r="B907" s="46">
        <v>901</v>
      </c>
      <c r="C907" s="10"/>
      <c r="D907" s="66"/>
      <c r="E907" s="10"/>
      <c r="F907" s="226"/>
      <c r="G907" s="47">
        <v>1</v>
      </c>
      <c r="H907" s="72"/>
      <c r="I907" s="10"/>
      <c r="J907" s="46">
        <f t="shared" si="42"/>
        <v>1</v>
      </c>
      <c r="K907" s="46">
        <f t="shared" si="43"/>
        <v>0</v>
      </c>
      <c r="L907" s="69">
        <f t="shared" si="44"/>
        <v>0</v>
      </c>
    </row>
    <row r="908" spans="2:12" x14ac:dyDescent="0.85">
      <c r="B908" s="48">
        <v>902</v>
      </c>
      <c r="C908" s="44"/>
      <c r="D908" s="50"/>
      <c r="E908" s="44"/>
      <c r="F908" s="227"/>
      <c r="G908" s="49">
        <v>1</v>
      </c>
      <c r="H908" s="73"/>
      <c r="I908" s="44"/>
      <c r="J908" s="48">
        <f t="shared" si="42"/>
        <v>1</v>
      </c>
      <c r="K908" s="48">
        <f t="shared" si="43"/>
        <v>0</v>
      </c>
      <c r="L908" s="68">
        <f t="shared" si="44"/>
        <v>0</v>
      </c>
    </row>
    <row r="909" spans="2:12" x14ac:dyDescent="0.85">
      <c r="B909" s="46">
        <v>903</v>
      </c>
      <c r="C909" s="10"/>
      <c r="D909" s="66"/>
      <c r="E909" s="10"/>
      <c r="F909" s="226"/>
      <c r="G909" s="47">
        <v>1</v>
      </c>
      <c r="H909" s="72"/>
      <c r="I909" s="10"/>
      <c r="J909" s="46">
        <f t="shared" si="42"/>
        <v>1</v>
      </c>
      <c r="K909" s="46">
        <f t="shared" si="43"/>
        <v>0</v>
      </c>
      <c r="L909" s="69">
        <f t="shared" si="44"/>
        <v>0</v>
      </c>
    </row>
    <row r="910" spans="2:12" x14ac:dyDescent="0.85">
      <c r="B910" s="48">
        <v>904</v>
      </c>
      <c r="C910" s="44"/>
      <c r="D910" s="50"/>
      <c r="E910" s="44"/>
      <c r="F910" s="227"/>
      <c r="G910" s="49">
        <v>1</v>
      </c>
      <c r="H910" s="73"/>
      <c r="I910" s="44"/>
      <c r="J910" s="48">
        <f t="shared" si="42"/>
        <v>1</v>
      </c>
      <c r="K910" s="48">
        <f t="shared" si="43"/>
        <v>0</v>
      </c>
      <c r="L910" s="68">
        <f t="shared" si="44"/>
        <v>0</v>
      </c>
    </row>
    <row r="911" spans="2:12" x14ac:dyDescent="0.85">
      <c r="B911" s="46">
        <v>905</v>
      </c>
      <c r="C911" s="10"/>
      <c r="D911" s="66"/>
      <c r="E911" s="10"/>
      <c r="F911" s="226"/>
      <c r="G911" s="47">
        <v>1</v>
      </c>
      <c r="H911" s="72"/>
      <c r="I911" s="10"/>
      <c r="J911" s="46">
        <f t="shared" si="42"/>
        <v>1</v>
      </c>
      <c r="K911" s="46">
        <f t="shared" si="43"/>
        <v>0</v>
      </c>
      <c r="L911" s="69">
        <f t="shared" si="44"/>
        <v>0</v>
      </c>
    </row>
    <row r="912" spans="2:12" x14ac:dyDescent="0.85">
      <c r="B912" s="48">
        <v>906</v>
      </c>
      <c r="C912" s="44"/>
      <c r="D912" s="50"/>
      <c r="E912" s="44"/>
      <c r="F912" s="227"/>
      <c r="G912" s="49">
        <v>1</v>
      </c>
      <c r="H912" s="73"/>
      <c r="I912" s="44"/>
      <c r="J912" s="48">
        <f t="shared" si="42"/>
        <v>1</v>
      </c>
      <c r="K912" s="48">
        <f t="shared" si="43"/>
        <v>0</v>
      </c>
      <c r="L912" s="68">
        <f t="shared" si="44"/>
        <v>0</v>
      </c>
    </row>
    <row r="913" spans="2:12" x14ac:dyDescent="0.85">
      <c r="B913" s="46">
        <v>907</v>
      </c>
      <c r="C913" s="10"/>
      <c r="D913" s="66"/>
      <c r="E913" s="10"/>
      <c r="F913" s="226"/>
      <c r="G913" s="47">
        <v>1</v>
      </c>
      <c r="H913" s="72"/>
      <c r="I913" s="10"/>
      <c r="J913" s="46">
        <f t="shared" si="42"/>
        <v>1</v>
      </c>
      <c r="K913" s="46">
        <f t="shared" si="43"/>
        <v>0</v>
      </c>
      <c r="L913" s="69">
        <f t="shared" si="44"/>
        <v>0</v>
      </c>
    </row>
    <row r="914" spans="2:12" x14ac:dyDescent="0.85">
      <c r="B914" s="48">
        <v>908</v>
      </c>
      <c r="C914" s="44"/>
      <c r="D914" s="50"/>
      <c r="E914" s="44"/>
      <c r="F914" s="227"/>
      <c r="G914" s="49">
        <v>1</v>
      </c>
      <c r="H914" s="73"/>
      <c r="I914" s="44"/>
      <c r="J914" s="48">
        <f t="shared" si="42"/>
        <v>1</v>
      </c>
      <c r="K914" s="48">
        <f t="shared" si="43"/>
        <v>0</v>
      </c>
      <c r="L914" s="68">
        <f t="shared" si="44"/>
        <v>0</v>
      </c>
    </row>
    <row r="915" spans="2:12" x14ac:dyDescent="0.85">
      <c r="B915" s="46">
        <v>909</v>
      </c>
      <c r="C915" s="10"/>
      <c r="D915" s="66"/>
      <c r="E915" s="10"/>
      <c r="F915" s="226"/>
      <c r="G915" s="47">
        <v>1</v>
      </c>
      <c r="H915" s="72"/>
      <c r="I915" s="10"/>
      <c r="J915" s="46">
        <f t="shared" si="42"/>
        <v>1</v>
      </c>
      <c r="K915" s="46">
        <f t="shared" si="43"/>
        <v>0</v>
      </c>
      <c r="L915" s="69">
        <f t="shared" si="44"/>
        <v>0</v>
      </c>
    </row>
    <row r="916" spans="2:12" x14ac:dyDescent="0.85">
      <c r="B916" s="48">
        <v>910</v>
      </c>
      <c r="C916" s="44"/>
      <c r="D916" s="50"/>
      <c r="E916" s="44"/>
      <c r="F916" s="227"/>
      <c r="G916" s="49">
        <v>1</v>
      </c>
      <c r="H916" s="73"/>
      <c r="I916" s="44"/>
      <c r="J916" s="48">
        <f t="shared" si="42"/>
        <v>1</v>
      </c>
      <c r="K916" s="48">
        <f t="shared" si="43"/>
        <v>0</v>
      </c>
      <c r="L916" s="68">
        <f t="shared" si="44"/>
        <v>0</v>
      </c>
    </row>
    <row r="917" spans="2:12" x14ac:dyDescent="0.85">
      <c r="B917" s="46">
        <v>911</v>
      </c>
      <c r="C917" s="10"/>
      <c r="D917" s="66"/>
      <c r="E917" s="10"/>
      <c r="F917" s="226"/>
      <c r="G917" s="47">
        <v>1</v>
      </c>
      <c r="H917" s="72"/>
      <c r="I917" s="10"/>
      <c r="J917" s="46">
        <f t="shared" si="42"/>
        <v>1</v>
      </c>
      <c r="K917" s="46">
        <f t="shared" si="43"/>
        <v>0</v>
      </c>
      <c r="L917" s="69">
        <f t="shared" si="44"/>
        <v>0</v>
      </c>
    </row>
    <row r="918" spans="2:12" x14ac:dyDescent="0.85">
      <c r="B918" s="48">
        <v>912</v>
      </c>
      <c r="C918" s="44"/>
      <c r="D918" s="50"/>
      <c r="E918" s="44"/>
      <c r="F918" s="227"/>
      <c r="G918" s="49">
        <v>1</v>
      </c>
      <c r="H918" s="73"/>
      <c r="I918" s="44"/>
      <c r="J918" s="48">
        <f t="shared" si="42"/>
        <v>1</v>
      </c>
      <c r="K918" s="48">
        <f t="shared" si="43"/>
        <v>0</v>
      </c>
      <c r="L918" s="68">
        <f t="shared" si="44"/>
        <v>0</v>
      </c>
    </row>
    <row r="919" spans="2:12" x14ac:dyDescent="0.85">
      <c r="B919" s="46">
        <v>913</v>
      </c>
      <c r="C919" s="10"/>
      <c r="D919" s="66"/>
      <c r="E919" s="10"/>
      <c r="F919" s="226"/>
      <c r="G919" s="47">
        <v>1</v>
      </c>
      <c r="H919" s="72"/>
      <c r="I919" s="10"/>
      <c r="J919" s="46">
        <f t="shared" si="42"/>
        <v>1</v>
      </c>
      <c r="K919" s="46">
        <f t="shared" si="43"/>
        <v>0</v>
      </c>
      <c r="L919" s="69">
        <f t="shared" si="44"/>
        <v>0</v>
      </c>
    </row>
    <row r="920" spans="2:12" x14ac:dyDescent="0.85">
      <c r="B920" s="48">
        <v>914</v>
      </c>
      <c r="C920" s="44"/>
      <c r="D920" s="50"/>
      <c r="E920" s="44"/>
      <c r="F920" s="227"/>
      <c r="G920" s="49">
        <v>1</v>
      </c>
      <c r="H920" s="73"/>
      <c r="I920" s="44"/>
      <c r="J920" s="48">
        <f t="shared" si="42"/>
        <v>1</v>
      </c>
      <c r="K920" s="48">
        <f t="shared" si="43"/>
        <v>0</v>
      </c>
      <c r="L920" s="68">
        <f t="shared" si="44"/>
        <v>0</v>
      </c>
    </row>
    <row r="921" spans="2:12" x14ac:dyDescent="0.85">
      <c r="B921" s="46">
        <v>915</v>
      </c>
      <c r="C921" s="10"/>
      <c r="D921" s="66"/>
      <c r="E921" s="10"/>
      <c r="F921" s="226"/>
      <c r="G921" s="47">
        <v>1</v>
      </c>
      <c r="H921" s="72"/>
      <c r="I921" s="10"/>
      <c r="J921" s="46">
        <f t="shared" si="42"/>
        <v>1</v>
      </c>
      <c r="K921" s="46">
        <f t="shared" si="43"/>
        <v>0</v>
      </c>
      <c r="L921" s="69">
        <f t="shared" si="44"/>
        <v>0</v>
      </c>
    </row>
    <row r="922" spans="2:12" x14ac:dyDescent="0.85">
      <c r="B922" s="48">
        <v>916</v>
      </c>
      <c r="C922" s="44"/>
      <c r="D922" s="50"/>
      <c r="E922" s="44"/>
      <c r="F922" s="227"/>
      <c r="G922" s="49">
        <v>1</v>
      </c>
      <c r="H922" s="73"/>
      <c r="I922" s="44"/>
      <c r="J922" s="48">
        <f t="shared" si="42"/>
        <v>1</v>
      </c>
      <c r="K922" s="48">
        <f t="shared" si="43"/>
        <v>0</v>
      </c>
      <c r="L922" s="68">
        <f t="shared" si="44"/>
        <v>0</v>
      </c>
    </row>
    <row r="923" spans="2:12" x14ac:dyDescent="0.85">
      <c r="B923" s="46">
        <v>917</v>
      </c>
      <c r="C923" s="10"/>
      <c r="D923" s="66"/>
      <c r="E923" s="10"/>
      <c r="F923" s="226"/>
      <c r="G923" s="47">
        <v>1</v>
      </c>
      <c r="H923" s="72"/>
      <c r="I923" s="10"/>
      <c r="J923" s="46">
        <f t="shared" si="42"/>
        <v>1</v>
      </c>
      <c r="K923" s="46">
        <f t="shared" si="43"/>
        <v>0</v>
      </c>
      <c r="L923" s="69">
        <f t="shared" si="44"/>
        <v>0</v>
      </c>
    </row>
    <row r="924" spans="2:12" x14ac:dyDescent="0.85">
      <c r="B924" s="48">
        <v>918</v>
      </c>
      <c r="C924" s="44"/>
      <c r="D924" s="50"/>
      <c r="E924" s="44"/>
      <c r="F924" s="227"/>
      <c r="G924" s="49">
        <v>1</v>
      </c>
      <c r="H924" s="73"/>
      <c r="I924" s="44"/>
      <c r="J924" s="48">
        <f t="shared" si="42"/>
        <v>1</v>
      </c>
      <c r="K924" s="48">
        <f t="shared" si="43"/>
        <v>0</v>
      </c>
      <c r="L924" s="68">
        <f t="shared" si="44"/>
        <v>0</v>
      </c>
    </row>
    <row r="925" spans="2:12" x14ac:dyDescent="0.85">
      <c r="B925" s="46">
        <v>919</v>
      </c>
      <c r="C925" s="10"/>
      <c r="D925" s="66"/>
      <c r="E925" s="10"/>
      <c r="F925" s="226"/>
      <c r="G925" s="47">
        <v>1</v>
      </c>
      <c r="H925" s="72"/>
      <c r="I925" s="10"/>
      <c r="J925" s="46">
        <f t="shared" si="42"/>
        <v>1</v>
      </c>
      <c r="K925" s="46">
        <f t="shared" si="43"/>
        <v>0</v>
      </c>
      <c r="L925" s="69">
        <f t="shared" si="44"/>
        <v>0</v>
      </c>
    </row>
    <row r="926" spans="2:12" x14ac:dyDescent="0.85">
      <c r="B926" s="48">
        <v>920</v>
      </c>
      <c r="C926" s="44"/>
      <c r="D926" s="50"/>
      <c r="E926" s="44"/>
      <c r="F926" s="227"/>
      <c r="G926" s="49">
        <v>1</v>
      </c>
      <c r="H926" s="73"/>
      <c r="I926" s="44"/>
      <c r="J926" s="48">
        <f t="shared" si="42"/>
        <v>1</v>
      </c>
      <c r="K926" s="48">
        <f t="shared" si="43"/>
        <v>0</v>
      </c>
      <c r="L926" s="68">
        <f t="shared" si="44"/>
        <v>0</v>
      </c>
    </row>
    <row r="927" spans="2:12" x14ac:dyDescent="0.85">
      <c r="B927" s="46">
        <v>921</v>
      </c>
      <c r="C927" s="10"/>
      <c r="D927" s="66"/>
      <c r="E927" s="10"/>
      <c r="F927" s="226"/>
      <c r="G927" s="47">
        <v>1</v>
      </c>
      <c r="H927" s="72"/>
      <c r="I927" s="10"/>
      <c r="J927" s="46">
        <f t="shared" si="42"/>
        <v>1</v>
      </c>
      <c r="K927" s="46">
        <f t="shared" si="43"/>
        <v>0</v>
      </c>
      <c r="L927" s="69">
        <f t="shared" si="44"/>
        <v>0</v>
      </c>
    </row>
    <row r="928" spans="2:12" x14ac:dyDescent="0.85">
      <c r="B928" s="48">
        <v>922</v>
      </c>
      <c r="C928" s="44"/>
      <c r="D928" s="50"/>
      <c r="E928" s="44"/>
      <c r="F928" s="227"/>
      <c r="G928" s="49">
        <v>1</v>
      </c>
      <c r="H928" s="73"/>
      <c r="I928" s="44"/>
      <c r="J928" s="48">
        <f t="shared" si="42"/>
        <v>1</v>
      </c>
      <c r="K928" s="48">
        <f t="shared" si="43"/>
        <v>0</v>
      </c>
      <c r="L928" s="68">
        <f t="shared" si="44"/>
        <v>0</v>
      </c>
    </row>
    <row r="929" spans="2:12" x14ac:dyDescent="0.85">
      <c r="B929" s="46">
        <v>923</v>
      </c>
      <c r="C929" s="10"/>
      <c r="D929" s="66"/>
      <c r="E929" s="10"/>
      <c r="F929" s="226"/>
      <c r="G929" s="47">
        <v>1</v>
      </c>
      <c r="H929" s="72"/>
      <c r="I929" s="10"/>
      <c r="J929" s="46">
        <f t="shared" si="42"/>
        <v>1</v>
      </c>
      <c r="K929" s="46">
        <f t="shared" si="43"/>
        <v>0</v>
      </c>
      <c r="L929" s="69">
        <f t="shared" si="44"/>
        <v>0</v>
      </c>
    </row>
    <row r="930" spans="2:12" x14ac:dyDescent="0.85">
      <c r="B930" s="48">
        <v>924</v>
      </c>
      <c r="C930" s="44"/>
      <c r="D930" s="50"/>
      <c r="E930" s="44"/>
      <c r="F930" s="227"/>
      <c r="G930" s="49">
        <v>1</v>
      </c>
      <c r="H930" s="73"/>
      <c r="I930" s="44"/>
      <c r="J930" s="48">
        <f t="shared" si="42"/>
        <v>1</v>
      </c>
      <c r="K930" s="48">
        <f t="shared" si="43"/>
        <v>0</v>
      </c>
      <c r="L930" s="68">
        <f t="shared" si="44"/>
        <v>0</v>
      </c>
    </row>
    <row r="931" spans="2:12" x14ac:dyDescent="0.85">
      <c r="B931" s="46">
        <v>925</v>
      </c>
      <c r="C931" s="10"/>
      <c r="D931" s="66"/>
      <c r="E931" s="10"/>
      <c r="F931" s="226"/>
      <c r="G931" s="47">
        <v>1</v>
      </c>
      <c r="H931" s="72"/>
      <c r="I931" s="10"/>
      <c r="J931" s="46">
        <f t="shared" si="42"/>
        <v>1</v>
      </c>
      <c r="K931" s="46">
        <f t="shared" si="43"/>
        <v>0</v>
      </c>
      <c r="L931" s="69">
        <f t="shared" si="44"/>
        <v>0</v>
      </c>
    </row>
    <row r="932" spans="2:12" x14ac:dyDescent="0.85">
      <c r="B932" s="48">
        <v>926</v>
      </c>
      <c r="C932" s="44"/>
      <c r="D932" s="50"/>
      <c r="E932" s="44"/>
      <c r="F932" s="227"/>
      <c r="G932" s="49">
        <v>1</v>
      </c>
      <c r="H932" s="73"/>
      <c r="I932" s="44"/>
      <c r="J932" s="48">
        <f t="shared" si="42"/>
        <v>1</v>
      </c>
      <c r="K932" s="48">
        <f t="shared" si="43"/>
        <v>0</v>
      </c>
      <c r="L932" s="68">
        <f t="shared" si="44"/>
        <v>0</v>
      </c>
    </row>
    <row r="933" spans="2:12" x14ac:dyDescent="0.85">
      <c r="B933" s="46">
        <v>927</v>
      </c>
      <c r="C933" s="10"/>
      <c r="D933" s="66"/>
      <c r="E933" s="10"/>
      <c r="F933" s="226"/>
      <c r="G933" s="47">
        <v>1</v>
      </c>
      <c r="H933" s="72"/>
      <c r="I933" s="10"/>
      <c r="J933" s="46">
        <f t="shared" si="42"/>
        <v>1</v>
      </c>
      <c r="K933" s="46">
        <f t="shared" si="43"/>
        <v>0</v>
      </c>
      <c r="L933" s="69">
        <f t="shared" si="44"/>
        <v>0</v>
      </c>
    </row>
    <row r="934" spans="2:12" x14ac:dyDescent="0.85">
      <c r="B934" s="48">
        <v>928</v>
      </c>
      <c r="C934" s="44"/>
      <c r="D934" s="50"/>
      <c r="E934" s="44"/>
      <c r="F934" s="227"/>
      <c r="G934" s="49">
        <v>1</v>
      </c>
      <c r="H934" s="73"/>
      <c r="I934" s="44"/>
      <c r="J934" s="48">
        <f t="shared" si="42"/>
        <v>1</v>
      </c>
      <c r="K934" s="48">
        <f t="shared" si="43"/>
        <v>0</v>
      </c>
      <c r="L934" s="68">
        <f t="shared" si="44"/>
        <v>0</v>
      </c>
    </row>
    <row r="935" spans="2:12" x14ac:dyDescent="0.85">
      <c r="B935" s="46">
        <v>929</v>
      </c>
      <c r="C935" s="10"/>
      <c r="D935" s="66"/>
      <c r="E935" s="10"/>
      <c r="F935" s="226"/>
      <c r="G935" s="47">
        <v>1</v>
      </c>
      <c r="H935" s="72"/>
      <c r="I935" s="10"/>
      <c r="J935" s="46">
        <f t="shared" si="42"/>
        <v>1</v>
      </c>
      <c r="K935" s="46">
        <f t="shared" si="43"/>
        <v>0</v>
      </c>
      <c r="L935" s="69">
        <f t="shared" si="44"/>
        <v>0</v>
      </c>
    </row>
    <row r="936" spans="2:12" x14ac:dyDescent="0.85">
      <c r="B936" s="48">
        <v>930</v>
      </c>
      <c r="C936" s="44"/>
      <c r="D936" s="50"/>
      <c r="E936" s="44"/>
      <c r="F936" s="227"/>
      <c r="G936" s="49">
        <v>1</v>
      </c>
      <c r="H936" s="73"/>
      <c r="I936" s="44"/>
      <c r="J936" s="48">
        <f t="shared" si="42"/>
        <v>1</v>
      </c>
      <c r="K936" s="48">
        <f t="shared" si="43"/>
        <v>0</v>
      </c>
      <c r="L936" s="68">
        <f t="shared" si="44"/>
        <v>0</v>
      </c>
    </row>
    <row r="937" spans="2:12" x14ac:dyDescent="0.85">
      <c r="B937" s="46">
        <v>931</v>
      </c>
      <c r="C937" s="10"/>
      <c r="D937" s="66"/>
      <c r="E937" s="10"/>
      <c r="F937" s="226"/>
      <c r="G937" s="47">
        <v>1</v>
      </c>
      <c r="H937" s="72"/>
      <c r="I937" s="10"/>
      <c r="J937" s="46">
        <f t="shared" si="42"/>
        <v>1</v>
      </c>
      <c r="K937" s="46">
        <f t="shared" si="43"/>
        <v>0</v>
      </c>
      <c r="L937" s="69">
        <f t="shared" si="44"/>
        <v>0</v>
      </c>
    </row>
    <row r="938" spans="2:12" x14ac:dyDescent="0.85">
      <c r="B938" s="48">
        <v>932</v>
      </c>
      <c r="C938" s="44"/>
      <c r="D938" s="50"/>
      <c r="E938" s="44"/>
      <c r="F938" s="227"/>
      <c r="G938" s="49">
        <v>1</v>
      </c>
      <c r="H938" s="73"/>
      <c r="I938" s="44"/>
      <c r="J938" s="48">
        <f t="shared" si="42"/>
        <v>1</v>
      </c>
      <c r="K938" s="48">
        <f t="shared" si="43"/>
        <v>0</v>
      </c>
      <c r="L938" s="68">
        <f t="shared" si="44"/>
        <v>0</v>
      </c>
    </row>
    <row r="939" spans="2:12" x14ac:dyDescent="0.85">
      <c r="B939" s="46">
        <v>933</v>
      </c>
      <c r="C939" s="10"/>
      <c r="D939" s="66"/>
      <c r="E939" s="10"/>
      <c r="F939" s="226"/>
      <c r="G939" s="47">
        <v>1</v>
      </c>
      <c r="H939" s="72"/>
      <c r="I939" s="10"/>
      <c r="J939" s="46">
        <f t="shared" si="42"/>
        <v>1</v>
      </c>
      <c r="K939" s="46">
        <f t="shared" si="43"/>
        <v>0</v>
      </c>
      <c r="L939" s="69">
        <f t="shared" si="44"/>
        <v>0</v>
      </c>
    </row>
    <row r="940" spans="2:12" x14ac:dyDescent="0.85">
      <c r="B940" s="48">
        <v>934</v>
      </c>
      <c r="C940" s="44"/>
      <c r="D940" s="50"/>
      <c r="E940" s="44"/>
      <c r="F940" s="227"/>
      <c r="G940" s="49">
        <v>1</v>
      </c>
      <c r="H940" s="73"/>
      <c r="I940" s="44"/>
      <c r="J940" s="48">
        <f t="shared" si="42"/>
        <v>1</v>
      </c>
      <c r="K940" s="48">
        <f t="shared" si="43"/>
        <v>0</v>
      </c>
      <c r="L940" s="68">
        <f t="shared" si="44"/>
        <v>0</v>
      </c>
    </row>
    <row r="941" spans="2:12" x14ac:dyDescent="0.85">
      <c r="B941" s="46">
        <v>935</v>
      </c>
      <c r="C941" s="10"/>
      <c r="D941" s="66"/>
      <c r="E941" s="10"/>
      <c r="F941" s="226"/>
      <c r="G941" s="47">
        <v>1</v>
      </c>
      <c r="H941" s="72"/>
      <c r="I941" s="10"/>
      <c r="J941" s="46">
        <f t="shared" si="42"/>
        <v>1</v>
      </c>
      <c r="K941" s="46">
        <f t="shared" si="43"/>
        <v>0</v>
      </c>
      <c r="L941" s="69">
        <f t="shared" si="44"/>
        <v>0</v>
      </c>
    </row>
    <row r="942" spans="2:12" x14ac:dyDescent="0.85">
      <c r="B942" s="48">
        <v>936</v>
      </c>
      <c r="C942" s="44"/>
      <c r="D942" s="50"/>
      <c r="E942" s="44"/>
      <c r="F942" s="227"/>
      <c r="G942" s="49">
        <v>1</v>
      </c>
      <c r="H942" s="73"/>
      <c r="I942" s="44"/>
      <c r="J942" s="48">
        <f t="shared" si="42"/>
        <v>1</v>
      </c>
      <c r="K942" s="48">
        <f t="shared" si="43"/>
        <v>0</v>
      </c>
      <c r="L942" s="68">
        <f t="shared" si="44"/>
        <v>0</v>
      </c>
    </row>
    <row r="943" spans="2:12" x14ac:dyDescent="0.85">
      <c r="B943" s="46">
        <v>937</v>
      </c>
      <c r="C943" s="10"/>
      <c r="D943" s="66"/>
      <c r="E943" s="10"/>
      <c r="F943" s="226"/>
      <c r="G943" s="47">
        <v>1</v>
      </c>
      <c r="H943" s="72"/>
      <c r="I943" s="10"/>
      <c r="J943" s="46">
        <f t="shared" si="42"/>
        <v>1</v>
      </c>
      <c r="K943" s="46">
        <f t="shared" si="43"/>
        <v>0</v>
      </c>
      <c r="L943" s="69">
        <f t="shared" si="44"/>
        <v>0</v>
      </c>
    </row>
    <row r="944" spans="2:12" x14ac:dyDescent="0.85">
      <c r="B944" s="48">
        <v>938</v>
      </c>
      <c r="C944" s="44"/>
      <c r="D944" s="50"/>
      <c r="E944" s="44"/>
      <c r="F944" s="227"/>
      <c r="G944" s="49">
        <v>1</v>
      </c>
      <c r="H944" s="73"/>
      <c r="I944" s="44"/>
      <c r="J944" s="48">
        <f t="shared" si="42"/>
        <v>1</v>
      </c>
      <c r="K944" s="48">
        <f t="shared" si="43"/>
        <v>0</v>
      </c>
      <c r="L944" s="68">
        <f t="shared" si="44"/>
        <v>0</v>
      </c>
    </row>
    <row r="945" spans="2:12" x14ac:dyDescent="0.85">
      <c r="B945" s="46">
        <v>939</v>
      </c>
      <c r="C945" s="10"/>
      <c r="D945" s="66"/>
      <c r="E945" s="10"/>
      <c r="F945" s="226"/>
      <c r="G945" s="47">
        <v>1</v>
      </c>
      <c r="H945" s="72"/>
      <c r="I945" s="10"/>
      <c r="J945" s="46">
        <f t="shared" si="42"/>
        <v>1</v>
      </c>
      <c r="K945" s="46">
        <f t="shared" si="43"/>
        <v>0</v>
      </c>
      <c r="L945" s="69">
        <f t="shared" si="44"/>
        <v>0</v>
      </c>
    </row>
    <row r="946" spans="2:12" x14ac:dyDescent="0.85">
      <c r="B946" s="48">
        <v>940</v>
      </c>
      <c r="C946" s="44"/>
      <c r="D946" s="50"/>
      <c r="E946" s="44"/>
      <c r="F946" s="227"/>
      <c r="G946" s="49">
        <v>1</v>
      </c>
      <c r="H946" s="73"/>
      <c r="I946" s="44"/>
      <c r="J946" s="48">
        <f t="shared" si="42"/>
        <v>1</v>
      </c>
      <c r="K946" s="48">
        <f t="shared" si="43"/>
        <v>0</v>
      </c>
      <c r="L946" s="68">
        <f t="shared" si="44"/>
        <v>0</v>
      </c>
    </row>
    <row r="947" spans="2:12" x14ac:dyDescent="0.85">
      <c r="B947" s="46">
        <v>941</v>
      </c>
      <c r="C947" s="10"/>
      <c r="D947" s="66"/>
      <c r="E947" s="10"/>
      <c r="F947" s="226"/>
      <c r="G947" s="47">
        <v>1</v>
      </c>
      <c r="H947" s="72"/>
      <c r="I947" s="10"/>
      <c r="J947" s="46">
        <f t="shared" si="42"/>
        <v>1</v>
      </c>
      <c r="K947" s="46">
        <f t="shared" si="43"/>
        <v>0</v>
      </c>
      <c r="L947" s="69">
        <f t="shared" si="44"/>
        <v>0</v>
      </c>
    </row>
    <row r="948" spans="2:12" x14ac:dyDescent="0.85">
      <c r="B948" s="48">
        <v>942</v>
      </c>
      <c r="C948" s="44"/>
      <c r="D948" s="50"/>
      <c r="E948" s="44"/>
      <c r="F948" s="227"/>
      <c r="G948" s="49">
        <v>1</v>
      </c>
      <c r="H948" s="73"/>
      <c r="I948" s="44"/>
      <c r="J948" s="48">
        <f t="shared" si="42"/>
        <v>1</v>
      </c>
      <c r="K948" s="48">
        <f t="shared" si="43"/>
        <v>0</v>
      </c>
      <c r="L948" s="68">
        <f t="shared" si="44"/>
        <v>0</v>
      </c>
    </row>
    <row r="949" spans="2:12" x14ac:dyDescent="0.85">
      <c r="B949" s="46">
        <v>943</v>
      </c>
      <c r="C949" s="10"/>
      <c r="D949" s="66"/>
      <c r="E949" s="10"/>
      <c r="F949" s="226"/>
      <c r="G949" s="47">
        <v>1</v>
      </c>
      <c r="H949" s="72"/>
      <c r="I949" s="10"/>
      <c r="J949" s="46">
        <f t="shared" si="42"/>
        <v>1</v>
      </c>
      <c r="K949" s="46">
        <f t="shared" si="43"/>
        <v>0</v>
      </c>
      <c r="L949" s="69">
        <f t="shared" si="44"/>
        <v>0</v>
      </c>
    </row>
    <row r="950" spans="2:12" x14ac:dyDescent="0.85">
      <c r="B950" s="48">
        <v>944</v>
      </c>
      <c r="C950" s="44"/>
      <c r="D950" s="50"/>
      <c r="E950" s="44"/>
      <c r="F950" s="227"/>
      <c r="G950" s="49">
        <v>1</v>
      </c>
      <c r="H950" s="73"/>
      <c r="I950" s="44"/>
      <c r="J950" s="48">
        <f t="shared" si="42"/>
        <v>1</v>
      </c>
      <c r="K950" s="48">
        <f t="shared" si="43"/>
        <v>0</v>
      </c>
      <c r="L950" s="68">
        <f t="shared" si="44"/>
        <v>0</v>
      </c>
    </row>
    <row r="951" spans="2:12" x14ac:dyDescent="0.85">
      <c r="B951" s="46">
        <v>945</v>
      </c>
      <c r="C951" s="10"/>
      <c r="D951" s="66"/>
      <c r="E951" s="10"/>
      <c r="F951" s="226"/>
      <c r="G951" s="47">
        <v>1</v>
      </c>
      <c r="H951" s="72"/>
      <c r="I951" s="10"/>
      <c r="J951" s="46">
        <f t="shared" si="42"/>
        <v>1</v>
      </c>
      <c r="K951" s="46">
        <f t="shared" si="43"/>
        <v>0</v>
      </c>
      <c r="L951" s="69">
        <f t="shared" si="44"/>
        <v>0</v>
      </c>
    </row>
    <row r="952" spans="2:12" x14ac:dyDescent="0.85">
      <c r="B952" s="48">
        <v>946</v>
      </c>
      <c r="C952" s="44"/>
      <c r="D952" s="50"/>
      <c r="E952" s="44"/>
      <c r="F952" s="227"/>
      <c r="G952" s="49">
        <v>1</v>
      </c>
      <c r="H952" s="73"/>
      <c r="I952" s="44"/>
      <c r="J952" s="48">
        <f t="shared" si="42"/>
        <v>1</v>
      </c>
      <c r="K952" s="48">
        <f t="shared" si="43"/>
        <v>0</v>
      </c>
      <c r="L952" s="68">
        <f t="shared" si="44"/>
        <v>0</v>
      </c>
    </row>
    <row r="953" spans="2:12" x14ac:dyDescent="0.85">
      <c r="B953" s="46">
        <v>947</v>
      </c>
      <c r="C953" s="10"/>
      <c r="D953" s="66"/>
      <c r="E953" s="10"/>
      <c r="F953" s="226"/>
      <c r="G953" s="47">
        <v>1</v>
      </c>
      <c r="H953" s="72"/>
      <c r="I953" s="10"/>
      <c r="J953" s="46">
        <f t="shared" si="42"/>
        <v>1</v>
      </c>
      <c r="K953" s="46">
        <f t="shared" si="43"/>
        <v>0</v>
      </c>
      <c r="L953" s="69">
        <f t="shared" si="44"/>
        <v>0</v>
      </c>
    </row>
    <row r="954" spans="2:12" x14ac:dyDescent="0.85">
      <c r="B954" s="48">
        <v>948</v>
      </c>
      <c r="C954" s="44"/>
      <c r="D954" s="50"/>
      <c r="E954" s="44"/>
      <c r="F954" s="227"/>
      <c r="G954" s="49">
        <v>1</v>
      </c>
      <c r="H954" s="73"/>
      <c r="I954" s="44"/>
      <c r="J954" s="48">
        <f t="shared" si="42"/>
        <v>1</v>
      </c>
      <c r="K954" s="48">
        <f t="shared" si="43"/>
        <v>0</v>
      </c>
      <c r="L954" s="68">
        <f t="shared" si="44"/>
        <v>0</v>
      </c>
    </row>
    <row r="955" spans="2:12" x14ac:dyDescent="0.85">
      <c r="B955" s="46">
        <v>949</v>
      </c>
      <c r="C955" s="10"/>
      <c r="D955" s="66"/>
      <c r="E955" s="10"/>
      <c r="F955" s="226"/>
      <c r="G955" s="47">
        <v>1</v>
      </c>
      <c r="H955" s="72"/>
      <c r="I955" s="10"/>
      <c r="J955" s="46">
        <f t="shared" si="42"/>
        <v>1</v>
      </c>
      <c r="K955" s="46">
        <f t="shared" si="43"/>
        <v>0</v>
      </c>
      <c r="L955" s="69">
        <f t="shared" si="44"/>
        <v>0</v>
      </c>
    </row>
    <row r="956" spans="2:12" x14ac:dyDescent="0.85">
      <c r="B956" s="48">
        <v>950</v>
      </c>
      <c r="C956" s="44"/>
      <c r="D956" s="50"/>
      <c r="E956" s="44"/>
      <c r="F956" s="227"/>
      <c r="G956" s="49">
        <v>1</v>
      </c>
      <c r="H956" s="73"/>
      <c r="I956" s="44"/>
      <c r="J956" s="48">
        <f t="shared" si="42"/>
        <v>1</v>
      </c>
      <c r="K956" s="48">
        <f t="shared" si="43"/>
        <v>0</v>
      </c>
      <c r="L956" s="68">
        <f t="shared" si="44"/>
        <v>0</v>
      </c>
    </row>
    <row r="957" spans="2:12" x14ac:dyDescent="0.85">
      <c r="B957" s="46">
        <v>951</v>
      </c>
      <c r="C957" s="10"/>
      <c r="D957" s="66"/>
      <c r="E957" s="10"/>
      <c r="F957" s="226"/>
      <c r="G957" s="47">
        <v>1</v>
      </c>
      <c r="H957" s="72"/>
      <c r="I957" s="10"/>
      <c r="J957" s="46">
        <f t="shared" si="42"/>
        <v>1</v>
      </c>
      <c r="K957" s="46">
        <f t="shared" si="43"/>
        <v>0</v>
      </c>
      <c r="L957" s="69">
        <f t="shared" si="44"/>
        <v>0</v>
      </c>
    </row>
    <row r="958" spans="2:12" x14ac:dyDescent="0.85">
      <c r="B958" s="48">
        <v>952</v>
      </c>
      <c r="C958" s="44"/>
      <c r="D958" s="50"/>
      <c r="E958" s="44"/>
      <c r="F958" s="227"/>
      <c r="G958" s="49">
        <v>1</v>
      </c>
      <c r="H958" s="73"/>
      <c r="I958" s="44"/>
      <c r="J958" s="48">
        <f t="shared" si="42"/>
        <v>1</v>
      </c>
      <c r="K958" s="48">
        <f t="shared" si="43"/>
        <v>0</v>
      </c>
      <c r="L958" s="68">
        <f t="shared" si="44"/>
        <v>0</v>
      </c>
    </row>
    <row r="959" spans="2:12" x14ac:dyDescent="0.85">
      <c r="B959" s="46">
        <v>953</v>
      </c>
      <c r="C959" s="10"/>
      <c r="D959" s="66"/>
      <c r="E959" s="10"/>
      <c r="F959" s="226"/>
      <c r="G959" s="47">
        <v>1</v>
      </c>
      <c r="H959" s="72"/>
      <c r="I959" s="10"/>
      <c r="J959" s="46">
        <f t="shared" si="42"/>
        <v>1</v>
      </c>
      <c r="K959" s="46">
        <f t="shared" si="43"/>
        <v>0</v>
      </c>
      <c r="L959" s="69">
        <f t="shared" si="44"/>
        <v>0</v>
      </c>
    </row>
    <row r="960" spans="2:12" x14ac:dyDescent="0.85">
      <c r="B960" s="48">
        <v>954</v>
      </c>
      <c r="C960" s="44"/>
      <c r="D960" s="50"/>
      <c r="E960" s="44"/>
      <c r="F960" s="227"/>
      <c r="G960" s="49">
        <v>1</v>
      </c>
      <c r="H960" s="73"/>
      <c r="I960" s="44"/>
      <c r="J960" s="48">
        <f t="shared" si="42"/>
        <v>1</v>
      </c>
      <c r="K960" s="48">
        <f t="shared" si="43"/>
        <v>0</v>
      </c>
      <c r="L960" s="68">
        <f t="shared" si="44"/>
        <v>0</v>
      </c>
    </row>
    <row r="961" spans="2:12" x14ac:dyDescent="0.85">
      <c r="B961" s="46">
        <v>955</v>
      </c>
      <c r="C961" s="10"/>
      <c r="D961" s="66"/>
      <c r="E961" s="10"/>
      <c r="F961" s="226"/>
      <c r="G961" s="47">
        <v>1</v>
      </c>
      <c r="H961" s="72"/>
      <c r="I961" s="10"/>
      <c r="J961" s="46">
        <f t="shared" si="42"/>
        <v>1</v>
      </c>
      <c r="K961" s="46">
        <f t="shared" si="43"/>
        <v>0</v>
      </c>
      <c r="L961" s="69">
        <f t="shared" si="44"/>
        <v>0</v>
      </c>
    </row>
    <row r="962" spans="2:12" x14ac:dyDescent="0.85">
      <c r="B962" s="48">
        <v>956</v>
      </c>
      <c r="C962" s="44"/>
      <c r="D962" s="50"/>
      <c r="E962" s="44"/>
      <c r="F962" s="227"/>
      <c r="G962" s="49">
        <v>1</v>
      </c>
      <c r="H962" s="73"/>
      <c r="I962" s="44"/>
      <c r="J962" s="48">
        <f t="shared" si="42"/>
        <v>1</v>
      </c>
      <c r="K962" s="48">
        <f t="shared" si="43"/>
        <v>0</v>
      </c>
      <c r="L962" s="68">
        <f t="shared" si="44"/>
        <v>0</v>
      </c>
    </row>
    <row r="963" spans="2:12" x14ac:dyDescent="0.85">
      <c r="B963" s="46">
        <v>957</v>
      </c>
      <c r="C963" s="10"/>
      <c r="D963" s="66"/>
      <c r="E963" s="10"/>
      <c r="F963" s="226"/>
      <c r="G963" s="47">
        <v>1</v>
      </c>
      <c r="H963" s="72"/>
      <c r="I963" s="10"/>
      <c r="J963" s="46">
        <f t="shared" si="42"/>
        <v>1</v>
      </c>
      <c r="K963" s="46">
        <f t="shared" si="43"/>
        <v>0</v>
      </c>
      <c r="L963" s="69">
        <f t="shared" si="44"/>
        <v>0</v>
      </c>
    </row>
    <row r="964" spans="2:12" x14ac:dyDescent="0.85">
      <c r="B964" s="48">
        <v>958</v>
      </c>
      <c r="C964" s="44"/>
      <c r="D964" s="50"/>
      <c r="E964" s="44"/>
      <c r="F964" s="227"/>
      <c r="G964" s="49">
        <v>1</v>
      </c>
      <c r="H964" s="73"/>
      <c r="I964" s="44"/>
      <c r="J964" s="48">
        <f t="shared" si="42"/>
        <v>1</v>
      </c>
      <c r="K964" s="48">
        <f t="shared" si="43"/>
        <v>0</v>
      </c>
      <c r="L964" s="68">
        <f t="shared" si="44"/>
        <v>0</v>
      </c>
    </row>
    <row r="965" spans="2:12" x14ac:dyDescent="0.85">
      <c r="B965" s="46">
        <v>959</v>
      </c>
      <c r="C965" s="10"/>
      <c r="D965" s="66"/>
      <c r="E965" s="10"/>
      <c r="F965" s="226"/>
      <c r="G965" s="47">
        <v>1</v>
      </c>
      <c r="H965" s="72"/>
      <c r="I965" s="10"/>
      <c r="J965" s="46">
        <f t="shared" si="42"/>
        <v>1</v>
      </c>
      <c r="K965" s="46">
        <f t="shared" si="43"/>
        <v>0</v>
      </c>
      <c r="L965" s="69">
        <f t="shared" si="44"/>
        <v>0</v>
      </c>
    </row>
    <row r="966" spans="2:12" x14ac:dyDescent="0.85">
      <c r="B966" s="48">
        <v>960</v>
      </c>
      <c r="C966" s="44"/>
      <c r="D966" s="50"/>
      <c r="E966" s="44"/>
      <c r="F966" s="227"/>
      <c r="G966" s="49">
        <v>1</v>
      </c>
      <c r="H966" s="73"/>
      <c r="I966" s="44"/>
      <c r="J966" s="48">
        <f t="shared" si="42"/>
        <v>1</v>
      </c>
      <c r="K966" s="48">
        <f t="shared" si="43"/>
        <v>0</v>
      </c>
      <c r="L966" s="68">
        <f t="shared" si="44"/>
        <v>0</v>
      </c>
    </row>
    <row r="967" spans="2:12" x14ac:dyDescent="0.85">
      <c r="B967" s="46">
        <v>961</v>
      </c>
      <c r="C967" s="10"/>
      <c r="D967" s="66"/>
      <c r="E967" s="10"/>
      <c r="F967" s="226"/>
      <c r="G967" s="47">
        <v>1</v>
      </c>
      <c r="H967" s="72"/>
      <c r="I967" s="10"/>
      <c r="J967" s="46">
        <f t="shared" ref="J967:J1030" si="45">IF(ISBLANK(H967),1,H967)</f>
        <v>1</v>
      </c>
      <c r="K967" s="46">
        <f t="shared" ref="K967:K1030" si="46">IF(COUNTIF(FreeElements, E967)&gt;0, F967, 0)</f>
        <v>0</v>
      </c>
      <c r="L967" s="69">
        <f t="shared" ref="L967:L1030" si="47">J967*K967</f>
        <v>0</v>
      </c>
    </row>
    <row r="968" spans="2:12" x14ac:dyDescent="0.85">
      <c r="B968" s="48">
        <v>962</v>
      </c>
      <c r="C968" s="44"/>
      <c r="D968" s="50"/>
      <c r="E968" s="44"/>
      <c r="F968" s="227"/>
      <c r="G968" s="49">
        <v>1</v>
      </c>
      <c r="H968" s="73"/>
      <c r="I968" s="44"/>
      <c r="J968" s="48">
        <f t="shared" si="45"/>
        <v>1</v>
      </c>
      <c r="K968" s="48">
        <f t="shared" si="46"/>
        <v>0</v>
      </c>
      <c r="L968" s="68">
        <f t="shared" si="47"/>
        <v>0</v>
      </c>
    </row>
    <row r="969" spans="2:12" x14ac:dyDescent="0.85">
      <c r="B969" s="46">
        <v>963</v>
      </c>
      <c r="C969" s="10"/>
      <c r="D969" s="66"/>
      <c r="E969" s="10"/>
      <c r="F969" s="226"/>
      <c r="G969" s="47">
        <v>1</v>
      </c>
      <c r="H969" s="72"/>
      <c r="I969" s="10"/>
      <c r="J969" s="46">
        <f t="shared" si="45"/>
        <v>1</v>
      </c>
      <c r="K969" s="46">
        <f t="shared" si="46"/>
        <v>0</v>
      </c>
      <c r="L969" s="69">
        <f t="shared" si="47"/>
        <v>0</v>
      </c>
    </row>
    <row r="970" spans="2:12" x14ac:dyDescent="0.85">
      <c r="B970" s="48">
        <v>964</v>
      </c>
      <c r="C970" s="44"/>
      <c r="D970" s="50"/>
      <c r="E970" s="44"/>
      <c r="F970" s="227"/>
      <c r="G970" s="49">
        <v>1</v>
      </c>
      <c r="H970" s="73"/>
      <c r="I970" s="44"/>
      <c r="J970" s="48">
        <f t="shared" si="45"/>
        <v>1</v>
      </c>
      <c r="K970" s="48">
        <f t="shared" si="46"/>
        <v>0</v>
      </c>
      <c r="L970" s="68">
        <f t="shared" si="47"/>
        <v>0</v>
      </c>
    </row>
    <row r="971" spans="2:12" x14ac:dyDescent="0.85">
      <c r="B971" s="46">
        <v>965</v>
      </c>
      <c r="C971" s="10"/>
      <c r="D971" s="66"/>
      <c r="E971" s="10"/>
      <c r="F971" s="226"/>
      <c r="G971" s="47">
        <v>1</v>
      </c>
      <c r="H971" s="72"/>
      <c r="I971" s="10"/>
      <c r="J971" s="46">
        <f t="shared" si="45"/>
        <v>1</v>
      </c>
      <c r="K971" s="46">
        <f t="shared" si="46"/>
        <v>0</v>
      </c>
      <c r="L971" s="69">
        <f t="shared" si="47"/>
        <v>0</v>
      </c>
    </row>
    <row r="972" spans="2:12" x14ac:dyDescent="0.85">
      <c r="B972" s="48">
        <v>966</v>
      </c>
      <c r="C972" s="44"/>
      <c r="D972" s="50"/>
      <c r="E972" s="44"/>
      <c r="F972" s="227"/>
      <c r="G972" s="49">
        <v>1</v>
      </c>
      <c r="H972" s="73"/>
      <c r="I972" s="44"/>
      <c r="J972" s="48">
        <f t="shared" si="45"/>
        <v>1</v>
      </c>
      <c r="K972" s="48">
        <f t="shared" si="46"/>
        <v>0</v>
      </c>
      <c r="L972" s="68">
        <f t="shared" si="47"/>
        <v>0</v>
      </c>
    </row>
    <row r="973" spans="2:12" x14ac:dyDescent="0.85">
      <c r="B973" s="46">
        <v>967</v>
      </c>
      <c r="C973" s="10"/>
      <c r="D973" s="66"/>
      <c r="E973" s="10"/>
      <c r="F973" s="226"/>
      <c r="G973" s="47">
        <v>1</v>
      </c>
      <c r="H973" s="72"/>
      <c r="I973" s="10"/>
      <c r="J973" s="46">
        <f t="shared" si="45"/>
        <v>1</v>
      </c>
      <c r="K973" s="46">
        <f t="shared" si="46"/>
        <v>0</v>
      </c>
      <c r="L973" s="69">
        <f t="shared" si="47"/>
        <v>0</v>
      </c>
    </row>
    <row r="974" spans="2:12" x14ac:dyDescent="0.85">
      <c r="B974" s="48">
        <v>968</v>
      </c>
      <c r="C974" s="44"/>
      <c r="D974" s="50"/>
      <c r="E974" s="44"/>
      <c r="F974" s="227"/>
      <c r="G974" s="49">
        <v>1</v>
      </c>
      <c r="H974" s="73"/>
      <c r="I974" s="44"/>
      <c r="J974" s="48">
        <f t="shared" si="45"/>
        <v>1</v>
      </c>
      <c r="K974" s="48">
        <f t="shared" si="46"/>
        <v>0</v>
      </c>
      <c r="L974" s="68">
        <f t="shared" si="47"/>
        <v>0</v>
      </c>
    </row>
    <row r="975" spans="2:12" x14ac:dyDescent="0.85">
      <c r="B975" s="46">
        <v>969</v>
      </c>
      <c r="C975" s="10"/>
      <c r="D975" s="66"/>
      <c r="E975" s="10"/>
      <c r="F975" s="226"/>
      <c r="G975" s="47">
        <v>1</v>
      </c>
      <c r="H975" s="72"/>
      <c r="I975" s="10"/>
      <c r="J975" s="46">
        <f t="shared" si="45"/>
        <v>1</v>
      </c>
      <c r="K975" s="46">
        <f t="shared" si="46"/>
        <v>0</v>
      </c>
      <c r="L975" s="69">
        <f t="shared" si="47"/>
        <v>0</v>
      </c>
    </row>
    <row r="976" spans="2:12" x14ac:dyDescent="0.85">
      <c r="B976" s="48">
        <v>970</v>
      </c>
      <c r="C976" s="44"/>
      <c r="D976" s="50"/>
      <c r="E976" s="44"/>
      <c r="F976" s="227"/>
      <c r="G976" s="49">
        <v>1</v>
      </c>
      <c r="H976" s="73"/>
      <c r="I976" s="44"/>
      <c r="J976" s="48">
        <f t="shared" si="45"/>
        <v>1</v>
      </c>
      <c r="K976" s="48">
        <f t="shared" si="46"/>
        <v>0</v>
      </c>
      <c r="L976" s="68">
        <f t="shared" si="47"/>
        <v>0</v>
      </c>
    </row>
    <row r="977" spans="2:12" x14ac:dyDescent="0.85">
      <c r="B977" s="46">
        <v>971</v>
      </c>
      <c r="C977" s="10"/>
      <c r="D977" s="66"/>
      <c r="E977" s="10"/>
      <c r="F977" s="226"/>
      <c r="G977" s="47">
        <v>1</v>
      </c>
      <c r="H977" s="72"/>
      <c r="I977" s="10"/>
      <c r="J977" s="46">
        <f t="shared" si="45"/>
        <v>1</v>
      </c>
      <c r="K977" s="46">
        <f t="shared" si="46"/>
        <v>0</v>
      </c>
      <c r="L977" s="69">
        <f t="shared" si="47"/>
        <v>0</v>
      </c>
    </row>
    <row r="978" spans="2:12" x14ac:dyDescent="0.85">
      <c r="B978" s="48">
        <v>972</v>
      </c>
      <c r="C978" s="44"/>
      <c r="D978" s="50"/>
      <c r="E978" s="44"/>
      <c r="F978" s="227"/>
      <c r="G978" s="49">
        <v>1</v>
      </c>
      <c r="H978" s="73"/>
      <c r="I978" s="44"/>
      <c r="J978" s="48">
        <f t="shared" si="45"/>
        <v>1</v>
      </c>
      <c r="K978" s="48">
        <f t="shared" si="46"/>
        <v>0</v>
      </c>
      <c r="L978" s="68">
        <f t="shared" si="47"/>
        <v>0</v>
      </c>
    </row>
    <row r="979" spans="2:12" x14ac:dyDescent="0.85">
      <c r="B979" s="46">
        <v>973</v>
      </c>
      <c r="C979" s="10"/>
      <c r="D979" s="66"/>
      <c r="E979" s="10"/>
      <c r="F979" s="226"/>
      <c r="G979" s="47">
        <v>1</v>
      </c>
      <c r="H979" s="72"/>
      <c r="I979" s="10"/>
      <c r="J979" s="46">
        <f t="shared" si="45"/>
        <v>1</v>
      </c>
      <c r="K979" s="46">
        <f t="shared" si="46"/>
        <v>0</v>
      </c>
      <c r="L979" s="69">
        <f t="shared" si="47"/>
        <v>0</v>
      </c>
    </row>
    <row r="980" spans="2:12" x14ac:dyDescent="0.85">
      <c r="B980" s="48">
        <v>974</v>
      </c>
      <c r="C980" s="44"/>
      <c r="D980" s="50"/>
      <c r="E980" s="44"/>
      <c r="F980" s="227"/>
      <c r="G980" s="49">
        <v>1</v>
      </c>
      <c r="H980" s="73"/>
      <c r="I980" s="44"/>
      <c r="J980" s="48">
        <f t="shared" si="45"/>
        <v>1</v>
      </c>
      <c r="K980" s="48">
        <f t="shared" si="46"/>
        <v>0</v>
      </c>
      <c r="L980" s="68">
        <f t="shared" si="47"/>
        <v>0</v>
      </c>
    </row>
    <row r="981" spans="2:12" x14ac:dyDescent="0.85">
      <c r="B981" s="46">
        <v>975</v>
      </c>
      <c r="C981" s="10"/>
      <c r="D981" s="66"/>
      <c r="E981" s="10"/>
      <c r="F981" s="226"/>
      <c r="G981" s="47">
        <v>1</v>
      </c>
      <c r="H981" s="72"/>
      <c r="I981" s="10"/>
      <c r="J981" s="46">
        <f t="shared" si="45"/>
        <v>1</v>
      </c>
      <c r="K981" s="46">
        <f t="shared" si="46"/>
        <v>0</v>
      </c>
      <c r="L981" s="69">
        <f t="shared" si="47"/>
        <v>0</v>
      </c>
    </row>
    <row r="982" spans="2:12" x14ac:dyDescent="0.85">
      <c r="B982" s="48">
        <v>976</v>
      </c>
      <c r="C982" s="44"/>
      <c r="D982" s="50"/>
      <c r="E982" s="44"/>
      <c r="F982" s="227"/>
      <c r="G982" s="49">
        <v>1</v>
      </c>
      <c r="H982" s="73"/>
      <c r="I982" s="44"/>
      <c r="J982" s="48">
        <f t="shared" si="45"/>
        <v>1</v>
      </c>
      <c r="K982" s="48">
        <f t="shared" si="46"/>
        <v>0</v>
      </c>
      <c r="L982" s="68">
        <f t="shared" si="47"/>
        <v>0</v>
      </c>
    </row>
    <row r="983" spans="2:12" x14ac:dyDescent="0.85">
      <c r="B983" s="46">
        <v>977</v>
      </c>
      <c r="C983" s="10"/>
      <c r="D983" s="66"/>
      <c r="E983" s="10"/>
      <c r="F983" s="226"/>
      <c r="G983" s="47">
        <v>1</v>
      </c>
      <c r="H983" s="72"/>
      <c r="I983" s="10"/>
      <c r="J983" s="46">
        <f t="shared" si="45"/>
        <v>1</v>
      </c>
      <c r="K983" s="46">
        <f t="shared" si="46"/>
        <v>0</v>
      </c>
      <c r="L983" s="69">
        <f t="shared" si="47"/>
        <v>0</v>
      </c>
    </row>
    <row r="984" spans="2:12" x14ac:dyDescent="0.85">
      <c r="B984" s="48">
        <v>978</v>
      </c>
      <c r="C984" s="44"/>
      <c r="D984" s="50"/>
      <c r="E984" s="44"/>
      <c r="F984" s="227"/>
      <c r="G984" s="49">
        <v>1</v>
      </c>
      <c r="H984" s="73"/>
      <c r="I984" s="44"/>
      <c r="J984" s="48">
        <f t="shared" si="45"/>
        <v>1</v>
      </c>
      <c r="K984" s="48">
        <f t="shared" si="46"/>
        <v>0</v>
      </c>
      <c r="L984" s="68">
        <f t="shared" si="47"/>
        <v>0</v>
      </c>
    </row>
    <row r="985" spans="2:12" x14ac:dyDescent="0.85">
      <c r="B985" s="46">
        <v>979</v>
      </c>
      <c r="C985" s="10"/>
      <c r="D985" s="66"/>
      <c r="E985" s="10"/>
      <c r="F985" s="226"/>
      <c r="G985" s="47">
        <v>1</v>
      </c>
      <c r="H985" s="72"/>
      <c r="I985" s="10"/>
      <c r="J985" s="46">
        <f t="shared" si="45"/>
        <v>1</v>
      </c>
      <c r="K985" s="46">
        <f t="shared" si="46"/>
        <v>0</v>
      </c>
      <c r="L985" s="69">
        <f t="shared" si="47"/>
        <v>0</v>
      </c>
    </row>
    <row r="986" spans="2:12" x14ac:dyDescent="0.85">
      <c r="B986" s="48">
        <v>980</v>
      </c>
      <c r="C986" s="44"/>
      <c r="D986" s="50"/>
      <c r="E986" s="44"/>
      <c r="F986" s="227"/>
      <c r="G986" s="49">
        <v>1</v>
      </c>
      <c r="H986" s="73"/>
      <c r="I986" s="44"/>
      <c r="J986" s="48">
        <f t="shared" si="45"/>
        <v>1</v>
      </c>
      <c r="K986" s="48">
        <f t="shared" si="46"/>
        <v>0</v>
      </c>
      <c r="L986" s="68">
        <f t="shared" si="47"/>
        <v>0</v>
      </c>
    </row>
    <row r="987" spans="2:12" x14ac:dyDescent="0.85">
      <c r="B987" s="46">
        <v>981</v>
      </c>
      <c r="C987" s="10"/>
      <c r="D987" s="66"/>
      <c r="E987" s="10"/>
      <c r="F987" s="226"/>
      <c r="G987" s="47">
        <v>1</v>
      </c>
      <c r="H987" s="72"/>
      <c r="I987" s="10"/>
      <c r="J987" s="46">
        <f t="shared" si="45"/>
        <v>1</v>
      </c>
      <c r="K987" s="46">
        <f t="shared" si="46"/>
        <v>0</v>
      </c>
      <c r="L987" s="69">
        <f t="shared" si="47"/>
        <v>0</v>
      </c>
    </row>
    <row r="988" spans="2:12" x14ac:dyDescent="0.85">
      <c r="B988" s="48">
        <v>982</v>
      </c>
      <c r="C988" s="44"/>
      <c r="D988" s="50"/>
      <c r="E988" s="44"/>
      <c r="F988" s="227"/>
      <c r="G988" s="49">
        <v>1</v>
      </c>
      <c r="H988" s="73"/>
      <c r="I988" s="44"/>
      <c r="J988" s="48">
        <f t="shared" si="45"/>
        <v>1</v>
      </c>
      <c r="K988" s="48">
        <f t="shared" si="46"/>
        <v>0</v>
      </c>
      <c r="L988" s="68">
        <f t="shared" si="47"/>
        <v>0</v>
      </c>
    </row>
    <row r="989" spans="2:12" x14ac:dyDescent="0.85">
      <c r="B989" s="46">
        <v>983</v>
      </c>
      <c r="C989" s="10"/>
      <c r="D989" s="66"/>
      <c r="E989" s="10"/>
      <c r="F989" s="226"/>
      <c r="G989" s="47">
        <v>1</v>
      </c>
      <c r="H989" s="72"/>
      <c r="I989" s="10"/>
      <c r="J989" s="46">
        <f t="shared" si="45"/>
        <v>1</v>
      </c>
      <c r="K989" s="46">
        <f t="shared" si="46"/>
        <v>0</v>
      </c>
      <c r="L989" s="69">
        <f t="shared" si="47"/>
        <v>0</v>
      </c>
    </row>
    <row r="990" spans="2:12" x14ac:dyDescent="0.85">
      <c r="B990" s="48">
        <v>984</v>
      </c>
      <c r="C990" s="44"/>
      <c r="D990" s="50"/>
      <c r="E990" s="44"/>
      <c r="F990" s="227"/>
      <c r="G990" s="49">
        <v>1</v>
      </c>
      <c r="H990" s="73"/>
      <c r="I990" s="44"/>
      <c r="J990" s="48">
        <f t="shared" si="45"/>
        <v>1</v>
      </c>
      <c r="K990" s="48">
        <f t="shared" si="46"/>
        <v>0</v>
      </c>
      <c r="L990" s="68">
        <f t="shared" si="47"/>
        <v>0</v>
      </c>
    </row>
    <row r="991" spans="2:12" x14ac:dyDescent="0.85">
      <c r="B991" s="46">
        <v>985</v>
      </c>
      <c r="C991" s="10"/>
      <c r="D991" s="66"/>
      <c r="E991" s="10"/>
      <c r="F991" s="226"/>
      <c r="G991" s="47">
        <v>1</v>
      </c>
      <c r="H991" s="72"/>
      <c r="I991" s="10"/>
      <c r="J991" s="46">
        <f t="shared" si="45"/>
        <v>1</v>
      </c>
      <c r="K991" s="46">
        <f t="shared" si="46"/>
        <v>0</v>
      </c>
      <c r="L991" s="69">
        <f t="shared" si="47"/>
        <v>0</v>
      </c>
    </row>
    <row r="992" spans="2:12" x14ac:dyDescent="0.85">
      <c r="B992" s="48">
        <v>986</v>
      </c>
      <c r="C992" s="44"/>
      <c r="D992" s="50"/>
      <c r="E992" s="44"/>
      <c r="F992" s="227"/>
      <c r="G992" s="49">
        <v>1</v>
      </c>
      <c r="H992" s="73"/>
      <c r="I992" s="44"/>
      <c r="J992" s="48">
        <f t="shared" si="45"/>
        <v>1</v>
      </c>
      <c r="K992" s="48">
        <f t="shared" si="46"/>
        <v>0</v>
      </c>
      <c r="L992" s="68">
        <f t="shared" si="47"/>
        <v>0</v>
      </c>
    </row>
    <row r="993" spans="2:12" x14ac:dyDescent="0.85">
      <c r="B993" s="46">
        <v>987</v>
      </c>
      <c r="C993" s="10"/>
      <c r="D993" s="66"/>
      <c r="E993" s="10"/>
      <c r="F993" s="226"/>
      <c r="G993" s="47">
        <v>1</v>
      </c>
      <c r="H993" s="72"/>
      <c r="I993" s="10"/>
      <c r="J993" s="46">
        <f t="shared" si="45"/>
        <v>1</v>
      </c>
      <c r="K993" s="46">
        <f t="shared" si="46"/>
        <v>0</v>
      </c>
      <c r="L993" s="69">
        <f t="shared" si="47"/>
        <v>0</v>
      </c>
    </row>
    <row r="994" spans="2:12" x14ac:dyDescent="0.85">
      <c r="B994" s="48">
        <v>988</v>
      </c>
      <c r="C994" s="44"/>
      <c r="D994" s="50"/>
      <c r="E994" s="44"/>
      <c r="F994" s="227"/>
      <c r="G994" s="49">
        <v>1</v>
      </c>
      <c r="H994" s="73"/>
      <c r="I994" s="44"/>
      <c r="J994" s="48">
        <f t="shared" si="45"/>
        <v>1</v>
      </c>
      <c r="K994" s="48">
        <f t="shared" si="46"/>
        <v>0</v>
      </c>
      <c r="L994" s="68">
        <f t="shared" si="47"/>
        <v>0</v>
      </c>
    </row>
    <row r="995" spans="2:12" x14ac:dyDescent="0.85">
      <c r="B995" s="46">
        <v>989</v>
      </c>
      <c r="C995" s="10"/>
      <c r="D995" s="66"/>
      <c r="E995" s="10"/>
      <c r="F995" s="226"/>
      <c r="G995" s="47">
        <v>1</v>
      </c>
      <c r="H995" s="72"/>
      <c r="I995" s="10"/>
      <c r="J995" s="46">
        <f t="shared" si="45"/>
        <v>1</v>
      </c>
      <c r="K995" s="46">
        <f t="shared" si="46"/>
        <v>0</v>
      </c>
      <c r="L995" s="69">
        <f t="shared" si="47"/>
        <v>0</v>
      </c>
    </row>
    <row r="996" spans="2:12" x14ac:dyDescent="0.85">
      <c r="B996" s="48">
        <v>990</v>
      </c>
      <c r="C996" s="44"/>
      <c r="D996" s="50"/>
      <c r="E996" s="44"/>
      <c r="F996" s="227"/>
      <c r="G996" s="49">
        <v>1</v>
      </c>
      <c r="H996" s="73"/>
      <c r="I996" s="44"/>
      <c r="J996" s="48">
        <f t="shared" si="45"/>
        <v>1</v>
      </c>
      <c r="K996" s="48">
        <f t="shared" si="46"/>
        <v>0</v>
      </c>
      <c r="L996" s="68">
        <f t="shared" si="47"/>
        <v>0</v>
      </c>
    </row>
    <row r="997" spans="2:12" x14ac:dyDescent="0.85">
      <c r="B997" s="46">
        <v>991</v>
      </c>
      <c r="C997" s="10"/>
      <c r="D997" s="66"/>
      <c r="E997" s="10"/>
      <c r="F997" s="226"/>
      <c r="G997" s="47">
        <v>1</v>
      </c>
      <c r="H997" s="72"/>
      <c r="I997" s="10"/>
      <c r="J997" s="46">
        <f t="shared" si="45"/>
        <v>1</v>
      </c>
      <c r="K997" s="46">
        <f t="shared" si="46"/>
        <v>0</v>
      </c>
      <c r="L997" s="69">
        <f t="shared" si="47"/>
        <v>0</v>
      </c>
    </row>
    <row r="998" spans="2:12" x14ac:dyDescent="0.85">
      <c r="B998" s="48">
        <v>992</v>
      </c>
      <c r="C998" s="44"/>
      <c r="D998" s="50"/>
      <c r="E998" s="44"/>
      <c r="F998" s="227"/>
      <c r="G998" s="49">
        <v>1</v>
      </c>
      <c r="H998" s="73"/>
      <c r="I998" s="44"/>
      <c r="J998" s="48">
        <f t="shared" si="45"/>
        <v>1</v>
      </c>
      <c r="K998" s="48">
        <f t="shared" si="46"/>
        <v>0</v>
      </c>
      <c r="L998" s="68">
        <f t="shared" si="47"/>
        <v>0</v>
      </c>
    </row>
    <row r="999" spans="2:12" x14ac:dyDescent="0.85">
      <c r="B999" s="46">
        <v>993</v>
      </c>
      <c r="C999" s="10"/>
      <c r="D999" s="66"/>
      <c r="E999" s="10"/>
      <c r="F999" s="226"/>
      <c r="G999" s="47">
        <v>1</v>
      </c>
      <c r="H999" s="72"/>
      <c r="I999" s="10"/>
      <c r="J999" s="46">
        <f t="shared" si="45"/>
        <v>1</v>
      </c>
      <c r="K999" s="46">
        <f t="shared" si="46"/>
        <v>0</v>
      </c>
      <c r="L999" s="69">
        <f t="shared" si="47"/>
        <v>0</v>
      </c>
    </row>
    <row r="1000" spans="2:12" x14ac:dyDescent="0.85">
      <c r="B1000" s="48">
        <v>994</v>
      </c>
      <c r="C1000" s="44"/>
      <c r="D1000" s="50"/>
      <c r="E1000" s="44"/>
      <c r="F1000" s="227"/>
      <c r="G1000" s="49">
        <v>1</v>
      </c>
      <c r="H1000" s="73"/>
      <c r="I1000" s="44"/>
      <c r="J1000" s="48">
        <f t="shared" si="45"/>
        <v>1</v>
      </c>
      <c r="K1000" s="48">
        <f t="shared" si="46"/>
        <v>0</v>
      </c>
      <c r="L1000" s="68">
        <f t="shared" si="47"/>
        <v>0</v>
      </c>
    </row>
    <row r="1001" spans="2:12" x14ac:dyDescent="0.85">
      <c r="B1001" s="46">
        <v>995</v>
      </c>
      <c r="C1001" s="10"/>
      <c r="D1001" s="66"/>
      <c r="E1001" s="10"/>
      <c r="F1001" s="226"/>
      <c r="G1001" s="47">
        <v>1</v>
      </c>
      <c r="H1001" s="72"/>
      <c r="I1001" s="10"/>
      <c r="J1001" s="46">
        <f t="shared" si="45"/>
        <v>1</v>
      </c>
      <c r="K1001" s="46">
        <f t="shared" si="46"/>
        <v>0</v>
      </c>
      <c r="L1001" s="69">
        <f t="shared" si="47"/>
        <v>0</v>
      </c>
    </row>
    <row r="1002" spans="2:12" x14ac:dyDescent="0.85">
      <c r="B1002" s="48">
        <v>996</v>
      </c>
      <c r="C1002" s="44"/>
      <c r="D1002" s="50"/>
      <c r="E1002" s="44"/>
      <c r="F1002" s="227"/>
      <c r="G1002" s="49">
        <v>1</v>
      </c>
      <c r="H1002" s="73"/>
      <c r="I1002" s="44"/>
      <c r="J1002" s="48">
        <f t="shared" si="45"/>
        <v>1</v>
      </c>
      <c r="K1002" s="48">
        <f t="shared" si="46"/>
        <v>0</v>
      </c>
      <c r="L1002" s="68">
        <f t="shared" si="47"/>
        <v>0</v>
      </c>
    </row>
    <row r="1003" spans="2:12" x14ac:dyDescent="0.85">
      <c r="B1003" s="46">
        <v>997</v>
      </c>
      <c r="C1003" s="10"/>
      <c r="D1003" s="66"/>
      <c r="E1003" s="10"/>
      <c r="F1003" s="226"/>
      <c r="G1003" s="47">
        <v>1</v>
      </c>
      <c r="H1003" s="72"/>
      <c r="I1003" s="10"/>
      <c r="J1003" s="46">
        <f t="shared" si="45"/>
        <v>1</v>
      </c>
      <c r="K1003" s="46">
        <f t="shared" si="46"/>
        <v>0</v>
      </c>
      <c r="L1003" s="69">
        <f t="shared" si="47"/>
        <v>0</v>
      </c>
    </row>
    <row r="1004" spans="2:12" x14ac:dyDescent="0.85">
      <c r="B1004" s="48">
        <v>998</v>
      </c>
      <c r="C1004" s="44"/>
      <c r="D1004" s="50"/>
      <c r="E1004" s="44"/>
      <c r="F1004" s="227"/>
      <c r="G1004" s="49">
        <v>1</v>
      </c>
      <c r="H1004" s="73"/>
      <c r="I1004" s="44"/>
      <c r="J1004" s="48">
        <f t="shared" si="45"/>
        <v>1</v>
      </c>
      <c r="K1004" s="48">
        <f t="shared" si="46"/>
        <v>0</v>
      </c>
      <c r="L1004" s="68">
        <f t="shared" si="47"/>
        <v>0</v>
      </c>
    </row>
    <row r="1005" spans="2:12" x14ac:dyDescent="0.85">
      <c r="B1005" s="46">
        <v>999</v>
      </c>
      <c r="C1005" s="10"/>
      <c r="D1005" s="66"/>
      <c r="E1005" s="10"/>
      <c r="F1005" s="226"/>
      <c r="G1005" s="47">
        <v>1</v>
      </c>
      <c r="H1005" s="72"/>
      <c r="I1005" s="10"/>
      <c r="J1005" s="46">
        <f t="shared" si="45"/>
        <v>1</v>
      </c>
      <c r="K1005" s="46">
        <f t="shared" si="46"/>
        <v>0</v>
      </c>
      <c r="L1005" s="69">
        <f t="shared" si="47"/>
        <v>0</v>
      </c>
    </row>
    <row r="1006" spans="2:12" x14ac:dyDescent="0.85">
      <c r="B1006" s="48">
        <v>1000</v>
      </c>
      <c r="C1006" s="44"/>
      <c r="D1006" s="50"/>
      <c r="E1006" s="44"/>
      <c r="F1006" s="227"/>
      <c r="G1006" s="49">
        <v>1</v>
      </c>
      <c r="H1006" s="73"/>
      <c r="I1006" s="44"/>
      <c r="J1006" s="48">
        <f t="shared" si="45"/>
        <v>1</v>
      </c>
      <c r="K1006" s="48">
        <f t="shared" si="46"/>
        <v>0</v>
      </c>
      <c r="L1006" s="68">
        <f t="shared" si="47"/>
        <v>0</v>
      </c>
    </row>
    <row r="1007" spans="2:12" x14ac:dyDescent="0.85">
      <c r="B1007" s="46">
        <v>1001</v>
      </c>
      <c r="C1007" s="10"/>
      <c r="D1007" s="66"/>
      <c r="E1007" s="10"/>
      <c r="F1007" s="226"/>
      <c r="G1007" s="47">
        <v>1</v>
      </c>
      <c r="H1007" s="72"/>
      <c r="I1007" s="10"/>
      <c r="J1007" s="46">
        <f t="shared" si="45"/>
        <v>1</v>
      </c>
      <c r="K1007" s="46">
        <f t="shared" si="46"/>
        <v>0</v>
      </c>
      <c r="L1007" s="69">
        <f t="shared" si="47"/>
        <v>0</v>
      </c>
    </row>
    <row r="1008" spans="2:12" x14ac:dyDescent="0.85">
      <c r="B1008" s="48">
        <v>1002</v>
      </c>
      <c r="C1008" s="44"/>
      <c r="D1008" s="50"/>
      <c r="E1008" s="44"/>
      <c r="F1008" s="227"/>
      <c r="G1008" s="49">
        <v>1</v>
      </c>
      <c r="H1008" s="73"/>
      <c r="I1008" s="44"/>
      <c r="J1008" s="48">
        <f t="shared" si="45"/>
        <v>1</v>
      </c>
      <c r="K1008" s="48">
        <f t="shared" si="46"/>
        <v>0</v>
      </c>
      <c r="L1008" s="68">
        <f t="shared" si="47"/>
        <v>0</v>
      </c>
    </row>
    <row r="1009" spans="2:12" x14ac:dyDescent="0.85">
      <c r="B1009" s="46">
        <v>1003</v>
      </c>
      <c r="C1009" s="10"/>
      <c r="D1009" s="66"/>
      <c r="E1009" s="10"/>
      <c r="F1009" s="226"/>
      <c r="G1009" s="47">
        <v>1</v>
      </c>
      <c r="H1009" s="72"/>
      <c r="I1009" s="10"/>
      <c r="J1009" s="46">
        <f t="shared" si="45"/>
        <v>1</v>
      </c>
      <c r="K1009" s="46">
        <f t="shared" si="46"/>
        <v>0</v>
      </c>
      <c r="L1009" s="69">
        <f t="shared" si="47"/>
        <v>0</v>
      </c>
    </row>
    <row r="1010" spans="2:12" x14ac:dyDescent="0.85">
      <c r="B1010" s="48">
        <v>1004</v>
      </c>
      <c r="C1010" s="44"/>
      <c r="D1010" s="50"/>
      <c r="E1010" s="44"/>
      <c r="F1010" s="227"/>
      <c r="G1010" s="49">
        <v>1</v>
      </c>
      <c r="H1010" s="73"/>
      <c r="I1010" s="44"/>
      <c r="J1010" s="48">
        <f t="shared" si="45"/>
        <v>1</v>
      </c>
      <c r="K1010" s="48">
        <f t="shared" si="46"/>
        <v>0</v>
      </c>
      <c r="L1010" s="68">
        <f t="shared" si="47"/>
        <v>0</v>
      </c>
    </row>
    <row r="1011" spans="2:12" x14ac:dyDescent="0.85">
      <c r="B1011" s="46">
        <v>1005</v>
      </c>
      <c r="C1011" s="10"/>
      <c r="D1011" s="66"/>
      <c r="E1011" s="10"/>
      <c r="F1011" s="226"/>
      <c r="G1011" s="47">
        <v>1</v>
      </c>
      <c r="H1011" s="72"/>
      <c r="I1011" s="10"/>
      <c r="J1011" s="46">
        <f t="shared" si="45"/>
        <v>1</v>
      </c>
      <c r="K1011" s="46">
        <f t="shared" si="46"/>
        <v>0</v>
      </c>
      <c r="L1011" s="69">
        <f t="shared" si="47"/>
        <v>0</v>
      </c>
    </row>
    <row r="1012" spans="2:12" x14ac:dyDescent="0.85">
      <c r="B1012" s="48">
        <v>1006</v>
      </c>
      <c r="C1012" s="44"/>
      <c r="D1012" s="50"/>
      <c r="E1012" s="44"/>
      <c r="F1012" s="227"/>
      <c r="G1012" s="49">
        <v>1</v>
      </c>
      <c r="H1012" s="73"/>
      <c r="I1012" s="44"/>
      <c r="J1012" s="48">
        <f t="shared" si="45"/>
        <v>1</v>
      </c>
      <c r="K1012" s="48">
        <f t="shared" si="46"/>
        <v>0</v>
      </c>
      <c r="L1012" s="68">
        <f t="shared" si="47"/>
        <v>0</v>
      </c>
    </row>
    <row r="1013" spans="2:12" x14ac:dyDescent="0.85">
      <c r="B1013" s="46">
        <v>1007</v>
      </c>
      <c r="C1013" s="10"/>
      <c r="D1013" s="66"/>
      <c r="E1013" s="10"/>
      <c r="F1013" s="226"/>
      <c r="G1013" s="47">
        <v>1</v>
      </c>
      <c r="H1013" s="72"/>
      <c r="I1013" s="10"/>
      <c r="J1013" s="46">
        <f t="shared" si="45"/>
        <v>1</v>
      </c>
      <c r="K1013" s="46">
        <f t="shared" si="46"/>
        <v>0</v>
      </c>
      <c r="L1013" s="69">
        <f t="shared" si="47"/>
        <v>0</v>
      </c>
    </row>
    <row r="1014" spans="2:12" x14ac:dyDescent="0.85">
      <c r="B1014" s="48">
        <v>1008</v>
      </c>
      <c r="C1014" s="44"/>
      <c r="D1014" s="50"/>
      <c r="E1014" s="44"/>
      <c r="F1014" s="227"/>
      <c r="G1014" s="49">
        <v>1</v>
      </c>
      <c r="H1014" s="73"/>
      <c r="I1014" s="44"/>
      <c r="J1014" s="48">
        <f t="shared" si="45"/>
        <v>1</v>
      </c>
      <c r="K1014" s="48">
        <f t="shared" si="46"/>
        <v>0</v>
      </c>
      <c r="L1014" s="68">
        <f t="shared" si="47"/>
        <v>0</v>
      </c>
    </row>
    <row r="1015" spans="2:12" x14ac:dyDescent="0.85">
      <c r="B1015" s="46">
        <v>1009</v>
      </c>
      <c r="C1015" s="10"/>
      <c r="D1015" s="66"/>
      <c r="E1015" s="10"/>
      <c r="F1015" s="226"/>
      <c r="G1015" s="47">
        <v>1</v>
      </c>
      <c r="H1015" s="72"/>
      <c r="I1015" s="10"/>
      <c r="J1015" s="46">
        <f t="shared" si="45"/>
        <v>1</v>
      </c>
      <c r="K1015" s="46">
        <f t="shared" si="46"/>
        <v>0</v>
      </c>
      <c r="L1015" s="69">
        <f t="shared" si="47"/>
        <v>0</v>
      </c>
    </row>
    <row r="1016" spans="2:12" x14ac:dyDescent="0.85">
      <c r="B1016" s="48">
        <v>1010</v>
      </c>
      <c r="C1016" s="44"/>
      <c r="D1016" s="50"/>
      <c r="E1016" s="44"/>
      <c r="F1016" s="227"/>
      <c r="G1016" s="49">
        <v>1</v>
      </c>
      <c r="H1016" s="73"/>
      <c r="I1016" s="44"/>
      <c r="J1016" s="48">
        <f t="shared" si="45"/>
        <v>1</v>
      </c>
      <c r="K1016" s="48">
        <f t="shared" si="46"/>
        <v>0</v>
      </c>
      <c r="L1016" s="68">
        <f t="shared" si="47"/>
        <v>0</v>
      </c>
    </row>
    <row r="1017" spans="2:12" x14ac:dyDescent="0.85">
      <c r="B1017" s="46">
        <v>1011</v>
      </c>
      <c r="C1017" s="10"/>
      <c r="D1017" s="66"/>
      <c r="E1017" s="10"/>
      <c r="F1017" s="226"/>
      <c r="G1017" s="47">
        <v>1</v>
      </c>
      <c r="H1017" s="72"/>
      <c r="I1017" s="10"/>
      <c r="J1017" s="46">
        <f t="shared" si="45"/>
        <v>1</v>
      </c>
      <c r="K1017" s="46">
        <f t="shared" si="46"/>
        <v>0</v>
      </c>
      <c r="L1017" s="69">
        <f t="shared" si="47"/>
        <v>0</v>
      </c>
    </row>
    <row r="1018" spans="2:12" x14ac:dyDescent="0.85">
      <c r="B1018" s="48">
        <v>1012</v>
      </c>
      <c r="C1018" s="44"/>
      <c r="D1018" s="50"/>
      <c r="E1018" s="44"/>
      <c r="F1018" s="227"/>
      <c r="G1018" s="49">
        <v>1</v>
      </c>
      <c r="H1018" s="73"/>
      <c r="I1018" s="44"/>
      <c r="J1018" s="48">
        <f t="shared" si="45"/>
        <v>1</v>
      </c>
      <c r="K1018" s="48">
        <f t="shared" si="46"/>
        <v>0</v>
      </c>
      <c r="L1018" s="68">
        <f t="shared" si="47"/>
        <v>0</v>
      </c>
    </row>
    <row r="1019" spans="2:12" x14ac:dyDescent="0.85">
      <c r="B1019" s="46">
        <v>1013</v>
      </c>
      <c r="C1019" s="10"/>
      <c r="D1019" s="66"/>
      <c r="E1019" s="10"/>
      <c r="F1019" s="226"/>
      <c r="G1019" s="47">
        <v>1</v>
      </c>
      <c r="H1019" s="72"/>
      <c r="I1019" s="10"/>
      <c r="J1019" s="46">
        <f t="shared" si="45"/>
        <v>1</v>
      </c>
      <c r="K1019" s="46">
        <f t="shared" si="46"/>
        <v>0</v>
      </c>
      <c r="L1019" s="69">
        <f t="shared" si="47"/>
        <v>0</v>
      </c>
    </row>
    <row r="1020" spans="2:12" x14ac:dyDescent="0.85">
      <c r="B1020" s="48">
        <v>1014</v>
      </c>
      <c r="C1020" s="44"/>
      <c r="D1020" s="50"/>
      <c r="E1020" s="44"/>
      <c r="F1020" s="227"/>
      <c r="G1020" s="49">
        <v>1</v>
      </c>
      <c r="H1020" s="73"/>
      <c r="I1020" s="44"/>
      <c r="J1020" s="48">
        <f t="shared" si="45"/>
        <v>1</v>
      </c>
      <c r="K1020" s="48">
        <f t="shared" si="46"/>
        <v>0</v>
      </c>
      <c r="L1020" s="68">
        <f t="shared" si="47"/>
        <v>0</v>
      </c>
    </row>
    <row r="1021" spans="2:12" x14ac:dyDescent="0.85">
      <c r="B1021" s="46">
        <v>1015</v>
      </c>
      <c r="C1021" s="10"/>
      <c r="D1021" s="66"/>
      <c r="E1021" s="10"/>
      <c r="F1021" s="226"/>
      <c r="G1021" s="47">
        <v>1</v>
      </c>
      <c r="H1021" s="72"/>
      <c r="I1021" s="10"/>
      <c r="J1021" s="46">
        <f t="shared" si="45"/>
        <v>1</v>
      </c>
      <c r="K1021" s="46">
        <f t="shared" si="46"/>
        <v>0</v>
      </c>
      <c r="L1021" s="69">
        <f t="shared" si="47"/>
        <v>0</v>
      </c>
    </row>
    <row r="1022" spans="2:12" x14ac:dyDescent="0.85">
      <c r="B1022" s="48">
        <v>1016</v>
      </c>
      <c r="C1022" s="44"/>
      <c r="D1022" s="50"/>
      <c r="E1022" s="44"/>
      <c r="F1022" s="227"/>
      <c r="G1022" s="49">
        <v>1</v>
      </c>
      <c r="H1022" s="73"/>
      <c r="I1022" s="44"/>
      <c r="J1022" s="48">
        <f t="shared" si="45"/>
        <v>1</v>
      </c>
      <c r="K1022" s="48">
        <f t="shared" si="46"/>
        <v>0</v>
      </c>
      <c r="L1022" s="68">
        <f t="shared" si="47"/>
        <v>0</v>
      </c>
    </row>
    <row r="1023" spans="2:12" x14ac:dyDescent="0.85">
      <c r="B1023" s="46">
        <v>1017</v>
      </c>
      <c r="C1023" s="10"/>
      <c r="D1023" s="66"/>
      <c r="E1023" s="10"/>
      <c r="F1023" s="226"/>
      <c r="G1023" s="47">
        <v>1</v>
      </c>
      <c r="H1023" s="72"/>
      <c r="I1023" s="10"/>
      <c r="J1023" s="46">
        <f t="shared" si="45"/>
        <v>1</v>
      </c>
      <c r="K1023" s="46">
        <f t="shared" si="46"/>
        <v>0</v>
      </c>
      <c r="L1023" s="69">
        <f t="shared" si="47"/>
        <v>0</v>
      </c>
    </row>
    <row r="1024" spans="2:12" x14ac:dyDescent="0.85">
      <c r="B1024" s="48">
        <v>1018</v>
      </c>
      <c r="C1024" s="44"/>
      <c r="D1024" s="50"/>
      <c r="E1024" s="44"/>
      <c r="F1024" s="227"/>
      <c r="G1024" s="49">
        <v>1</v>
      </c>
      <c r="H1024" s="73"/>
      <c r="I1024" s="44"/>
      <c r="J1024" s="48">
        <f t="shared" si="45"/>
        <v>1</v>
      </c>
      <c r="K1024" s="48">
        <f t="shared" si="46"/>
        <v>0</v>
      </c>
      <c r="L1024" s="68">
        <f t="shared" si="47"/>
        <v>0</v>
      </c>
    </row>
    <row r="1025" spans="2:12" x14ac:dyDescent="0.85">
      <c r="B1025" s="46">
        <v>1019</v>
      </c>
      <c r="C1025" s="10"/>
      <c r="D1025" s="66"/>
      <c r="E1025" s="10"/>
      <c r="F1025" s="226"/>
      <c r="G1025" s="47">
        <v>1</v>
      </c>
      <c r="H1025" s="72"/>
      <c r="I1025" s="10"/>
      <c r="J1025" s="46">
        <f t="shared" si="45"/>
        <v>1</v>
      </c>
      <c r="K1025" s="46">
        <f t="shared" si="46"/>
        <v>0</v>
      </c>
      <c r="L1025" s="69">
        <f t="shared" si="47"/>
        <v>0</v>
      </c>
    </row>
    <row r="1026" spans="2:12" x14ac:dyDescent="0.85">
      <c r="B1026" s="48">
        <v>1020</v>
      </c>
      <c r="C1026" s="44"/>
      <c r="D1026" s="50"/>
      <c r="E1026" s="44"/>
      <c r="F1026" s="227"/>
      <c r="G1026" s="49">
        <v>1</v>
      </c>
      <c r="H1026" s="73"/>
      <c r="I1026" s="44"/>
      <c r="J1026" s="48">
        <f t="shared" si="45"/>
        <v>1</v>
      </c>
      <c r="K1026" s="48">
        <f t="shared" si="46"/>
        <v>0</v>
      </c>
      <c r="L1026" s="68">
        <f t="shared" si="47"/>
        <v>0</v>
      </c>
    </row>
    <row r="1027" spans="2:12" x14ac:dyDescent="0.85">
      <c r="B1027" s="46">
        <v>1021</v>
      </c>
      <c r="C1027" s="10"/>
      <c r="D1027" s="66"/>
      <c r="E1027" s="10"/>
      <c r="F1027" s="226"/>
      <c r="G1027" s="47">
        <v>1</v>
      </c>
      <c r="H1027" s="72"/>
      <c r="I1027" s="10"/>
      <c r="J1027" s="46">
        <f t="shared" si="45"/>
        <v>1</v>
      </c>
      <c r="K1027" s="46">
        <f t="shared" si="46"/>
        <v>0</v>
      </c>
      <c r="L1027" s="69">
        <f t="shared" si="47"/>
        <v>0</v>
      </c>
    </row>
    <row r="1028" spans="2:12" x14ac:dyDescent="0.85">
      <c r="B1028" s="48">
        <v>1022</v>
      </c>
      <c r="C1028" s="44"/>
      <c r="D1028" s="50"/>
      <c r="E1028" s="44"/>
      <c r="F1028" s="227"/>
      <c r="G1028" s="49">
        <v>1</v>
      </c>
      <c r="H1028" s="73"/>
      <c r="I1028" s="44"/>
      <c r="J1028" s="48">
        <f t="shared" si="45"/>
        <v>1</v>
      </c>
      <c r="K1028" s="48">
        <f t="shared" si="46"/>
        <v>0</v>
      </c>
      <c r="L1028" s="68">
        <f t="shared" si="47"/>
        <v>0</v>
      </c>
    </row>
    <row r="1029" spans="2:12" x14ac:dyDescent="0.85">
      <c r="B1029" s="46">
        <v>1023</v>
      </c>
      <c r="C1029" s="10"/>
      <c r="D1029" s="66"/>
      <c r="E1029" s="10"/>
      <c r="F1029" s="226"/>
      <c r="G1029" s="47">
        <v>1</v>
      </c>
      <c r="H1029" s="72"/>
      <c r="I1029" s="10"/>
      <c r="J1029" s="46">
        <f t="shared" si="45"/>
        <v>1</v>
      </c>
      <c r="K1029" s="46">
        <f t="shared" si="46"/>
        <v>0</v>
      </c>
      <c r="L1029" s="69">
        <f t="shared" si="47"/>
        <v>0</v>
      </c>
    </row>
    <row r="1030" spans="2:12" x14ac:dyDescent="0.85">
      <c r="B1030" s="48">
        <v>1024</v>
      </c>
      <c r="C1030" s="44"/>
      <c r="D1030" s="50"/>
      <c r="E1030" s="44"/>
      <c r="F1030" s="227"/>
      <c r="G1030" s="49">
        <v>1</v>
      </c>
      <c r="H1030" s="73"/>
      <c r="I1030" s="44"/>
      <c r="J1030" s="48">
        <f t="shared" si="45"/>
        <v>1</v>
      </c>
      <c r="K1030" s="48">
        <f t="shared" si="46"/>
        <v>0</v>
      </c>
      <c r="L1030" s="68">
        <f t="shared" si="47"/>
        <v>0</v>
      </c>
    </row>
    <row r="1031" spans="2:12" x14ac:dyDescent="0.85">
      <c r="B1031" s="46">
        <v>1025</v>
      </c>
      <c r="C1031" s="10"/>
      <c r="D1031" s="66"/>
      <c r="E1031" s="10"/>
      <c r="F1031" s="226"/>
      <c r="G1031" s="47">
        <v>1</v>
      </c>
      <c r="H1031" s="72"/>
      <c r="I1031" s="10"/>
      <c r="J1031" s="46">
        <f t="shared" ref="J1031:J1094" si="48">IF(ISBLANK(H1031),1,H1031)</f>
        <v>1</v>
      </c>
      <c r="K1031" s="46">
        <f t="shared" ref="K1031:K1094" si="49">IF(COUNTIF(FreeElements, E1031)&gt;0, F1031, 0)</f>
        <v>0</v>
      </c>
      <c r="L1031" s="69">
        <f t="shared" ref="L1031:L1094" si="50">J1031*K1031</f>
        <v>0</v>
      </c>
    </row>
    <row r="1032" spans="2:12" x14ac:dyDescent="0.85">
      <c r="B1032" s="48">
        <v>1026</v>
      </c>
      <c r="C1032" s="44"/>
      <c r="D1032" s="50"/>
      <c r="E1032" s="44"/>
      <c r="F1032" s="227"/>
      <c r="G1032" s="49">
        <v>1</v>
      </c>
      <c r="H1032" s="73"/>
      <c r="I1032" s="44"/>
      <c r="J1032" s="48">
        <f t="shared" si="48"/>
        <v>1</v>
      </c>
      <c r="K1032" s="48">
        <f t="shared" si="49"/>
        <v>0</v>
      </c>
      <c r="L1032" s="68">
        <f t="shared" si="50"/>
        <v>0</v>
      </c>
    </row>
    <row r="1033" spans="2:12" x14ac:dyDescent="0.85">
      <c r="B1033" s="46">
        <v>1027</v>
      </c>
      <c r="C1033" s="10"/>
      <c r="D1033" s="66"/>
      <c r="E1033" s="10"/>
      <c r="F1033" s="226"/>
      <c r="G1033" s="47">
        <v>1</v>
      </c>
      <c r="H1033" s="72"/>
      <c r="I1033" s="10"/>
      <c r="J1033" s="46">
        <f t="shared" si="48"/>
        <v>1</v>
      </c>
      <c r="K1033" s="46">
        <f t="shared" si="49"/>
        <v>0</v>
      </c>
      <c r="L1033" s="69">
        <f t="shared" si="50"/>
        <v>0</v>
      </c>
    </row>
    <row r="1034" spans="2:12" x14ac:dyDescent="0.85">
      <c r="B1034" s="48">
        <v>1028</v>
      </c>
      <c r="C1034" s="44"/>
      <c r="D1034" s="50"/>
      <c r="E1034" s="44"/>
      <c r="F1034" s="227"/>
      <c r="G1034" s="49">
        <v>1</v>
      </c>
      <c r="H1034" s="73"/>
      <c r="I1034" s="44"/>
      <c r="J1034" s="48">
        <f t="shared" si="48"/>
        <v>1</v>
      </c>
      <c r="K1034" s="48">
        <f t="shared" si="49"/>
        <v>0</v>
      </c>
      <c r="L1034" s="68">
        <f t="shared" si="50"/>
        <v>0</v>
      </c>
    </row>
    <row r="1035" spans="2:12" x14ac:dyDescent="0.85">
      <c r="B1035" s="46">
        <v>1029</v>
      </c>
      <c r="C1035" s="10"/>
      <c r="D1035" s="66"/>
      <c r="E1035" s="10"/>
      <c r="F1035" s="226"/>
      <c r="G1035" s="47">
        <v>1</v>
      </c>
      <c r="H1035" s="72"/>
      <c r="I1035" s="10"/>
      <c r="J1035" s="46">
        <f t="shared" si="48"/>
        <v>1</v>
      </c>
      <c r="K1035" s="46">
        <f t="shared" si="49"/>
        <v>0</v>
      </c>
      <c r="L1035" s="69">
        <f t="shared" si="50"/>
        <v>0</v>
      </c>
    </row>
    <row r="1036" spans="2:12" x14ac:dyDescent="0.85">
      <c r="B1036" s="48">
        <v>1030</v>
      </c>
      <c r="C1036" s="44"/>
      <c r="D1036" s="50"/>
      <c r="E1036" s="44"/>
      <c r="F1036" s="227"/>
      <c r="G1036" s="49">
        <v>1</v>
      </c>
      <c r="H1036" s="73"/>
      <c r="I1036" s="44"/>
      <c r="J1036" s="48">
        <f t="shared" si="48"/>
        <v>1</v>
      </c>
      <c r="K1036" s="48">
        <f t="shared" si="49"/>
        <v>0</v>
      </c>
      <c r="L1036" s="68">
        <f t="shared" si="50"/>
        <v>0</v>
      </c>
    </row>
    <row r="1037" spans="2:12" x14ac:dyDescent="0.85">
      <c r="B1037" s="46">
        <v>1031</v>
      </c>
      <c r="C1037" s="10"/>
      <c r="D1037" s="66"/>
      <c r="E1037" s="10"/>
      <c r="F1037" s="226"/>
      <c r="G1037" s="47">
        <v>1</v>
      </c>
      <c r="H1037" s="72"/>
      <c r="I1037" s="10"/>
      <c r="J1037" s="46">
        <f t="shared" si="48"/>
        <v>1</v>
      </c>
      <c r="K1037" s="46">
        <f t="shared" si="49"/>
        <v>0</v>
      </c>
      <c r="L1037" s="69">
        <f t="shared" si="50"/>
        <v>0</v>
      </c>
    </row>
    <row r="1038" spans="2:12" x14ac:dyDescent="0.85">
      <c r="B1038" s="48">
        <v>1032</v>
      </c>
      <c r="C1038" s="44"/>
      <c r="D1038" s="50"/>
      <c r="E1038" s="44"/>
      <c r="F1038" s="227"/>
      <c r="G1038" s="49">
        <v>1</v>
      </c>
      <c r="H1038" s="73"/>
      <c r="I1038" s="44"/>
      <c r="J1038" s="48">
        <f t="shared" si="48"/>
        <v>1</v>
      </c>
      <c r="K1038" s="48">
        <f t="shared" si="49"/>
        <v>0</v>
      </c>
      <c r="L1038" s="68">
        <f t="shared" si="50"/>
        <v>0</v>
      </c>
    </row>
    <row r="1039" spans="2:12" x14ac:dyDescent="0.85">
      <c r="B1039" s="46">
        <v>1033</v>
      </c>
      <c r="C1039" s="10"/>
      <c r="D1039" s="66"/>
      <c r="E1039" s="10"/>
      <c r="F1039" s="226"/>
      <c r="G1039" s="47">
        <v>1</v>
      </c>
      <c r="H1039" s="72"/>
      <c r="I1039" s="10"/>
      <c r="J1039" s="46">
        <f t="shared" si="48"/>
        <v>1</v>
      </c>
      <c r="K1039" s="46">
        <f t="shared" si="49"/>
        <v>0</v>
      </c>
      <c r="L1039" s="69">
        <f t="shared" si="50"/>
        <v>0</v>
      </c>
    </row>
    <row r="1040" spans="2:12" x14ac:dyDescent="0.85">
      <c r="B1040" s="48">
        <v>1034</v>
      </c>
      <c r="C1040" s="44"/>
      <c r="D1040" s="50"/>
      <c r="E1040" s="44"/>
      <c r="F1040" s="227"/>
      <c r="G1040" s="49">
        <v>1</v>
      </c>
      <c r="H1040" s="73"/>
      <c r="I1040" s="44"/>
      <c r="J1040" s="48">
        <f t="shared" si="48"/>
        <v>1</v>
      </c>
      <c r="K1040" s="48">
        <f t="shared" si="49"/>
        <v>0</v>
      </c>
      <c r="L1040" s="68">
        <f t="shared" si="50"/>
        <v>0</v>
      </c>
    </row>
    <row r="1041" spans="2:12" x14ac:dyDescent="0.85">
      <c r="B1041" s="46">
        <v>1035</v>
      </c>
      <c r="C1041" s="10"/>
      <c r="D1041" s="66"/>
      <c r="E1041" s="10"/>
      <c r="F1041" s="226"/>
      <c r="G1041" s="47">
        <v>1</v>
      </c>
      <c r="H1041" s="72"/>
      <c r="I1041" s="10"/>
      <c r="J1041" s="46">
        <f t="shared" si="48"/>
        <v>1</v>
      </c>
      <c r="K1041" s="46">
        <f t="shared" si="49"/>
        <v>0</v>
      </c>
      <c r="L1041" s="69">
        <f t="shared" si="50"/>
        <v>0</v>
      </c>
    </row>
    <row r="1042" spans="2:12" x14ac:dyDescent="0.85">
      <c r="B1042" s="48">
        <v>1036</v>
      </c>
      <c r="C1042" s="44"/>
      <c r="D1042" s="50"/>
      <c r="E1042" s="44"/>
      <c r="F1042" s="227"/>
      <c r="G1042" s="49">
        <v>1</v>
      </c>
      <c r="H1042" s="73"/>
      <c r="I1042" s="44"/>
      <c r="J1042" s="48">
        <f t="shared" si="48"/>
        <v>1</v>
      </c>
      <c r="K1042" s="48">
        <f t="shared" si="49"/>
        <v>0</v>
      </c>
      <c r="L1042" s="68">
        <f t="shared" si="50"/>
        <v>0</v>
      </c>
    </row>
    <row r="1043" spans="2:12" x14ac:dyDescent="0.85">
      <c r="B1043" s="46">
        <v>1037</v>
      </c>
      <c r="C1043" s="10"/>
      <c r="D1043" s="66"/>
      <c r="E1043" s="10"/>
      <c r="F1043" s="226"/>
      <c r="G1043" s="47">
        <v>1</v>
      </c>
      <c r="H1043" s="72"/>
      <c r="I1043" s="10"/>
      <c r="J1043" s="46">
        <f t="shared" si="48"/>
        <v>1</v>
      </c>
      <c r="K1043" s="46">
        <f t="shared" si="49"/>
        <v>0</v>
      </c>
      <c r="L1043" s="69">
        <f t="shared" si="50"/>
        <v>0</v>
      </c>
    </row>
    <row r="1044" spans="2:12" x14ac:dyDescent="0.85">
      <c r="B1044" s="48">
        <v>1038</v>
      </c>
      <c r="C1044" s="44"/>
      <c r="D1044" s="50"/>
      <c r="E1044" s="44"/>
      <c r="F1044" s="227"/>
      <c r="G1044" s="49">
        <v>1</v>
      </c>
      <c r="H1044" s="73"/>
      <c r="I1044" s="44"/>
      <c r="J1044" s="48">
        <f t="shared" si="48"/>
        <v>1</v>
      </c>
      <c r="K1044" s="48">
        <f t="shared" si="49"/>
        <v>0</v>
      </c>
      <c r="L1044" s="68">
        <f t="shared" si="50"/>
        <v>0</v>
      </c>
    </row>
    <row r="1045" spans="2:12" x14ac:dyDescent="0.85">
      <c r="B1045" s="46">
        <v>1039</v>
      </c>
      <c r="C1045" s="10"/>
      <c r="D1045" s="66"/>
      <c r="E1045" s="10"/>
      <c r="F1045" s="226"/>
      <c r="G1045" s="47">
        <v>1</v>
      </c>
      <c r="H1045" s="72"/>
      <c r="I1045" s="10"/>
      <c r="J1045" s="46">
        <f t="shared" si="48"/>
        <v>1</v>
      </c>
      <c r="K1045" s="46">
        <f t="shared" si="49"/>
        <v>0</v>
      </c>
      <c r="L1045" s="69">
        <f t="shared" si="50"/>
        <v>0</v>
      </c>
    </row>
    <row r="1046" spans="2:12" x14ac:dyDescent="0.85">
      <c r="B1046" s="48">
        <v>1040</v>
      </c>
      <c r="C1046" s="44"/>
      <c r="D1046" s="50"/>
      <c r="E1046" s="44"/>
      <c r="F1046" s="227"/>
      <c r="G1046" s="49">
        <v>1</v>
      </c>
      <c r="H1046" s="73"/>
      <c r="I1046" s="44"/>
      <c r="J1046" s="48">
        <f t="shared" si="48"/>
        <v>1</v>
      </c>
      <c r="K1046" s="48">
        <f t="shared" si="49"/>
        <v>0</v>
      </c>
      <c r="L1046" s="68">
        <f t="shared" si="50"/>
        <v>0</v>
      </c>
    </row>
    <row r="1047" spans="2:12" x14ac:dyDescent="0.85">
      <c r="B1047" s="46">
        <v>1041</v>
      </c>
      <c r="C1047" s="10"/>
      <c r="D1047" s="66"/>
      <c r="E1047" s="10"/>
      <c r="F1047" s="226"/>
      <c r="G1047" s="47">
        <v>1</v>
      </c>
      <c r="H1047" s="72"/>
      <c r="I1047" s="10"/>
      <c r="J1047" s="46">
        <f t="shared" si="48"/>
        <v>1</v>
      </c>
      <c r="K1047" s="46">
        <f t="shared" si="49"/>
        <v>0</v>
      </c>
      <c r="L1047" s="69">
        <f t="shared" si="50"/>
        <v>0</v>
      </c>
    </row>
    <row r="1048" spans="2:12" x14ac:dyDescent="0.85">
      <c r="B1048" s="48">
        <v>1042</v>
      </c>
      <c r="C1048" s="44"/>
      <c r="D1048" s="50"/>
      <c r="E1048" s="44"/>
      <c r="F1048" s="227"/>
      <c r="G1048" s="49">
        <v>1</v>
      </c>
      <c r="H1048" s="73"/>
      <c r="I1048" s="44"/>
      <c r="J1048" s="48">
        <f t="shared" si="48"/>
        <v>1</v>
      </c>
      <c r="K1048" s="48">
        <f t="shared" si="49"/>
        <v>0</v>
      </c>
      <c r="L1048" s="68">
        <f t="shared" si="50"/>
        <v>0</v>
      </c>
    </row>
    <row r="1049" spans="2:12" x14ac:dyDescent="0.85">
      <c r="B1049" s="46">
        <v>1043</v>
      </c>
      <c r="C1049" s="10"/>
      <c r="D1049" s="66"/>
      <c r="E1049" s="10"/>
      <c r="F1049" s="226"/>
      <c r="G1049" s="47">
        <v>1</v>
      </c>
      <c r="H1049" s="72"/>
      <c r="I1049" s="10"/>
      <c r="J1049" s="46">
        <f t="shared" si="48"/>
        <v>1</v>
      </c>
      <c r="K1049" s="46">
        <f t="shared" si="49"/>
        <v>0</v>
      </c>
      <c r="L1049" s="69">
        <f t="shared" si="50"/>
        <v>0</v>
      </c>
    </row>
    <row r="1050" spans="2:12" x14ac:dyDescent="0.85">
      <c r="B1050" s="48">
        <v>1044</v>
      </c>
      <c r="C1050" s="44"/>
      <c r="D1050" s="50"/>
      <c r="E1050" s="44"/>
      <c r="F1050" s="227"/>
      <c r="G1050" s="49">
        <v>1</v>
      </c>
      <c r="H1050" s="73"/>
      <c r="I1050" s="44"/>
      <c r="J1050" s="48">
        <f t="shared" si="48"/>
        <v>1</v>
      </c>
      <c r="K1050" s="48">
        <f t="shared" si="49"/>
        <v>0</v>
      </c>
      <c r="L1050" s="68">
        <f t="shared" si="50"/>
        <v>0</v>
      </c>
    </row>
    <row r="1051" spans="2:12" x14ac:dyDescent="0.85">
      <c r="B1051" s="46">
        <v>1045</v>
      </c>
      <c r="C1051" s="10"/>
      <c r="D1051" s="66"/>
      <c r="E1051" s="10"/>
      <c r="F1051" s="226"/>
      <c r="G1051" s="47">
        <v>1</v>
      </c>
      <c r="H1051" s="72"/>
      <c r="I1051" s="10"/>
      <c r="J1051" s="46">
        <f t="shared" si="48"/>
        <v>1</v>
      </c>
      <c r="K1051" s="46">
        <f t="shared" si="49"/>
        <v>0</v>
      </c>
      <c r="L1051" s="69">
        <f t="shared" si="50"/>
        <v>0</v>
      </c>
    </row>
    <row r="1052" spans="2:12" x14ac:dyDescent="0.85">
      <c r="B1052" s="48">
        <v>1046</v>
      </c>
      <c r="C1052" s="44"/>
      <c r="D1052" s="50"/>
      <c r="E1052" s="44"/>
      <c r="F1052" s="227"/>
      <c r="G1052" s="49">
        <v>1</v>
      </c>
      <c r="H1052" s="73"/>
      <c r="I1052" s="44"/>
      <c r="J1052" s="48">
        <f t="shared" si="48"/>
        <v>1</v>
      </c>
      <c r="K1052" s="48">
        <f t="shared" si="49"/>
        <v>0</v>
      </c>
      <c r="L1052" s="68">
        <f t="shared" si="50"/>
        <v>0</v>
      </c>
    </row>
    <row r="1053" spans="2:12" x14ac:dyDescent="0.85">
      <c r="B1053" s="46">
        <v>1047</v>
      </c>
      <c r="C1053" s="10"/>
      <c r="D1053" s="66"/>
      <c r="E1053" s="10"/>
      <c r="F1053" s="226"/>
      <c r="G1053" s="47">
        <v>1</v>
      </c>
      <c r="H1053" s="72"/>
      <c r="I1053" s="10"/>
      <c r="J1053" s="46">
        <f t="shared" si="48"/>
        <v>1</v>
      </c>
      <c r="K1053" s="46">
        <f t="shared" si="49"/>
        <v>0</v>
      </c>
      <c r="L1053" s="69">
        <f t="shared" si="50"/>
        <v>0</v>
      </c>
    </row>
    <row r="1054" spans="2:12" x14ac:dyDescent="0.85">
      <c r="B1054" s="48">
        <v>1048</v>
      </c>
      <c r="C1054" s="44"/>
      <c r="D1054" s="50"/>
      <c r="E1054" s="44"/>
      <c r="F1054" s="227"/>
      <c r="G1054" s="49">
        <v>1</v>
      </c>
      <c r="H1054" s="73"/>
      <c r="I1054" s="44"/>
      <c r="J1054" s="48">
        <f t="shared" si="48"/>
        <v>1</v>
      </c>
      <c r="K1054" s="48">
        <f t="shared" si="49"/>
        <v>0</v>
      </c>
      <c r="L1054" s="68">
        <f t="shared" si="50"/>
        <v>0</v>
      </c>
    </row>
    <row r="1055" spans="2:12" x14ac:dyDescent="0.85">
      <c r="B1055" s="46">
        <v>1049</v>
      </c>
      <c r="C1055" s="10"/>
      <c r="D1055" s="66"/>
      <c r="E1055" s="10"/>
      <c r="F1055" s="226"/>
      <c r="G1055" s="47">
        <v>1</v>
      </c>
      <c r="H1055" s="72"/>
      <c r="I1055" s="10"/>
      <c r="J1055" s="46">
        <f t="shared" si="48"/>
        <v>1</v>
      </c>
      <c r="K1055" s="46">
        <f t="shared" si="49"/>
        <v>0</v>
      </c>
      <c r="L1055" s="69">
        <f t="shared" si="50"/>
        <v>0</v>
      </c>
    </row>
    <row r="1056" spans="2:12" x14ac:dyDescent="0.85">
      <c r="B1056" s="48">
        <v>1050</v>
      </c>
      <c r="C1056" s="44"/>
      <c r="D1056" s="50"/>
      <c r="E1056" s="44"/>
      <c r="F1056" s="227"/>
      <c r="G1056" s="49">
        <v>1</v>
      </c>
      <c r="H1056" s="73"/>
      <c r="I1056" s="44"/>
      <c r="J1056" s="48">
        <f t="shared" si="48"/>
        <v>1</v>
      </c>
      <c r="K1056" s="48">
        <f t="shared" si="49"/>
        <v>0</v>
      </c>
      <c r="L1056" s="68">
        <f t="shared" si="50"/>
        <v>0</v>
      </c>
    </row>
    <row r="1057" spans="2:12" x14ac:dyDescent="0.85">
      <c r="B1057" s="46">
        <v>1051</v>
      </c>
      <c r="C1057" s="10"/>
      <c r="D1057" s="66"/>
      <c r="E1057" s="10"/>
      <c r="F1057" s="226"/>
      <c r="G1057" s="47">
        <v>1</v>
      </c>
      <c r="H1057" s="72"/>
      <c r="I1057" s="10"/>
      <c r="J1057" s="46">
        <f t="shared" si="48"/>
        <v>1</v>
      </c>
      <c r="K1057" s="46">
        <f t="shared" si="49"/>
        <v>0</v>
      </c>
      <c r="L1057" s="69">
        <f t="shared" si="50"/>
        <v>0</v>
      </c>
    </row>
    <row r="1058" spans="2:12" x14ac:dyDescent="0.85">
      <c r="B1058" s="48">
        <v>1052</v>
      </c>
      <c r="C1058" s="44"/>
      <c r="D1058" s="50"/>
      <c r="E1058" s="44"/>
      <c r="F1058" s="227"/>
      <c r="G1058" s="49">
        <v>1</v>
      </c>
      <c r="H1058" s="73"/>
      <c r="I1058" s="44"/>
      <c r="J1058" s="48">
        <f t="shared" si="48"/>
        <v>1</v>
      </c>
      <c r="K1058" s="48">
        <f t="shared" si="49"/>
        <v>0</v>
      </c>
      <c r="L1058" s="68">
        <f t="shared" si="50"/>
        <v>0</v>
      </c>
    </row>
    <row r="1059" spans="2:12" x14ac:dyDescent="0.85">
      <c r="B1059" s="46">
        <v>1053</v>
      </c>
      <c r="C1059" s="10"/>
      <c r="D1059" s="66"/>
      <c r="E1059" s="10"/>
      <c r="F1059" s="226"/>
      <c r="G1059" s="47">
        <v>1</v>
      </c>
      <c r="H1059" s="72"/>
      <c r="I1059" s="10"/>
      <c r="J1059" s="46">
        <f t="shared" si="48"/>
        <v>1</v>
      </c>
      <c r="K1059" s="46">
        <f t="shared" si="49"/>
        <v>0</v>
      </c>
      <c r="L1059" s="69">
        <f t="shared" si="50"/>
        <v>0</v>
      </c>
    </row>
    <row r="1060" spans="2:12" x14ac:dyDescent="0.85">
      <c r="B1060" s="48">
        <v>1054</v>
      </c>
      <c r="C1060" s="44"/>
      <c r="D1060" s="50"/>
      <c r="E1060" s="44"/>
      <c r="F1060" s="227"/>
      <c r="G1060" s="49">
        <v>1</v>
      </c>
      <c r="H1060" s="73"/>
      <c r="I1060" s="44"/>
      <c r="J1060" s="48">
        <f t="shared" si="48"/>
        <v>1</v>
      </c>
      <c r="K1060" s="48">
        <f t="shared" si="49"/>
        <v>0</v>
      </c>
      <c r="L1060" s="68">
        <f t="shared" si="50"/>
        <v>0</v>
      </c>
    </row>
    <row r="1061" spans="2:12" x14ac:dyDescent="0.85">
      <c r="B1061" s="46">
        <v>1055</v>
      </c>
      <c r="C1061" s="10"/>
      <c r="D1061" s="66"/>
      <c r="E1061" s="10"/>
      <c r="F1061" s="226"/>
      <c r="G1061" s="47">
        <v>1</v>
      </c>
      <c r="H1061" s="72"/>
      <c r="I1061" s="10"/>
      <c r="J1061" s="46">
        <f t="shared" si="48"/>
        <v>1</v>
      </c>
      <c r="K1061" s="46">
        <f t="shared" si="49"/>
        <v>0</v>
      </c>
      <c r="L1061" s="69">
        <f t="shared" si="50"/>
        <v>0</v>
      </c>
    </row>
    <row r="1062" spans="2:12" x14ac:dyDescent="0.85">
      <c r="B1062" s="48">
        <v>1056</v>
      </c>
      <c r="C1062" s="44"/>
      <c r="D1062" s="50"/>
      <c r="E1062" s="44"/>
      <c r="F1062" s="227"/>
      <c r="G1062" s="49">
        <v>1</v>
      </c>
      <c r="H1062" s="73"/>
      <c r="I1062" s="44"/>
      <c r="J1062" s="48">
        <f t="shared" si="48"/>
        <v>1</v>
      </c>
      <c r="K1062" s="48">
        <f t="shared" si="49"/>
        <v>0</v>
      </c>
      <c r="L1062" s="68">
        <f t="shared" si="50"/>
        <v>0</v>
      </c>
    </row>
    <row r="1063" spans="2:12" x14ac:dyDescent="0.85">
      <c r="B1063" s="46">
        <v>1057</v>
      </c>
      <c r="C1063" s="10"/>
      <c r="D1063" s="66"/>
      <c r="E1063" s="10"/>
      <c r="F1063" s="226"/>
      <c r="G1063" s="47">
        <v>1</v>
      </c>
      <c r="H1063" s="72"/>
      <c r="I1063" s="10"/>
      <c r="J1063" s="46">
        <f t="shared" si="48"/>
        <v>1</v>
      </c>
      <c r="K1063" s="46">
        <f t="shared" si="49"/>
        <v>0</v>
      </c>
      <c r="L1063" s="69">
        <f t="shared" si="50"/>
        <v>0</v>
      </c>
    </row>
    <row r="1064" spans="2:12" x14ac:dyDescent="0.85">
      <c r="B1064" s="48">
        <v>1058</v>
      </c>
      <c r="C1064" s="44"/>
      <c r="D1064" s="50"/>
      <c r="E1064" s="44"/>
      <c r="F1064" s="227"/>
      <c r="G1064" s="49">
        <v>1</v>
      </c>
      <c r="H1064" s="73"/>
      <c r="I1064" s="44"/>
      <c r="J1064" s="48">
        <f t="shared" si="48"/>
        <v>1</v>
      </c>
      <c r="K1064" s="48">
        <f t="shared" si="49"/>
        <v>0</v>
      </c>
      <c r="L1064" s="68">
        <f t="shared" si="50"/>
        <v>0</v>
      </c>
    </row>
    <row r="1065" spans="2:12" x14ac:dyDescent="0.85">
      <c r="B1065" s="46">
        <v>1059</v>
      </c>
      <c r="C1065" s="10"/>
      <c r="D1065" s="66"/>
      <c r="E1065" s="10"/>
      <c r="F1065" s="226"/>
      <c r="G1065" s="47">
        <v>1</v>
      </c>
      <c r="H1065" s="72"/>
      <c r="I1065" s="10"/>
      <c r="J1065" s="46">
        <f t="shared" si="48"/>
        <v>1</v>
      </c>
      <c r="K1065" s="46">
        <f t="shared" si="49"/>
        <v>0</v>
      </c>
      <c r="L1065" s="69">
        <f t="shared" si="50"/>
        <v>0</v>
      </c>
    </row>
    <row r="1066" spans="2:12" x14ac:dyDescent="0.85">
      <c r="B1066" s="48">
        <v>1060</v>
      </c>
      <c r="C1066" s="44"/>
      <c r="D1066" s="50"/>
      <c r="E1066" s="44"/>
      <c r="F1066" s="227"/>
      <c r="G1066" s="49">
        <v>1</v>
      </c>
      <c r="H1066" s="73"/>
      <c r="I1066" s="44"/>
      <c r="J1066" s="48">
        <f t="shared" si="48"/>
        <v>1</v>
      </c>
      <c r="K1066" s="48">
        <f t="shared" si="49"/>
        <v>0</v>
      </c>
      <c r="L1066" s="68">
        <f t="shared" si="50"/>
        <v>0</v>
      </c>
    </row>
    <row r="1067" spans="2:12" x14ac:dyDescent="0.85">
      <c r="B1067" s="46">
        <v>1061</v>
      </c>
      <c r="C1067" s="10"/>
      <c r="D1067" s="66"/>
      <c r="E1067" s="10"/>
      <c r="F1067" s="226"/>
      <c r="G1067" s="47">
        <v>1</v>
      </c>
      <c r="H1067" s="72"/>
      <c r="I1067" s="10"/>
      <c r="J1067" s="46">
        <f t="shared" si="48"/>
        <v>1</v>
      </c>
      <c r="K1067" s="46">
        <f t="shared" si="49"/>
        <v>0</v>
      </c>
      <c r="L1067" s="69">
        <f t="shared" si="50"/>
        <v>0</v>
      </c>
    </row>
    <row r="1068" spans="2:12" x14ac:dyDescent="0.85">
      <c r="B1068" s="48">
        <v>1062</v>
      </c>
      <c r="C1068" s="44"/>
      <c r="D1068" s="50"/>
      <c r="E1068" s="44"/>
      <c r="F1068" s="227"/>
      <c r="G1068" s="49">
        <v>1</v>
      </c>
      <c r="H1068" s="73"/>
      <c r="I1068" s="44"/>
      <c r="J1068" s="48">
        <f t="shared" si="48"/>
        <v>1</v>
      </c>
      <c r="K1068" s="48">
        <f t="shared" si="49"/>
        <v>0</v>
      </c>
      <c r="L1068" s="68">
        <f t="shared" si="50"/>
        <v>0</v>
      </c>
    </row>
    <row r="1069" spans="2:12" x14ac:dyDescent="0.85">
      <c r="B1069" s="46">
        <v>1063</v>
      </c>
      <c r="C1069" s="10"/>
      <c r="D1069" s="66"/>
      <c r="E1069" s="10"/>
      <c r="F1069" s="226"/>
      <c r="G1069" s="47">
        <v>1</v>
      </c>
      <c r="H1069" s="72"/>
      <c r="I1069" s="10"/>
      <c r="J1069" s="46">
        <f t="shared" si="48"/>
        <v>1</v>
      </c>
      <c r="K1069" s="46">
        <f t="shared" si="49"/>
        <v>0</v>
      </c>
      <c r="L1069" s="69">
        <f t="shared" si="50"/>
        <v>0</v>
      </c>
    </row>
    <row r="1070" spans="2:12" x14ac:dyDescent="0.85">
      <c r="B1070" s="48">
        <v>1064</v>
      </c>
      <c r="C1070" s="44"/>
      <c r="D1070" s="50"/>
      <c r="E1070" s="44"/>
      <c r="F1070" s="227"/>
      <c r="G1070" s="49">
        <v>1</v>
      </c>
      <c r="H1070" s="73"/>
      <c r="I1070" s="44"/>
      <c r="J1070" s="48">
        <f t="shared" si="48"/>
        <v>1</v>
      </c>
      <c r="K1070" s="48">
        <f t="shared" si="49"/>
        <v>0</v>
      </c>
      <c r="L1070" s="68">
        <f t="shared" si="50"/>
        <v>0</v>
      </c>
    </row>
    <row r="1071" spans="2:12" x14ac:dyDescent="0.85">
      <c r="B1071" s="46">
        <v>1065</v>
      </c>
      <c r="C1071" s="10"/>
      <c r="D1071" s="66"/>
      <c r="E1071" s="10"/>
      <c r="F1071" s="226"/>
      <c r="G1071" s="47">
        <v>1</v>
      </c>
      <c r="H1071" s="72"/>
      <c r="I1071" s="10"/>
      <c r="J1071" s="46">
        <f t="shared" si="48"/>
        <v>1</v>
      </c>
      <c r="K1071" s="46">
        <f t="shared" si="49"/>
        <v>0</v>
      </c>
      <c r="L1071" s="69">
        <f t="shared" si="50"/>
        <v>0</v>
      </c>
    </row>
    <row r="1072" spans="2:12" x14ac:dyDescent="0.85">
      <c r="B1072" s="48">
        <v>1066</v>
      </c>
      <c r="C1072" s="44"/>
      <c r="D1072" s="50"/>
      <c r="E1072" s="44"/>
      <c r="F1072" s="227"/>
      <c r="G1072" s="49">
        <v>1</v>
      </c>
      <c r="H1072" s="73"/>
      <c r="I1072" s="44"/>
      <c r="J1072" s="48">
        <f t="shared" si="48"/>
        <v>1</v>
      </c>
      <c r="K1072" s="48">
        <f t="shared" si="49"/>
        <v>0</v>
      </c>
      <c r="L1072" s="68">
        <f t="shared" si="50"/>
        <v>0</v>
      </c>
    </row>
    <row r="1073" spans="2:12" x14ac:dyDescent="0.85">
      <c r="B1073" s="46">
        <v>1067</v>
      </c>
      <c r="C1073" s="10"/>
      <c r="D1073" s="66"/>
      <c r="E1073" s="10"/>
      <c r="F1073" s="226"/>
      <c r="G1073" s="47">
        <v>1</v>
      </c>
      <c r="H1073" s="72"/>
      <c r="I1073" s="10"/>
      <c r="J1073" s="46">
        <f t="shared" si="48"/>
        <v>1</v>
      </c>
      <c r="K1073" s="46">
        <f t="shared" si="49"/>
        <v>0</v>
      </c>
      <c r="L1073" s="69">
        <f t="shared" si="50"/>
        <v>0</v>
      </c>
    </row>
    <row r="1074" spans="2:12" x14ac:dyDescent="0.85">
      <c r="B1074" s="48">
        <v>1068</v>
      </c>
      <c r="C1074" s="44"/>
      <c r="D1074" s="50"/>
      <c r="E1074" s="44"/>
      <c r="F1074" s="227"/>
      <c r="G1074" s="49">
        <v>1</v>
      </c>
      <c r="H1074" s="73"/>
      <c r="I1074" s="44"/>
      <c r="J1074" s="48">
        <f t="shared" si="48"/>
        <v>1</v>
      </c>
      <c r="K1074" s="48">
        <f t="shared" si="49"/>
        <v>0</v>
      </c>
      <c r="L1074" s="68">
        <f t="shared" si="50"/>
        <v>0</v>
      </c>
    </row>
    <row r="1075" spans="2:12" x14ac:dyDescent="0.85">
      <c r="B1075" s="46">
        <v>1069</v>
      </c>
      <c r="C1075" s="10"/>
      <c r="D1075" s="66"/>
      <c r="E1075" s="10"/>
      <c r="F1075" s="226"/>
      <c r="G1075" s="47">
        <v>1</v>
      </c>
      <c r="H1075" s="72"/>
      <c r="I1075" s="10"/>
      <c r="J1075" s="46">
        <f t="shared" si="48"/>
        <v>1</v>
      </c>
      <c r="K1075" s="46">
        <f t="shared" si="49"/>
        <v>0</v>
      </c>
      <c r="L1075" s="69">
        <f t="shared" si="50"/>
        <v>0</v>
      </c>
    </row>
    <row r="1076" spans="2:12" x14ac:dyDescent="0.85">
      <c r="B1076" s="48">
        <v>1070</v>
      </c>
      <c r="C1076" s="44"/>
      <c r="D1076" s="50"/>
      <c r="E1076" s="44"/>
      <c r="F1076" s="227"/>
      <c r="G1076" s="49">
        <v>1</v>
      </c>
      <c r="H1076" s="73"/>
      <c r="I1076" s="44"/>
      <c r="J1076" s="48">
        <f t="shared" si="48"/>
        <v>1</v>
      </c>
      <c r="K1076" s="48">
        <f t="shared" si="49"/>
        <v>0</v>
      </c>
      <c r="L1076" s="68">
        <f t="shared" si="50"/>
        <v>0</v>
      </c>
    </row>
    <row r="1077" spans="2:12" x14ac:dyDescent="0.85">
      <c r="B1077" s="46">
        <v>1071</v>
      </c>
      <c r="C1077" s="10"/>
      <c r="D1077" s="66"/>
      <c r="E1077" s="10"/>
      <c r="F1077" s="226"/>
      <c r="G1077" s="47">
        <v>1</v>
      </c>
      <c r="H1077" s="72"/>
      <c r="I1077" s="10"/>
      <c r="J1077" s="46">
        <f t="shared" si="48"/>
        <v>1</v>
      </c>
      <c r="K1077" s="46">
        <f t="shared" si="49"/>
        <v>0</v>
      </c>
      <c r="L1077" s="69">
        <f t="shared" si="50"/>
        <v>0</v>
      </c>
    </row>
    <row r="1078" spans="2:12" x14ac:dyDescent="0.85">
      <c r="B1078" s="48">
        <v>1072</v>
      </c>
      <c r="C1078" s="44"/>
      <c r="D1078" s="50"/>
      <c r="E1078" s="44"/>
      <c r="F1078" s="227"/>
      <c r="G1078" s="49">
        <v>1</v>
      </c>
      <c r="H1078" s="73"/>
      <c r="I1078" s="44"/>
      <c r="J1078" s="48">
        <f t="shared" si="48"/>
        <v>1</v>
      </c>
      <c r="K1078" s="48">
        <f t="shared" si="49"/>
        <v>0</v>
      </c>
      <c r="L1078" s="68">
        <f t="shared" si="50"/>
        <v>0</v>
      </c>
    </row>
    <row r="1079" spans="2:12" x14ac:dyDescent="0.85">
      <c r="B1079" s="46">
        <v>1073</v>
      </c>
      <c r="C1079" s="10"/>
      <c r="D1079" s="66"/>
      <c r="E1079" s="10"/>
      <c r="F1079" s="226"/>
      <c r="G1079" s="47">
        <v>1</v>
      </c>
      <c r="H1079" s="72"/>
      <c r="I1079" s="10"/>
      <c r="J1079" s="46">
        <f t="shared" si="48"/>
        <v>1</v>
      </c>
      <c r="K1079" s="46">
        <f t="shared" si="49"/>
        <v>0</v>
      </c>
      <c r="L1079" s="69">
        <f t="shared" si="50"/>
        <v>0</v>
      </c>
    </row>
    <row r="1080" spans="2:12" x14ac:dyDescent="0.85">
      <c r="B1080" s="48">
        <v>1074</v>
      </c>
      <c r="C1080" s="44"/>
      <c r="D1080" s="50"/>
      <c r="E1080" s="44"/>
      <c r="F1080" s="227"/>
      <c r="G1080" s="49">
        <v>1</v>
      </c>
      <c r="H1080" s="73"/>
      <c r="I1080" s="44"/>
      <c r="J1080" s="48">
        <f t="shared" si="48"/>
        <v>1</v>
      </c>
      <c r="K1080" s="48">
        <f t="shared" si="49"/>
        <v>0</v>
      </c>
      <c r="L1080" s="68">
        <f t="shared" si="50"/>
        <v>0</v>
      </c>
    </row>
    <row r="1081" spans="2:12" x14ac:dyDescent="0.85">
      <c r="B1081" s="46">
        <v>1075</v>
      </c>
      <c r="C1081" s="10"/>
      <c r="D1081" s="66"/>
      <c r="E1081" s="10"/>
      <c r="F1081" s="226"/>
      <c r="G1081" s="47">
        <v>1</v>
      </c>
      <c r="H1081" s="72"/>
      <c r="I1081" s="10"/>
      <c r="J1081" s="46">
        <f t="shared" si="48"/>
        <v>1</v>
      </c>
      <c r="K1081" s="46">
        <f t="shared" si="49"/>
        <v>0</v>
      </c>
      <c r="L1081" s="69">
        <f t="shared" si="50"/>
        <v>0</v>
      </c>
    </row>
    <row r="1082" spans="2:12" x14ac:dyDescent="0.85">
      <c r="B1082" s="48">
        <v>1076</v>
      </c>
      <c r="C1082" s="44"/>
      <c r="D1082" s="50"/>
      <c r="E1082" s="44"/>
      <c r="F1082" s="227"/>
      <c r="G1082" s="49">
        <v>1</v>
      </c>
      <c r="H1082" s="73"/>
      <c r="I1082" s="44"/>
      <c r="J1082" s="48">
        <f t="shared" si="48"/>
        <v>1</v>
      </c>
      <c r="K1082" s="48">
        <f t="shared" si="49"/>
        <v>0</v>
      </c>
      <c r="L1082" s="68">
        <f t="shared" si="50"/>
        <v>0</v>
      </c>
    </row>
    <row r="1083" spans="2:12" x14ac:dyDescent="0.85">
      <c r="B1083" s="46">
        <v>1077</v>
      </c>
      <c r="C1083" s="10"/>
      <c r="D1083" s="66"/>
      <c r="E1083" s="10"/>
      <c r="F1083" s="226"/>
      <c r="G1083" s="47">
        <v>1</v>
      </c>
      <c r="H1083" s="72"/>
      <c r="I1083" s="10"/>
      <c r="J1083" s="46">
        <f t="shared" si="48"/>
        <v>1</v>
      </c>
      <c r="K1083" s="46">
        <f t="shared" si="49"/>
        <v>0</v>
      </c>
      <c r="L1083" s="69">
        <f t="shared" si="50"/>
        <v>0</v>
      </c>
    </row>
    <row r="1084" spans="2:12" x14ac:dyDescent="0.85">
      <c r="B1084" s="48">
        <v>1078</v>
      </c>
      <c r="C1084" s="44"/>
      <c r="D1084" s="50"/>
      <c r="E1084" s="44"/>
      <c r="F1084" s="227"/>
      <c r="G1084" s="49">
        <v>1</v>
      </c>
      <c r="H1084" s="73"/>
      <c r="I1084" s="44"/>
      <c r="J1084" s="48">
        <f t="shared" si="48"/>
        <v>1</v>
      </c>
      <c r="K1084" s="48">
        <f t="shared" si="49"/>
        <v>0</v>
      </c>
      <c r="L1084" s="68">
        <f t="shared" si="50"/>
        <v>0</v>
      </c>
    </row>
    <row r="1085" spans="2:12" x14ac:dyDescent="0.85">
      <c r="B1085" s="46">
        <v>1079</v>
      </c>
      <c r="C1085" s="10"/>
      <c r="D1085" s="66"/>
      <c r="E1085" s="10"/>
      <c r="F1085" s="226"/>
      <c r="G1085" s="47">
        <v>1</v>
      </c>
      <c r="H1085" s="72"/>
      <c r="I1085" s="10"/>
      <c r="J1085" s="46">
        <f t="shared" si="48"/>
        <v>1</v>
      </c>
      <c r="K1085" s="46">
        <f t="shared" si="49"/>
        <v>0</v>
      </c>
      <c r="L1085" s="69">
        <f t="shared" si="50"/>
        <v>0</v>
      </c>
    </row>
    <row r="1086" spans="2:12" x14ac:dyDescent="0.85">
      <c r="B1086" s="48">
        <v>1080</v>
      </c>
      <c r="C1086" s="44"/>
      <c r="D1086" s="50"/>
      <c r="E1086" s="44"/>
      <c r="F1086" s="227"/>
      <c r="G1086" s="49">
        <v>1</v>
      </c>
      <c r="H1086" s="73"/>
      <c r="I1086" s="44"/>
      <c r="J1086" s="48">
        <f t="shared" si="48"/>
        <v>1</v>
      </c>
      <c r="K1086" s="48">
        <f t="shared" si="49"/>
        <v>0</v>
      </c>
      <c r="L1086" s="68">
        <f t="shared" si="50"/>
        <v>0</v>
      </c>
    </row>
    <row r="1087" spans="2:12" x14ac:dyDescent="0.85">
      <c r="B1087" s="46">
        <v>1081</v>
      </c>
      <c r="C1087" s="10"/>
      <c r="D1087" s="66"/>
      <c r="E1087" s="10"/>
      <c r="F1087" s="226"/>
      <c r="G1087" s="47">
        <v>1</v>
      </c>
      <c r="H1087" s="72"/>
      <c r="I1087" s="10"/>
      <c r="J1087" s="46">
        <f t="shared" si="48"/>
        <v>1</v>
      </c>
      <c r="K1087" s="46">
        <f t="shared" si="49"/>
        <v>0</v>
      </c>
      <c r="L1087" s="69">
        <f t="shared" si="50"/>
        <v>0</v>
      </c>
    </row>
    <row r="1088" spans="2:12" x14ac:dyDescent="0.85">
      <c r="B1088" s="48">
        <v>1082</v>
      </c>
      <c r="C1088" s="44"/>
      <c r="D1088" s="50"/>
      <c r="E1088" s="44"/>
      <c r="F1088" s="227"/>
      <c r="G1088" s="49">
        <v>1</v>
      </c>
      <c r="H1088" s="73"/>
      <c r="I1088" s="44"/>
      <c r="J1088" s="48">
        <f t="shared" si="48"/>
        <v>1</v>
      </c>
      <c r="K1088" s="48">
        <f t="shared" si="49"/>
        <v>0</v>
      </c>
      <c r="L1088" s="68">
        <f t="shared" si="50"/>
        <v>0</v>
      </c>
    </row>
    <row r="1089" spans="2:12" x14ac:dyDescent="0.85">
      <c r="B1089" s="46">
        <v>1083</v>
      </c>
      <c r="C1089" s="10"/>
      <c r="D1089" s="66"/>
      <c r="E1089" s="10"/>
      <c r="F1089" s="226"/>
      <c r="G1089" s="47">
        <v>1</v>
      </c>
      <c r="H1089" s="72"/>
      <c r="I1089" s="10"/>
      <c r="J1089" s="46">
        <f t="shared" si="48"/>
        <v>1</v>
      </c>
      <c r="K1089" s="46">
        <f t="shared" si="49"/>
        <v>0</v>
      </c>
      <c r="L1089" s="69">
        <f t="shared" si="50"/>
        <v>0</v>
      </c>
    </row>
    <row r="1090" spans="2:12" x14ac:dyDescent="0.85">
      <c r="B1090" s="48">
        <v>1084</v>
      </c>
      <c r="C1090" s="44"/>
      <c r="D1090" s="50"/>
      <c r="E1090" s="44"/>
      <c r="F1090" s="227"/>
      <c r="G1090" s="49">
        <v>1</v>
      </c>
      <c r="H1090" s="73"/>
      <c r="I1090" s="44"/>
      <c r="J1090" s="48">
        <f t="shared" si="48"/>
        <v>1</v>
      </c>
      <c r="K1090" s="48">
        <f t="shared" si="49"/>
        <v>0</v>
      </c>
      <c r="L1090" s="68">
        <f t="shared" si="50"/>
        <v>0</v>
      </c>
    </row>
    <row r="1091" spans="2:12" x14ac:dyDescent="0.85">
      <c r="B1091" s="46">
        <v>1085</v>
      </c>
      <c r="C1091" s="10"/>
      <c r="D1091" s="66"/>
      <c r="E1091" s="10"/>
      <c r="F1091" s="226"/>
      <c r="G1091" s="47">
        <v>1</v>
      </c>
      <c r="H1091" s="72"/>
      <c r="I1091" s="10"/>
      <c r="J1091" s="46">
        <f t="shared" si="48"/>
        <v>1</v>
      </c>
      <c r="K1091" s="46">
        <f t="shared" si="49"/>
        <v>0</v>
      </c>
      <c r="L1091" s="69">
        <f t="shared" si="50"/>
        <v>0</v>
      </c>
    </row>
    <row r="1092" spans="2:12" x14ac:dyDescent="0.85">
      <c r="B1092" s="48">
        <v>1086</v>
      </c>
      <c r="C1092" s="44"/>
      <c r="D1092" s="50"/>
      <c r="E1092" s="44"/>
      <c r="F1092" s="227"/>
      <c r="G1092" s="49">
        <v>1</v>
      </c>
      <c r="H1092" s="73"/>
      <c r="I1092" s="44"/>
      <c r="J1092" s="48">
        <f t="shared" si="48"/>
        <v>1</v>
      </c>
      <c r="K1092" s="48">
        <f t="shared" si="49"/>
        <v>0</v>
      </c>
      <c r="L1092" s="68">
        <f t="shared" si="50"/>
        <v>0</v>
      </c>
    </row>
    <row r="1093" spans="2:12" x14ac:dyDescent="0.85">
      <c r="B1093" s="46">
        <v>1087</v>
      </c>
      <c r="C1093" s="10"/>
      <c r="D1093" s="66"/>
      <c r="E1093" s="10"/>
      <c r="F1093" s="226"/>
      <c r="G1093" s="47">
        <v>1</v>
      </c>
      <c r="H1093" s="72"/>
      <c r="I1093" s="10"/>
      <c r="J1093" s="46">
        <f t="shared" si="48"/>
        <v>1</v>
      </c>
      <c r="K1093" s="46">
        <f t="shared" si="49"/>
        <v>0</v>
      </c>
      <c r="L1093" s="69">
        <f t="shared" si="50"/>
        <v>0</v>
      </c>
    </row>
    <row r="1094" spans="2:12" x14ac:dyDescent="0.85">
      <c r="B1094" s="48">
        <v>1088</v>
      </c>
      <c r="C1094" s="44"/>
      <c r="D1094" s="50"/>
      <c r="E1094" s="44"/>
      <c r="F1094" s="227"/>
      <c r="G1094" s="49">
        <v>1</v>
      </c>
      <c r="H1094" s="73"/>
      <c r="I1094" s="44"/>
      <c r="J1094" s="48">
        <f t="shared" si="48"/>
        <v>1</v>
      </c>
      <c r="K1094" s="48">
        <f t="shared" si="49"/>
        <v>0</v>
      </c>
      <c r="L1094" s="68">
        <f t="shared" si="50"/>
        <v>0</v>
      </c>
    </row>
    <row r="1095" spans="2:12" x14ac:dyDescent="0.85">
      <c r="B1095" s="46">
        <v>1089</v>
      </c>
      <c r="C1095" s="10"/>
      <c r="D1095" s="66"/>
      <c r="E1095" s="10"/>
      <c r="F1095" s="226"/>
      <c r="G1095" s="47">
        <v>1</v>
      </c>
      <c r="H1095" s="72"/>
      <c r="I1095" s="10"/>
      <c r="J1095" s="46">
        <f t="shared" ref="J1095:J1158" si="51">IF(ISBLANK(H1095),1,H1095)</f>
        <v>1</v>
      </c>
      <c r="K1095" s="46">
        <f t="shared" ref="K1095:K1158" si="52">IF(COUNTIF(FreeElements, E1095)&gt;0, F1095, 0)</f>
        <v>0</v>
      </c>
      <c r="L1095" s="69">
        <f t="shared" ref="L1095:L1158" si="53">J1095*K1095</f>
        <v>0</v>
      </c>
    </row>
    <row r="1096" spans="2:12" x14ac:dyDescent="0.85">
      <c r="B1096" s="48">
        <v>1090</v>
      </c>
      <c r="C1096" s="44"/>
      <c r="D1096" s="50"/>
      <c r="E1096" s="44"/>
      <c r="F1096" s="227"/>
      <c r="G1096" s="49">
        <v>1</v>
      </c>
      <c r="H1096" s="73"/>
      <c r="I1096" s="44"/>
      <c r="J1096" s="48">
        <f t="shared" si="51"/>
        <v>1</v>
      </c>
      <c r="K1096" s="48">
        <f t="shared" si="52"/>
        <v>0</v>
      </c>
      <c r="L1096" s="68">
        <f t="shared" si="53"/>
        <v>0</v>
      </c>
    </row>
    <row r="1097" spans="2:12" x14ac:dyDescent="0.85">
      <c r="B1097" s="46">
        <v>1091</v>
      </c>
      <c r="C1097" s="10"/>
      <c r="D1097" s="66"/>
      <c r="E1097" s="10"/>
      <c r="F1097" s="226"/>
      <c r="G1097" s="47">
        <v>1</v>
      </c>
      <c r="H1097" s="72"/>
      <c r="I1097" s="10"/>
      <c r="J1097" s="46">
        <f t="shared" si="51"/>
        <v>1</v>
      </c>
      <c r="K1097" s="46">
        <f t="shared" si="52"/>
        <v>0</v>
      </c>
      <c r="L1097" s="69">
        <f t="shared" si="53"/>
        <v>0</v>
      </c>
    </row>
    <row r="1098" spans="2:12" x14ac:dyDescent="0.85">
      <c r="B1098" s="48">
        <v>1092</v>
      </c>
      <c r="C1098" s="44"/>
      <c r="D1098" s="50"/>
      <c r="E1098" s="44"/>
      <c r="F1098" s="227"/>
      <c r="G1098" s="49">
        <v>1</v>
      </c>
      <c r="H1098" s="73"/>
      <c r="I1098" s="44"/>
      <c r="J1098" s="48">
        <f t="shared" si="51"/>
        <v>1</v>
      </c>
      <c r="K1098" s="48">
        <f t="shared" si="52"/>
        <v>0</v>
      </c>
      <c r="L1098" s="68">
        <f t="shared" si="53"/>
        <v>0</v>
      </c>
    </row>
    <row r="1099" spans="2:12" x14ac:dyDescent="0.85">
      <c r="B1099" s="46">
        <v>1093</v>
      </c>
      <c r="C1099" s="10"/>
      <c r="D1099" s="66"/>
      <c r="E1099" s="10"/>
      <c r="F1099" s="226"/>
      <c r="G1099" s="47">
        <v>1</v>
      </c>
      <c r="H1099" s="72"/>
      <c r="I1099" s="10"/>
      <c r="J1099" s="46">
        <f t="shared" si="51"/>
        <v>1</v>
      </c>
      <c r="K1099" s="46">
        <f t="shared" si="52"/>
        <v>0</v>
      </c>
      <c r="L1099" s="69">
        <f t="shared" si="53"/>
        <v>0</v>
      </c>
    </row>
    <row r="1100" spans="2:12" x14ac:dyDescent="0.85">
      <c r="B1100" s="48">
        <v>1094</v>
      </c>
      <c r="C1100" s="44"/>
      <c r="D1100" s="50"/>
      <c r="E1100" s="44"/>
      <c r="F1100" s="227"/>
      <c r="G1100" s="49">
        <v>1</v>
      </c>
      <c r="H1100" s="73"/>
      <c r="I1100" s="44"/>
      <c r="J1100" s="48">
        <f t="shared" si="51"/>
        <v>1</v>
      </c>
      <c r="K1100" s="48">
        <f t="shared" si="52"/>
        <v>0</v>
      </c>
      <c r="L1100" s="68">
        <f t="shared" si="53"/>
        <v>0</v>
      </c>
    </row>
    <row r="1101" spans="2:12" x14ac:dyDescent="0.85">
      <c r="B1101" s="46">
        <v>1095</v>
      </c>
      <c r="C1101" s="10"/>
      <c r="D1101" s="66"/>
      <c r="E1101" s="10"/>
      <c r="F1101" s="226"/>
      <c r="G1101" s="47">
        <v>1</v>
      </c>
      <c r="H1101" s="72"/>
      <c r="I1101" s="10"/>
      <c r="J1101" s="46">
        <f t="shared" si="51"/>
        <v>1</v>
      </c>
      <c r="K1101" s="46">
        <f t="shared" si="52"/>
        <v>0</v>
      </c>
      <c r="L1101" s="69">
        <f t="shared" si="53"/>
        <v>0</v>
      </c>
    </row>
    <row r="1102" spans="2:12" x14ac:dyDescent="0.85">
      <c r="B1102" s="48">
        <v>1096</v>
      </c>
      <c r="C1102" s="44"/>
      <c r="D1102" s="50"/>
      <c r="E1102" s="44"/>
      <c r="F1102" s="227"/>
      <c r="G1102" s="49">
        <v>1</v>
      </c>
      <c r="H1102" s="73"/>
      <c r="I1102" s="44"/>
      <c r="J1102" s="48">
        <f t="shared" si="51"/>
        <v>1</v>
      </c>
      <c r="K1102" s="48">
        <f t="shared" si="52"/>
        <v>0</v>
      </c>
      <c r="L1102" s="68">
        <f t="shared" si="53"/>
        <v>0</v>
      </c>
    </row>
    <row r="1103" spans="2:12" x14ac:dyDescent="0.85">
      <c r="B1103" s="46">
        <v>1097</v>
      </c>
      <c r="C1103" s="10"/>
      <c r="D1103" s="66"/>
      <c r="E1103" s="10"/>
      <c r="F1103" s="226"/>
      <c r="G1103" s="47">
        <v>1</v>
      </c>
      <c r="H1103" s="72"/>
      <c r="I1103" s="10"/>
      <c r="J1103" s="46">
        <f t="shared" si="51"/>
        <v>1</v>
      </c>
      <c r="K1103" s="46">
        <f t="shared" si="52"/>
        <v>0</v>
      </c>
      <c r="L1103" s="69">
        <f t="shared" si="53"/>
        <v>0</v>
      </c>
    </row>
    <row r="1104" spans="2:12" x14ac:dyDescent="0.85">
      <c r="B1104" s="48">
        <v>1098</v>
      </c>
      <c r="C1104" s="44"/>
      <c r="D1104" s="50"/>
      <c r="E1104" s="44"/>
      <c r="F1104" s="227"/>
      <c r="G1104" s="49">
        <v>1</v>
      </c>
      <c r="H1104" s="73"/>
      <c r="I1104" s="44"/>
      <c r="J1104" s="48">
        <f t="shared" si="51"/>
        <v>1</v>
      </c>
      <c r="K1104" s="48">
        <f t="shared" si="52"/>
        <v>0</v>
      </c>
      <c r="L1104" s="68">
        <f t="shared" si="53"/>
        <v>0</v>
      </c>
    </row>
    <row r="1105" spans="2:12" x14ac:dyDescent="0.85">
      <c r="B1105" s="46">
        <v>1099</v>
      </c>
      <c r="C1105" s="10"/>
      <c r="D1105" s="66"/>
      <c r="E1105" s="10"/>
      <c r="F1105" s="226"/>
      <c r="G1105" s="47">
        <v>1</v>
      </c>
      <c r="H1105" s="72"/>
      <c r="I1105" s="10"/>
      <c r="J1105" s="46">
        <f t="shared" si="51"/>
        <v>1</v>
      </c>
      <c r="K1105" s="46">
        <f t="shared" si="52"/>
        <v>0</v>
      </c>
      <c r="L1105" s="69">
        <f t="shared" si="53"/>
        <v>0</v>
      </c>
    </row>
    <row r="1106" spans="2:12" x14ac:dyDescent="0.85">
      <c r="B1106" s="48">
        <v>1100</v>
      </c>
      <c r="C1106" s="44"/>
      <c r="D1106" s="50"/>
      <c r="E1106" s="44"/>
      <c r="F1106" s="227"/>
      <c r="G1106" s="49">
        <v>1</v>
      </c>
      <c r="H1106" s="73"/>
      <c r="I1106" s="44"/>
      <c r="J1106" s="48">
        <f t="shared" si="51"/>
        <v>1</v>
      </c>
      <c r="K1106" s="48">
        <f t="shared" si="52"/>
        <v>0</v>
      </c>
      <c r="L1106" s="68">
        <f t="shared" si="53"/>
        <v>0</v>
      </c>
    </row>
    <row r="1107" spans="2:12" x14ac:dyDescent="0.85">
      <c r="B1107" s="46">
        <v>1101</v>
      </c>
      <c r="C1107" s="10"/>
      <c r="D1107" s="66"/>
      <c r="E1107" s="10"/>
      <c r="F1107" s="226"/>
      <c r="G1107" s="47">
        <v>1</v>
      </c>
      <c r="H1107" s="72"/>
      <c r="I1107" s="10"/>
      <c r="J1107" s="46">
        <f t="shared" si="51"/>
        <v>1</v>
      </c>
      <c r="K1107" s="46">
        <f t="shared" si="52"/>
        <v>0</v>
      </c>
      <c r="L1107" s="69">
        <f t="shared" si="53"/>
        <v>0</v>
      </c>
    </row>
    <row r="1108" spans="2:12" x14ac:dyDescent="0.85">
      <c r="B1108" s="48">
        <v>1102</v>
      </c>
      <c r="C1108" s="44"/>
      <c r="D1108" s="50"/>
      <c r="E1108" s="44"/>
      <c r="F1108" s="227"/>
      <c r="G1108" s="49">
        <v>1</v>
      </c>
      <c r="H1108" s="73"/>
      <c r="I1108" s="44"/>
      <c r="J1108" s="48">
        <f t="shared" si="51"/>
        <v>1</v>
      </c>
      <c r="K1108" s="48">
        <f t="shared" si="52"/>
        <v>0</v>
      </c>
      <c r="L1108" s="68">
        <f t="shared" si="53"/>
        <v>0</v>
      </c>
    </row>
    <row r="1109" spans="2:12" x14ac:dyDescent="0.85">
      <c r="B1109" s="46">
        <v>1103</v>
      </c>
      <c r="C1109" s="10"/>
      <c r="D1109" s="66"/>
      <c r="E1109" s="10"/>
      <c r="F1109" s="226"/>
      <c r="G1109" s="47">
        <v>1</v>
      </c>
      <c r="H1109" s="72"/>
      <c r="I1109" s="10"/>
      <c r="J1109" s="46">
        <f t="shared" si="51"/>
        <v>1</v>
      </c>
      <c r="K1109" s="46">
        <f t="shared" si="52"/>
        <v>0</v>
      </c>
      <c r="L1109" s="69">
        <f t="shared" si="53"/>
        <v>0</v>
      </c>
    </row>
    <row r="1110" spans="2:12" x14ac:dyDescent="0.85">
      <c r="B1110" s="48">
        <v>1104</v>
      </c>
      <c r="C1110" s="44"/>
      <c r="D1110" s="50"/>
      <c r="E1110" s="44"/>
      <c r="F1110" s="227"/>
      <c r="G1110" s="49">
        <v>1</v>
      </c>
      <c r="H1110" s="73"/>
      <c r="I1110" s="44"/>
      <c r="J1110" s="48">
        <f t="shared" si="51"/>
        <v>1</v>
      </c>
      <c r="K1110" s="48">
        <f t="shared" si="52"/>
        <v>0</v>
      </c>
      <c r="L1110" s="68">
        <f t="shared" si="53"/>
        <v>0</v>
      </c>
    </row>
    <row r="1111" spans="2:12" x14ac:dyDescent="0.85">
      <c r="B1111" s="46">
        <v>1105</v>
      </c>
      <c r="C1111" s="10"/>
      <c r="D1111" s="66"/>
      <c r="E1111" s="10"/>
      <c r="F1111" s="226"/>
      <c r="G1111" s="47">
        <v>1</v>
      </c>
      <c r="H1111" s="72"/>
      <c r="I1111" s="10"/>
      <c r="J1111" s="46">
        <f t="shared" si="51"/>
        <v>1</v>
      </c>
      <c r="K1111" s="46">
        <f t="shared" si="52"/>
        <v>0</v>
      </c>
      <c r="L1111" s="69">
        <f t="shared" si="53"/>
        <v>0</v>
      </c>
    </row>
    <row r="1112" spans="2:12" x14ac:dyDescent="0.85">
      <c r="B1112" s="48">
        <v>1106</v>
      </c>
      <c r="C1112" s="44"/>
      <c r="D1112" s="50"/>
      <c r="E1112" s="44"/>
      <c r="F1112" s="227"/>
      <c r="G1112" s="49">
        <v>1</v>
      </c>
      <c r="H1112" s="73"/>
      <c r="I1112" s="44"/>
      <c r="J1112" s="48">
        <f t="shared" si="51"/>
        <v>1</v>
      </c>
      <c r="K1112" s="48">
        <f t="shared" si="52"/>
        <v>0</v>
      </c>
      <c r="L1112" s="68">
        <f t="shared" si="53"/>
        <v>0</v>
      </c>
    </row>
    <row r="1113" spans="2:12" x14ac:dyDescent="0.85">
      <c r="B1113" s="46">
        <v>1107</v>
      </c>
      <c r="C1113" s="10"/>
      <c r="D1113" s="66"/>
      <c r="E1113" s="10"/>
      <c r="F1113" s="226"/>
      <c r="G1113" s="47">
        <v>1</v>
      </c>
      <c r="H1113" s="72"/>
      <c r="I1113" s="10"/>
      <c r="J1113" s="46">
        <f t="shared" si="51"/>
        <v>1</v>
      </c>
      <c r="K1113" s="46">
        <f t="shared" si="52"/>
        <v>0</v>
      </c>
      <c r="L1113" s="69">
        <f t="shared" si="53"/>
        <v>0</v>
      </c>
    </row>
    <row r="1114" spans="2:12" x14ac:dyDescent="0.85">
      <c r="B1114" s="48">
        <v>1108</v>
      </c>
      <c r="C1114" s="44"/>
      <c r="D1114" s="50"/>
      <c r="E1114" s="44"/>
      <c r="F1114" s="227"/>
      <c r="G1114" s="49">
        <v>1</v>
      </c>
      <c r="H1114" s="73"/>
      <c r="I1114" s="44"/>
      <c r="J1114" s="48">
        <f t="shared" si="51"/>
        <v>1</v>
      </c>
      <c r="K1114" s="48">
        <f t="shared" si="52"/>
        <v>0</v>
      </c>
      <c r="L1114" s="68">
        <f t="shared" si="53"/>
        <v>0</v>
      </c>
    </row>
    <row r="1115" spans="2:12" x14ac:dyDescent="0.85">
      <c r="B1115" s="46">
        <v>1109</v>
      </c>
      <c r="C1115" s="10"/>
      <c r="D1115" s="66"/>
      <c r="E1115" s="10"/>
      <c r="F1115" s="226"/>
      <c r="G1115" s="47">
        <v>1</v>
      </c>
      <c r="H1115" s="72"/>
      <c r="I1115" s="10"/>
      <c r="J1115" s="46">
        <f t="shared" si="51"/>
        <v>1</v>
      </c>
      <c r="K1115" s="46">
        <f t="shared" si="52"/>
        <v>0</v>
      </c>
      <c r="L1115" s="69">
        <f t="shared" si="53"/>
        <v>0</v>
      </c>
    </row>
    <row r="1116" spans="2:12" x14ac:dyDescent="0.85">
      <c r="B1116" s="48">
        <v>1110</v>
      </c>
      <c r="C1116" s="44"/>
      <c r="D1116" s="50"/>
      <c r="E1116" s="44"/>
      <c r="F1116" s="227"/>
      <c r="G1116" s="49">
        <v>1</v>
      </c>
      <c r="H1116" s="73"/>
      <c r="I1116" s="44"/>
      <c r="J1116" s="48">
        <f t="shared" si="51"/>
        <v>1</v>
      </c>
      <c r="K1116" s="48">
        <f t="shared" si="52"/>
        <v>0</v>
      </c>
      <c r="L1116" s="68">
        <f t="shared" si="53"/>
        <v>0</v>
      </c>
    </row>
    <row r="1117" spans="2:12" x14ac:dyDescent="0.85">
      <c r="B1117" s="46">
        <v>1111</v>
      </c>
      <c r="C1117" s="10"/>
      <c r="D1117" s="66"/>
      <c r="E1117" s="10"/>
      <c r="F1117" s="226"/>
      <c r="G1117" s="47">
        <v>1</v>
      </c>
      <c r="H1117" s="72"/>
      <c r="I1117" s="10"/>
      <c r="J1117" s="46">
        <f t="shared" si="51"/>
        <v>1</v>
      </c>
      <c r="K1117" s="46">
        <f t="shared" si="52"/>
        <v>0</v>
      </c>
      <c r="L1117" s="69">
        <f t="shared" si="53"/>
        <v>0</v>
      </c>
    </row>
    <row r="1118" spans="2:12" x14ac:dyDescent="0.85">
      <c r="B1118" s="48">
        <v>1112</v>
      </c>
      <c r="C1118" s="44"/>
      <c r="D1118" s="50"/>
      <c r="E1118" s="44"/>
      <c r="F1118" s="227"/>
      <c r="G1118" s="49">
        <v>1</v>
      </c>
      <c r="H1118" s="73"/>
      <c r="I1118" s="44"/>
      <c r="J1118" s="48">
        <f t="shared" si="51"/>
        <v>1</v>
      </c>
      <c r="K1118" s="48">
        <f t="shared" si="52"/>
        <v>0</v>
      </c>
      <c r="L1118" s="68">
        <f t="shared" si="53"/>
        <v>0</v>
      </c>
    </row>
    <row r="1119" spans="2:12" x14ac:dyDescent="0.85">
      <c r="B1119" s="46">
        <v>1113</v>
      </c>
      <c r="C1119" s="10"/>
      <c r="D1119" s="66"/>
      <c r="E1119" s="10"/>
      <c r="F1119" s="226"/>
      <c r="G1119" s="47">
        <v>1</v>
      </c>
      <c r="H1119" s="72"/>
      <c r="I1119" s="10"/>
      <c r="J1119" s="46">
        <f t="shared" si="51"/>
        <v>1</v>
      </c>
      <c r="K1119" s="46">
        <f t="shared" si="52"/>
        <v>0</v>
      </c>
      <c r="L1119" s="69">
        <f t="shared" si="53"/>
        <v>0</v>
      </c>
    </row>
    <row r="1120" spans="2:12" x14ac:dyDescent="0.85">
      <c r="B1120" s="48">
        <v>1114</v>
      </c>
      <c r="C1120" s="44"/>
      <c r="D1120" s="50"/>
      <c r="E1120" s="44"/>
      <c r="F1120" s="227"/>
      <c r="G1120" s="49">
        <v>1</v>
      </c>
      <c r="H1120" s="73"/>
      <c r="I1120" s="44"/>
      <c r="J1120" s="48">
        <f t="shared" si="51"/>
        <v>1</v>
      </c>
      <c r="K1120" s="48">
        <f t="shared" si="52"/>
        <v>0</v>
      </c>
      <c r="L1120" s="68">
        <f t="shared" si="53"/>
        <v>0</v>
      </c>
    </row>
    <row r="1121" spans="2:12" x14ac:dyDescent="0.85">
      <c r="B1121" s="46">
        <v>1115</v>
      </c>
      <c r="C1121" s="10"/>
      <c r="D1121" s="66"/>
      <c r="E1121" s="10"/>
      <c r="F1121" s="226"/>
      <c r="G1121" s="47">
        <v>1</v>
      </c>
      <c r="H1121" s="72"/>
      <c r="I1121" s="10"/>
      <c r="J1121" s="46">
        <f t="shared" si="51"/>
        <v>1</v>
      </c>
      <c r="K1121" s="46">
        <f t="shared" si="52"/>
        <v>0</v>
      </c>
      <c r="L1121" s="69">
        <f t="shared" si="53"/>
        <v>0</v>
      </c>
    </row>
    <row r="1122" spans="2:12" x14ac:dyDescent="0.85">
      <c r="B1122" s="48">
        <v>1116</v>
      </c>
      <c r="C1122" s="44"/>
      <c r="D1122" s="50"/>
      <c r="E1122" s="44"/>
      <c r="F1122" s="227"/>
      <c r="G1122" s="49">
        <v>1</v>
      </c>
      <c r="H1122" s="73"/>
      <c r="I1122" s="44"/>
      <c r="J1122" s="48">
        <f t="shared" si="51"/>
        <v>1</v>
      </c>
      <c r="K1122" s="48">
        <f t="shared" si="52"/>
        <v>0</v>
      </c>
      <c r="L1122" s="68">
        <f t="shared" si="53"/>
        <v>0</v>
      </c>
    </row>
    <row r="1123" spans="2:12" x14ac:dyDescent="0.85">
      <c r="B1123" s="46">
        <v>1117</v>
      </c>
      <c r="C1123" s="10"/>
      <c r="D1123" s="66"/>
      <c r="E1123" s="10"/>
      <c r="F1123" s="226"/>
      <c r="G1123" s="47">
        <v>1</v>
      </c>
      <c r="H1123" s="72"/>
      <c r="I1123" s="10"/>
      <c r="J1123" s="46">
        <f t="shared" si="51"/>
        <v>1</v>
      </c>
      <c r="K1123" s="46">
        <f t="shared" si="52"/>
        <v>0</v>
      </c>
      <c r="L1123" s="69">
        <f t="shared" si="53"/>
        <v>0</v>
      </c>
    </row>
    <row r="1124" spans="2:12" x14ac:dyDescent="0.85">
      <c r="B1124" s="48">
        <v>1118</v>
      </c>
      <c r="C1124" s="44"/>
      <c r="D1124" s="50"/>
      <c r="E1124" s="44"/>
      <c r="F1124" s="227"/>
      <c r="G1124" s="49">
        <v>1</v>
      </c>
      <c r="H1124" s="73"/>
      <c r="I1124" s="44"/>
      <c r="J1124" s="48">
        <f t="shared" si="51"/>
        <v>1</v>
      </c>
      <c r="K1124" s="48">
        <f t="shared" si="52"/>
        <v>0</v>
      </c>
      <c r="L1124" s="68">
        <f t="shared" si="53"/>
        <v>0</v>
      </c>
    </row>
    <row r="1125" spans="2:12" x14ac:dyDescent="0.85">
      <c r="B1125" s="46">
        <v>1119</v>
      </c>
      <c r="C1125" s="10"/>
      <c r="D1125" s="66"/>
      <c r="E1125" s="10"/>
      <c r="F1125" s="226"/>
      <c r="G1125" s="47">
        <v>1</v>
      </c>
      <c r="H1125" s="72"/>
      <c r="I1125" s="10"/>
      <c r="J1125" s="46">
        <f t="shared" si="51"/>
        <v>1</v>
      </c>
      <c r="K1125" s="46">
        <f t="shared" si="52"/>
        <v>0</v>
      </c>
      <c r="L1125" s="69">
        <f t="shared" si="53"/>
        <v>0</v>
      </c>
    </row>
    <row r="1126" spans="2:12" x14ac:dyDescent="0.85">
      <c r="B1126" s="48">
        <v>1120</v>
      </c>
      <c r="C1126" s="44"/>
      <c r="D1126" s="50"/>
      <c r="E1126" s="44"/>
      <c r="F1126" s="227"/>
      <c r="G1126" s="49">
        <v>1</v>
      </c>
      <c r="H1126" s="73"/>
      <c r="I1126" s="44"/>
      <c r="J1126" s="48">
        <f t="shared" si="51"/>
        <v>1</v>
      </c>
      <c r="K1126" s="48">
        <f t="shared" si="52"/>
        <v>0</v>
      </c>
      <c r="L1126" s="68">
        <f t="shared" si="53"/>
        <v>0</v>
      </c>
    </row>
    <row r="1127" spans="2:12" x14ac:dyDescent="0.85">
      <c r="B1127" s="46">
        <v>1121</v>
      </c>
      <c r="C1127" s="10"/>
      <c r="D1127" s="66"/>
      <c r="E1127" s="10"/>
      <c r="F1127" s="226"/>
      <c r="G1127" s="47">
        <v>1</v>
      </c>
      <c r="H1127" s="72"/>
      <c r="I1127" s="10"/>
      <c r="J1127" s="46">
        <f t="shared" si="51"/>
        <v>1</v>
      </c>
      <c r="K1127" s="46">
        <f t="shared" si="52"/>
        <v>0</v>
      </c>
      <c r="L1127" s="69">
        <f t="shared" si="53"/>
        <v>0</v>
      </c>
    </row>
    <row r="1128" spans="2:12" x14ac:dyDescent="0.85">
      <c r="B1128" s="48">
        <v>1122</v>
      </c>
      <c r="C1128" s="44"/>
      <c r="D1128" s="50"/>
      <c r="E1128" s="44"/>
      <c r="F1128" s="227"/>
      <c r="G1128" s="49">
        <v>1</v>
      </c>
      <c r="H1128" s="73"/>
      <c r="I1128" s="44"/>
      <c r="J1128" s="48">
        <f t="shared" si="51"/>
        <v>1</v>
      </c>
      <c r="K1128" s="48">
        <f t="shared" si="52"/>
        <v>0</v>
      </c>
      <c r="L1128" s="68">
        <f t="shared" si="53"/>
        <v>0</v>
      </c>
    </row>
    <row r="1129" spans="2:12" x14ac:dyDescent="0.85">
      <c r="B1129" s="46">
        <v>1123</v>
      </c>
      <c r="C1129" s="10"/>
      <c r="D1129" s="66"/>
      <c r="E1129" s="10"/>
      <c r="F1129" s="226"/>
      <c r="G1129" s="47">
        <v>1</v>
      </c>
      <c r="H1129" s="72"/>
      <c r="I1129" s="10"/>
      <c r="J1129" s="46">
        <f t="shared" si="51"/>
        <v>1</v>
      </c>
      <c r="K1129" s="46">
        <f t="shared" si="52"/>
        <v>0</v>
      </c>
      <c r="L1129" s="69">
        <f t="shared" si="53"/>
        <v>0</v>
      </c>
    </row>
    <row r="1130" spans="2:12" x14ac:dyDescent="0.85">
      <c r="B1130" s="48">
        <v>1124</v>
      </c>
      <c r="C1130" s="44"/>
      <c r="D1130" s="50"/>
      <c r="E1130" s="44"/>
      <c r="F1130" s="227"/>
      <c r="G1130" s="49">
        <v>1</v>
      </c>
      <c r="H1130" s="73"/>
      <c r="I1130" s="44"/>
      <c r="J1130" s="48">
        <f t="shared" si="51"/>
        <v>1</v>
      </c>
      <c r="K1130" s="48">
        <f t="shared" si="52"/>
        <v>0</v>
      </c>
      <c r="L1130" s="68">
        <f t="shared" si="53"/>
        <v>0</v>
      </c>
    </row>
    <row r="1131" spans="2:12" x14ac:dyDescent="0.85">
      <c r="B1131" s="46">
        <v>1125</v>
      </c>
      <c r="C1131" s="10"/>
      <c r="D1131" s="66"/>
      <c r="E1131" s="10"/>
      <c r="F1131" s="226"/>
      <c r="G1131" s="47">
        <v>1</v>
      </c>
      <c r="H1131" s="72"/>
      <c r="I1131" s="10"/>
      <c r="J1131" s="46">
        <f t="shared" si="51"/>
        <v>1</v>
      </c>
      <c r="K1131" s="46">
        <f t="shared" si="52"/>
        <v>0</v>
      </c>
      <c r="L1131" s="69">
        <f t="shared" si="53"/>
        <v>0</v>
      </c>
    </row>
    <row r="1132" spans="2:12" x14ac:dyDescent="0.85">
      <c r="B1132" s="48">
        <v>1126</v>
      </c>
      <c r="C1132" s="44"/>
      <c r="D1132" s="50"/>
      <c r="E1132" s="44"/>
      <c r="F1132" s="227"/>
      <c r="G1132" s="49">
        <v>1</v>
      </c>
      <c r="H1132" s="73"/>
      <c r="I1132" s="44"/>
      <c r="J1132" s="48">
        <f t="shared" si="51"/>
        <v>1</v>
      </c>
      <c r="K1132" s="48">
        <f t="shared" si="52"/>
        <v>0</v>
      </c>
      <c r="L1132" s="68">
        <f t="shared" si="53"/>
        <v>0</v>
      </c>
    </row>
    <row r="1133" spans="2:12" x14ac:dyDescent="0.85">
      <c r="B1133" s="46">
        <v>1127</v>
      </c>
      <c r="C1133" s="10"/>
      <c r="D1133" s="66"/>
      <c r="E1133" s="10"/>
      <c r="F1133" s="226"/>
      <c r="G1133" s="47">
        <v>1</v>
      </c>
      <c r="H1133" s="72"/>
      <c r="I1133" s="10"/>
      <c r="J1133" s="46">
        <f t="shared" si="51"/>
        <v>1</v>
      </c>
      <c r="K1133" s="46">
        <f t="shared" si="52"/>
        <v>0</v>
      </c>
      <c r="L1133" s="69">
        <f t="shared" si="53"/>
        <v>0</v>
      </c>
    </row>
    <row r="1134" spans="2:12" x14ac:dyDescent="0.85">
      <c r="B1134" s="48">
        <v>1128</v>
      </c>
      <c r="C1134" s="44"/>
      <c r="D1134" s="50"/>
      <c r="E1134" s="44"/>
      <c r="F1134" s="227"/>
      <c r="G1134" s="49">
        <v>1</v>
      </c>
      <c r="H1134" s="73"/>
      <c r="I1134" s="44"/>
      <c r="J1134" s="48">
        <f t="shared" si="51"/>
        <v>1</v>
      </c>
      <c r="K1134" s="48">
        <f t="shared" si="52"/>
        <v>0</v>
      </c>
      <c r="L1134" s="68">
        <f t="shared" si="53"/>
        <v>0</v>
      </c>
    </row>
    <row r="1135" spans="2:12" x14ac:dyDescent="0.85">
      <c r="B1135" s="46">
        <v>1129</v>
      </c>
      <c r="C1135" s="10"/>
      <c r="D1135" s="66"/>
      <c r="E1135" s="10"/>
      <c r="F1135" s="226"/>
      <c r="G1135" s="47">
        <v>1</v>
      </c>
      <c r="H1135" s="72"/>
      <c r="I1135" s="10"/>
      <c r="J1135" s="46">
        <f t="shared" si="51"/>
        <v>1</v>
      </c>
      <c r="K1135" s="46">
        <f t="shared" si="52"/>
        <v>0</v>
      </c>
      <c r="L1135" s="69">
        <f t="shared" si="53"/>
        <v>0</v>
      </c>
    </row>
    <row r="1136" spans="2:12" x14ac:dyDescent="0.85">
      <c r="B1136" s="48">
        <v>1130</v>
      </c>
      <c r="C1136" s="44"/>
      <c r="D1136" s="50"/>
      <c r="E1136" s="44"/>
      <c r="F1136" s="227"/>
      <c r="G1136" s="49">
        <v>1</v>
      </c>
      <c r="H1136" s="73"/>
      <c r="I1136" s="44"/>
      <c r="J1136" s="48">
        <f t="shared" si="51"/>
        <v>1</v>
      </c>
      <c r="K1136" s="48">
        <f t="shared" si="52"/>
        <v>0</v>
      </c>
      <c r="L1136" s="68">
        <f t="shared" si="53"/>
        <v>0</v>
      </c>
    </row>
    <row r="1137" spans="2:12" x14ac:dyDescent="0.85">
      <c r="B1137" s="46">
        <v>1131</v>
      </c>
      <c r="C1137" s="10"/>
      <c r="D1137" s="66"/>
      <c r="E1137" s="10"/>
      <c r="F1137" s="226"/>
      <c r="G1137" s="47">
        <v>1</v>
      </c>
      <c r="H1137" s="72"/>
      <c r="I1137" s="10"/>
      <c r="J1137" s="46">
        <f t="shared" si="51"/>
        <v>1</v>
      </c>
      <c r="K1137" s="46">
        <f t="shared" si="52"/>
        <v>0</v>
      </c>
      <c r="L1137" s="69">
        <f t="shared" si="53"/>
        <v>0</v>
      </c>
    </row>
    <row r="1138" spans="2:12" x14ac:dyDescent="0.85">
      <c r="B1138" s="48">
        <v>1132</v>
      </c>
      <c r="C1138" s="44"/>
      <c r="D1138" s="50"/>
      <c r="E1138" s="44"/>
      <c r="F1138" s="227"/>
      <c r="G1138" s="49">
        <v>1</v>
      </c>
      <c r="H1138" s="73"/>
      <c r="I1138" s="44"/>
      <c r="J1138" s="48">
        <f t="shared" si="51"/>
        <v>1</v>
      </c>
      <c r="K1138" s="48">
        <f t="shared" si="52"/>
        <v>0</v>
      </c>
      <c r="L1138" s="68">
        <f t="shared" si="53"/>
        <v>0</v>
      </c>
    </row>
    <row r="1139" spans="2:12" x14ac:dyDescent="0.85">
      <c r="B1139" s="46">
        <v>1133</v>
      </c>
      <c r="C1139" s="10"/>
      <c r="D1139" s="66"/>
      <c r="E1139" s="10"/>
      <c r="F1139" s="226"/>
      <c r="G1139" s="47">
        <v>1</v>
      </c>
      <c r="H1139" s="72"/>
      <c r="I1139" s="10"/>
      <c r="J1139" s="46">
        <f t="shared" si="51"/>
        <v>1</v>
      </c>
      <c r="K1139" s="46">
        <f t="shared" si="52"/>
        <v>0</v>
      </c>
      <c r="L1139" s="69">
        <f t="shared" si="53"/>
        <v>0</v>
      </c>
    </row>
    <row r="1140" spans="2:12" x14ac:dyDescent="0.85">
      <c r="B1140" s="48">
        <v>1134</v>
      </c>
      <c r="C1140" s="44"/>
      <c r="D1140" s="50"/>
      <c r="E1140" s="44"/>
      <c r="F1140" s="227"/>
      <c r="G1140" s="49">
        <v>1</v>
      </c>
      <c r="H1140" s="73"/>
      <c r="I1140" s="44"/>
      <c r="J1140" s="48">
        <f t="shared" si="51"/>
        <v>1</v>
      </c>
      <c r="K1140" s="48">
        <f t="shared" si="52"/>
        <v>0</v>
      </c>
      <c r="L1140" s="68">
        <f t="shared" si="53"/>
        <v>0</v>
      </c>
    </row>
    <row r="1141" spans="2:12" x14ac:dyDescent="0.85">
      <c r="B1141" s="46">
        <v>1135</v>
      </c>
      <c r="C1141" s="10"/>
      <c r="D1141" s="66"/>
      <c r="E1141" s="10"/>
      <c r="F1141" s="226"/>
      <c r="G1141" s="47">
        <v>1</v>
      </c>
      <c r="H1141" s="72"/>
      <c r="I1141" s="10"/>
      <c r="J1141" s="46">
        <f t="shared" si="51"/>
        <v>1</v>
      </c>
      <c r="K1141" s="46">
        <f t="shared" si="52"/>
        <v>0</v>
      </c>
      <c r="L1141" s="69">
        <f t="shared" si="53"/>
        <v>0</v>
      </c>
    </row>
    <row r="1142" spans="2:12" x14ac:dyDescent="0.85">
      <c r="B1142" s="48">
        <v>1136</v>
      </c>
      <c r="C1142" s="44"/>
      <c r="D1142" s="50"/>
      <c r="E1142" s="44"/>
      <c r="F1142" s="227"/>
      <c r="G1142" s="49">
        <v>1</v>
      </c>
      <c r="H1142" s="73"/>
      <c r="I1142" s="44"/>
      <c r="J1142" s="48">
        <f t="shared" si="51"/>
        <v>1</v>
      </c>
      <c r="K1142" s="48">
        <f t="shared" si="52"/>
        <v>0</v>
      </c>
      <c r="L1142" s="68">
        <f t="shared" si="53"/>
        <v>0</v>
      </c>
    </row>
    <row r="1143" spans="2:12" x14ac:dyDescent="0.85">
      <c r="B1143" s="46">
        <v>1137</v>
      </c>
      <c r="C1143" s="10"/>
      <c r="D1143" s="66"/>
      <c r="E1143" s="10"/>
      <c r="F1143" s="226"/>
      <c r="G1143" s="47">
        <v>1</v>
      </c>
      <c r="H1143" s="72"/>
      <c r="I1143" s="10"/>
      <c r="J1143" s="46">
        <f t="shared" si="51"/>
        <v>1</v>
      </c>
      <c r="K1143" s="46">
        <f t="shared" si="52"/>
        <v>0</v>
      </c>
      <c r="L1143" s="69">
        <f t="shared" si="53"/>
        <v>0</v>
      </c>
    </row>
    <row r="1144" spans="2:12" x14ac:dyDescent="0.85">
      <c r="B1144" s="48">
        <v>1138</v>
      </c>
      <c r="C1144" s="44"/>
      <c r="D1144" s="50"/>
      <c r="E1144" s="44"/>
      <c r="F1144" s="227"/>
      <c r="G1144" s="49">
        <v>1</v>
      </c>
      <c r="H1144" s="73"/>
      <c r="I1144" s="44"/>
      <c r="J1144" s="48">
        <f t="shared" si="51"/>
        <v>1</v>
      </c>
      <c r="K1144" s="48">
        <f t="shared" si="52"/>
        <v>0</v>
      </c>
      <c r="L1144" s="68">
        <f t="shared" si="53"/>
        <v>0</v>
      </c>
    </row>
    <row r="1145" spans="2:12" x14ac:dyDescent="0.85">
      <c r="B1145" s="46">
        <v>1139</v>
      </c>
      <c r="C1145" s="10"/>
      <c r="D1145" s="66"/>
      <c r="E1145" s="10"/>
      <c r="F1145" s="226"/>
      <c r="G1145" s="47">
        <v>1</v>
      </c>
      <c r="H1145" s="72"/>
      <c r="I1145" s="10"/>
      <c r="J1145" s="46">
        <f t="shared" si="51"/>
        <v>1</v>
      </c>
      <c r="K1145" s="46">
        <f t="shared" si="52"/>
        <v>0</v>
      </c>
      <c r="L1145" s="69">
        <f t="shared" si="53"/>
        <v>0</v>
      </c>
    </row>
    <row r="1146" spans="2:12" x14ac:dyDescent="0.85">
      <c r="B1146" s="48">
        <v>1140</v>
      </c>
      <c r="C1146" s="44"/>
      <c r="D1146" s="50"/>
      <c r="E1146" s="44"/>
      <c r="F1146" s="227"/>
      <c r="G1146" s="49">
        <v>1</v>
      </c>
      <c r="H1146" s="73"/>
      <c r="I1146" s="44"/>
      <c r="J1146" s="48">
        <f t="shared" si="51"/>
        <v>1</v>
      </c>
      <c r="K1146" s="48">
        <f t="shared" si="52"/>
        <v>0</v>
      </c>
      <c r="L1146" s="68">
        <f t="shared" si="53"/>
        <v>0</v>
      </c>
    </row>
    <row r="1147" spans="2:12" x14ac:dyDescent="0.85">
      <c r="B1147" s="46">
        <v>1141</v>
      </c>
      <c r="C1147" s="10"/>
      <c r="D1147" s="66"/>
      <c r="E1147" s="10"/>
      <c r="F1147" s="226"/>
      <c r="G1147" s="47">
        <v>1</v>
      </c>
      <c r="H1147" s="72"/>
      <c r="I1147" s="10"/>
      <c r="J1147" s="46">
        <f t="shared" si="51"/>
        <v>1</v>
      </c>
      <c r="K1147" s="46">
        <f t="shared" si="52"/>
        <v>0</v>
      </c>
      <c r="L1147" s="69">
        <f t="shared" si="53"/>
        <v>0</v>
      </c>
    </row>
    <row r="1148" spans="2:12" x14ac:dyDescent="0.85">
      <c r="B1148" s="48">
        <v>1142</v>
      </c>
      <c r="C1148" s="44"/>
      <c r="D1148" s="50"/>
      <c r="E1148" s="44"/>
      <c r="F1148" s="227"/>
      <c r="G1148" s="49">
        <v>1</v>
      </c>
      <c r="H1148" s="73"/>
      <c r="I1148" s="44"/>
      <c r="J1148" s="48">
        <f t="shared" si="51"/>
        <v>1</v>
      </c>
      <c r="K1148" s="48">
        <f t="shared" si="52"/>
        <v>0</v>
      </c>
      <c r="L1148" s="68">
        <f t="shared" si="53"/>
        <v>0</v>
      </c>
    </row>
    <row r="1149" spans="2:12" x14ac:dyDescent="0.85">
      <c r="B1149" s="46">
        <v>1143</v>
      </c>
      <c r="C1149" s="10"/>
      <c r="D1149" s="66"/>
      <c r="E1149" s="10"/>
      <c r="F1149" s="226"/>
      <c r="G1149" s="47">
        <v>1</v>
      </c>
      <c r="H1149" s="72"/>
      <c r="I1149" s="10"/>
      <c r="J1149" s="46">
        <f t="shared" si="51"/>
        <v>1</v>
      </c>
      <c r="K1149" s="46">
        <f t="shared" si="52"/>
        <v>0</v>
      </c>
      <c r="L1149" s="69">
        <f t="shared" si="53"/>
        <v>0</v>
      </c>
    </row>
    <row r="1150" spans="2:12" x14ac:dyDescent="0.85">
      <c r="B1150" s="48">
        <v>1144</v>
      </c>
      <c r="C1150" s="44"/>
      <c r="D1150" s="50"/>
      <c r="E1150" s="44"/>
      <c r="F1150" s="227"/>
      <c r="G1150" s="49">
        <v>1</v>
      </c>
      <c r="H1150" s="73"/>
      <c r="I1150" s="44"/>
      <c r="J1150" s="48">
        <f t="shared" si="51"/>
        <v>1</v>
      </c>
      <c r="K1150" s="48">
        <f t="shared" si="52"/>
        <v>0</v>
      </c>
      <c r="L1150" s="68">
        <f t="shared" si="53"/>
        <v>0</v>
      </c>
    </row>
    <row r="1151" spans="2:12" x14ac:dyDescent="0.85">
      <c r="B1151" s="46">
        <v>1145</v>
      </c>
      <c r="C1151" s="10"/>
      <c r="D1151" s="66"/>
      <c r="E1151" s="10"/>
      <c r="F1151" s="226"/>
      <c r="G1151" s="47">
        <v>1</v>
      </c>
      <c r="H1151" s="72"/>
      <c r="I1151" s="10"/>
      <c r="J1151" s="46">
        <f t="shared" si="51"/>
        <v>1</v>
      </c>
      <c r="K1151" s="46">
        <f t="shared" si="52"/>
        <v>0</v>
      </c>
      <c r="L1151" s="69">
        <f t="shared" si="53"/>
        <v>0</v>
      </c>
    </row>
    <row r="1152" spans="2:12" x14ac:dyDescent="0.85">
      <c r="B1152" s="48">
        <v>1146</v>
      </c>
      <c r="C1152" s="44"/>
      <c r="D1152" s="50"/>
      <c r="E1152" s="44"/>
      <c r="F1152" s="227"/>
      <c r="G1152" s="49">
        <v>1</v>
      </c>
      <c r="H1152" s="73"/>
      <c r="I1152" s="44"/>
      <c r="J1152" s="48">
        <f t="shared" si="51"/>
        <v>1</v>
      </c>
      <c r="K1152" s="48">
        <f t="shared" si="52"/>
        <v>0</v>
      </c>
      <c r="L1152" s="68">
        <f t="shared" si="53"/>
        <v>0</v>
      </c>
    </row>
    <row r="1153" spans="2:12" x14ac:dyDescent="0.85">
      <c r="B1153" s="46">
        <v>1147</v>
      </c>
      <c r="C1153" s="10"/>
      <c r="D1153" s="66"/>
      <c r="E1153" s="10"/>
      <c r="F1153" s="226"/>
      <c r="G1153" s="47">
        <v>1</v>
      </c>
      <c r="H1153" s="72"/>
      <c r="I1153" s="10"/>
      <c r="J1153" s="46">
        <f t="shared" si="51"/>
        <v>1</v>
      </c>
      <c r="K1153" s="46">
        <f t="shared" si="52"/>
        <v>0</v>
      </c>
      <c r="L1153" s="69">
        <f t="shared" si="53"/>
        <v>0</v>
      </c>
    </row>
    <row r="1154" spans="2:12" x14ac:dyDescent="0.85">
      <c r="B1154" s="48">
        <v>1148</v>
      </c>
      <c r="C1154" s="44"/>
      <c r="D1154" s="50"/>
      <c r="E1154" s="44"/>
      <c r="F1154" s="227"/>
      <c r="G1154" s="49">
        <v>1</v>
      </c>
      <c r="H1154" s="73"/>
      <c r="I1154" s="44"/>
      <c r="J1154" s="48">
        <f t="shared" si="51"/>
        <v>1</v>
      </c>
      <c r="K1154" s="48">
        <f t="shared" si="52"/>
        <v>0</v>
      </c>
      <c r="L1154" s="68">
        <f t="shared" si="53"/>
        <v>0</v>
      </c>
    </row>
    <row r="1155" spans="2:12" x14ac:dyDescent="0.85">
      <c r="B1155" s="46">
        <v>1149</v>
      </c>
      <c r="C1155" s="10"/>
      <c r="D1155" s="66"/>
      <c r="E1155" s="10"/>
      <c r="F1155" s="226"/>
      <c r="G1155" s="47">
        <v>1</v>
      </c>
      <c r="H1155" s="72"/>
      <c r="I1155" s="10"/>
      <c r="J1155" s="46">
        <f t="shared" si="51"/>
        <v>1</v>
      </c>
      <c r="K1155" s="46">
        <f t="shared" si="52"/>
        <v>0</v>
      </c>
      <c r="L1155" s="69">
        <f t="shared" si="53"/>
        <v>0</v>
      </c>
    </row>
    <row r="1156" spans="2:12" x14ac:dyDescent="0.85">
      <c r="B1156" s="48">
        <v>1150</v>
      </c>
      <c r="C1156" s="44"/>
      <c r="D1156" s="50"/>
      <c r="E1156" s="44"/>
      <c r="F1156" s="227"/>
      <c r="G1156" s="49">
        <v>1</v>
      </c>
      <c r="H1156" s="73"/>
      <c r="I1156" s="44"/>
      <c r="J1156" s="48">
        <f t="shared" si="51"/>
        <v>1</v>
      </c>
      <c r="K1156" s="48">
        <f t="shared" si="52"/>
        <v>0</v>
      </c>
      <c r="L1156" s="68">
        <f t="shared" si="53"/>
        <v>0</v>
      </c>
    </row>
    <row r="1157" spans="2:12" x14ac:dyDescent="0.85">
      <c r="B1157" s="46">
        <v>1151</v>
      </c>
      <c r="C1157" s="10"/>
      <c r="D1157" s="66"/>
      <c r="E1157" s="10"/>
      <c r="F1157" s="226"/>
      <c r="G1157" s="47">
        <v>1</v>
      </c>
      <c r="H1157" s="72"/>
      <c r="I1157" s="10"/>
      <c r="J1157" s="46">
        <f t="shared" si="51"/>
        <v>1</v>
      </c>
      <c r="K1157" s="46">
        <f t="shared" si="52"/>
        <v>0</v>
      </c>
      <c r="L1157" s="69">
        <f t="shared" si="53"/>
        <v>0</v>
      </c>
    </row>
    <row r="1158" spans="2:12" x14ac:dyDescent="0.85">
      <c r="B1158" s="48">
        <v>1152</v>
      </c>
      <c r="C1158" s="44"/>
      <c r="D1158" s="50"/>
      <c r="E1158" s="44"/>
      <c r="F1158" s="227"/>
      <c r="G1158" s="49">
        <v>1</v>
      </c>
      <c r="H1158" s="73"/>
      <c r="I1158" s="44"/>
      <c r="J1158" s="48">
        <f t="shared" si="51"/>
        <v>1</v>
      </c>
      <c r="K1158" s="48">
        <f t="shared" si="52"/>
        <v>0</v>
      </c>
      <c r="L1158" s="68">
        <f t="shared" si="53"/>
        <v>0</v>
      </c>
    </row>
    <row r="1159" spans="2:12" x14ac:dyDescent="0.85">
      <c r="B1159" s="46">
        <v>1153</v>
      </c>
      <c r="C1159" s="10"/>
      <c r="D1159" s="66"/>
      <c r="E1159" s="10"/>
      <c r="F1159" s="226"/>
      <c r="G1159" s="47">
        <v>1</v>
      </c>
      <c r="H1159" s="72"/>
      <c r="I1159" s="10"/>
      <c r="J1159" s="46">
        <f t="shared" ref="J1159:J1222" si="54">IF(ISBLANK(H1159),1,H1159)</f>
        <v>1</v>
      </c>
      <c r="K1159" s="46">
        <f t="shared" ref="K1159:K1222" si="55">IF(COUNTIF(FreeElements, E1159)&gt;0, F1159, 0)</f>
        <v>0</v>
      </c>
      <c r="L1159" s="69">
        <f t="shared" ref="L1159:L1222" si="56">J1159*K1159</f>
        <v>0</v>
      </c>
    </row>
    <row r="1160" spans="2:12" x14ac:dyDescent="0.85">
      <c r="B1160" s="48">
        <v>1154</v>
      </c>
      <c r="C1160" s="44"/>
      <c r="D1160" s="50"/>
      <c r="E1160" s="44"/>
      <c r="F1160" s="227"/>
      <c r="G1160" s="49">
        <v>1</v>
      </c>
      <c r="H1160" s="73"/>
      <c r="I1160" s="44"/>
      <c r="J1160" s="48">
        <f t="shared" si="54"/>
        <v>1</v>
      </c>
      <c r="K1160" s="48">
        <f t="shared" si="55"/>
        <v>0</v>
      </c>
      <c r="L1160" s="68">
        <f t="shared" si="56"/>
        <v>0</v>
      </c>
    </row>
    <row r="1161" spans="2:12" x14ac:dyDescent="0.85">
      <c r="B1161" s="46">
        <v>1155</v>
      </c>
      <c r="C1161" s="10"/>
      <c r="D1161" s="66"/>
      <c r="E1161" s="10"/>
      <c r="F1161" s="226"/>
      <c r="G1161" s="47">
        <v>1</v>
      </c>
      <c r="H1161" s="72"/>
      <c r="I1161" s="10"/>
      <c r="J1161" s="46">
        <f t="shared" si="54"/>
        <v>1</v>
      </c>
      <c r="K1161" s="46">
        <f t="shared" si="55"/>
        <v>0</v>
      </c>
      <c r="L1161" s="69">
        <f t="shared" si="56"/>
        <v>0</v>
      </c>
    </row>
    <row r="1162" spans="2:12" x14ac:dyDescent="0.85">
      <c r="B1162" s="48">
        <v>1156</v>
      </c>
      <c r="C1162" s="44"/>
      <c r="D1162" s="50"/>
      <c r="E1162" s="44"/>
      <c r="F1162" s="227"/>
      <c r="G1162" s="49">
        <v>1</v>
      </c>
      <c r="H1162" s="73"/>
      <c r="I1162" s="44"/>
      <c r="J1162" s="48">
        <f t="shared" si="54"/>
        <v>1</v>
      </c>
      <c r="K1162" s="48">
        <f t="shared" si="55"/>
        <v>0</v>
      </c>
      <c r="L1162" s="68">
        <f t="shared" si="56"/>
        <v>0</v>
      </c>
    </row>
    <row r="1163" spans="2:12" x14ac:dyDescent="0.85">
      <c r="B1163" s="46">
        <v>1157</v>
      </c>
      <c r="C1163" s="10"/>
      <c r="D1163" s="66"/>
      <c r="E1163" s="10"/>
      <c r="F1163" s="226"/>
      <c r="G1163" s="47">
        <v>1</v>
      </c>
      <c r="H1163" s="72"/>
      <c r="I1163" s="10"/>
      <c r="J1163" s="46">
        <f t="shared" si="54"/>
        <v>1</v>
      </c>
      <c r="K1163" s="46">
        <f t="shared" si="55"/>
        <v>0</v>
      </c>
      <c r="L1163" s="69">
        <f t="shared" si="56"/>
        <v>0</v>
      </c>
    </row>
    <row r="1164" spans="2:12" x14ac:dyDescent="0.85">
      <c r="B1164" s="48">
        <v>1158</v>
      </c>
      <c r="C1164" s="44"/>
      <c r="D1164" s="50"/>
      <c r="E1164" s="44"/>
      <c r="F1164" s="227"/>
      <c r="G1164" s="49">
        <v>1</v>
      </c>
      <c r="H1164" s="73"/>
      <c r="I1164" s="44"/>
      <c r="J1164" s="48">
        <f t="shared" si="54"/>
        <v>1</v>
      </c>
      <c r="K1164" s="48">
        <f t="shared" si="55"/>
        <v>0</v>
      </c>
      <c r="L1164" s="68">
        <f t="shared" si="56"/>
        <v>0</v>
      </c>
    </row>
    <row r="1165" spans="2:12" x14ac:dyDescent="0.85">
      <c r="B1165" s="46">
        <v>1159</v>
      </c>
      <c r="C1165" s="10"/>
      <c r="D1165" s="66"/>
      <c r="E1165" s="10"/>
      <c r="F1165" s="226"/>
      <c r="G1165" s="47">
        <v>1</v>
      </c>
      <c r="H1165" s="72"/>
      <c r="I1165" s="10"/>
      <c r="J1165" s="46">
        <f t="shared" si="54"/>
        <v>1</v>
      </c>
      <c r="K1165" s="46">
        <f t="shared" si="55"/>
        <v>0</v>
      </c>
      <c r="L1165" s="69">
        <f t="shared" si="56"/>
        <v>0</v>
      </c>
    </row>
    <row r="1166" spans="2:12" x14ac:dyDescent="0.85">
      <c r="B1166" s="48">
        <v>1160</v>
      </c>
      <c r="C1166" s="44"/>
      <c r="D1166" s="50"/>
      <c r="E1166" s="44"/>
      <c r="F1166" s="227"/>
      <c r="G1166" s="49">
        <v>1</v>
      </c>
      <c r="H1166" s="73"/>
      <c r="I1166" s="44"/>
      <c r="J1166" s="48">
        <f t="shared" si="54"/>
        <v>1</v>
      </c>
      <c r="K1166" s="48">
        <f t="shared" si="55"/>
        <v>0</v>
      </c>
      <c r="L1166" s="68">
        <f t="shared" si="56"/>
        <v>0</v>
      </c>
    </row>
    <row r="1167" spans="2:12" x14ac:dyDescent="0.85">
      <c r="B1167" s="46">
        <v>1161</v>
      </c>
      <c r="C1167" s="10"/>
      <c r="D1167" s="66"/>
      <c r="E1167" s="10"/>
      <c r="F1167" s="226"/>
      <c r="G1167" s="47">
        <v>1</v>
      </c>
      <c r="H1167" s="72"/>
      <c r="I1167" s="10"/>
      <c r="J1167" s="46">
        <f t="shared" si="54"/>
        <v>1</v>
      </c>
      <c r="K1167" s="46">
        <f t="shared" si="55"/>
        <v>0</v>
      </c>
      <c r="L1167" s="69">
        <f t="shared" si="56"/>
        <v>0</v>
      </c>
    </row>
    <row r="1168" spans="2:12" x14ac:dyDescent="0.85">
      <c r="B1168" s="48">
        <v>1162</v>
      </c>
      <c r="C1168" s="44"/>
      <c r="D1168" s="50"/>
      <c r="E1168" s="44"/>
      <c r="F1168" s="227"/>
      <c r="G1168" s="49">
        <v>1</v>
      </c>
      <c r="H1168" s="73"/>
      <c r="I1168" s="44"/>
      <c r="J1168" s="48">
        <f t="shared" si="54"/>
        <v>1</v>
      </c>
      <c r="K1168" s="48">
        <f t="shared" si="55"/>
        <v>0</v>
      </c>
      <c r="L1168" s="68">
        <f t="shared" si="56"/>
        <v>0</v>
      </c>
    </row>
    <row r="1169" spans="2:12" x14ac:dyDescent="0.85">
      <c r="B1169" s="46">
        <v>1163</v>
      </c>
      <c r="C1169" s="10"/>
      <c r="D1169" s="66"/>
      <c r="E1169" s="10"/>
      <c r="F1169" s="226"/>
      <c r="G1169" s="47">
        <v>1</v>
      </c>
      <c r="H1169" s="72"/>
      <c r="I1169" s="10"/>
      <c r="J1169" s="46">
        <f t="shared" si="54"/>
        <v>1</v>
      </c>
      <c r="K1169" s="46">
        <f t="shared" si="55"/>
        <v>0</v>
      </c>
      <c r="L1169" s="69">
        <f t="shared" si="56"/>
        <v>0</v>
      </c>
    </row>
    <row r="1170" spans="2:12" x14ac:dyDescent="0.85">
      <c r="B1170" s="48">
        <v>1164</v>
      </c>
      <c r="C1170" s="44"/>
      <c r="D1170" s="50"/>
      <c r="E1170" s="44"/>
      <c r="F1170" s="227"/>
      <c r="G1170" s="49">
        <v>1</v>
      </c>
      <c r="H1170" s="73"/>
      <c r="I1170" s="44"/>
      <c r="J1170" s="48">
        <f t="shared" si="54"/>
        <v>1</v>
      </c>
      <c r="K1170" s="48">
        <f t="shared" si="55"/>
        <v>0</v>
      </c>
      <c r="L1170" s="68">
        <f t="shared" si="56"/>
        <v>0</v>
      </c>
    </row>
    <row r="1171" spans="2:12" x14ac:dyDescent="0.85">
      <c r="B1171" s="46">
        <v>1165</v>
      </c>
      <c r="C1171" s="10"/>
      <c r="D1171" s="66"/>
      <c r="E1171" s="10"/>
      <c r="F1171" s="226"/>
      <c r="G1171" s="47">
        <v>1</v>
      </c>
      <c r="H1171" s="72"/>
      <c r="I1171" s="10"/>
      <c r="J1171" s="46">
        <f t="shared" si="54"/>
        <v>1</v>
      </c>
      <c r="K1171" s="46">
        <f t="shared" si="55"/>
        <v>0</v>
      </c>
      <c r="L1171" s="69">
        <f t="shared" si="56"/>
        <v>0</v>
      </c>
    </row>
    <row r="1172" spans="2:12" x14ac:dyDescent="0.85">
      <c r="B1172" s="48">
        <v>1166</v>
      </c>
      <c r="C1172" s="44"/>
      <c r="D1172" s="50"/>
      <c r="E1172" s="44"/>
      <c r="F1172" s="227"/>
      <c r="G1172" s="49">
        <v>1</v>
      </c>
      <c r="H1172" s="73"/>
      <c r="I1172" s="44"/>
      <c r="J1172" s="48">
        <f t="shared" si="54"/>
        <v>1</v>
      </c>
      <c r="K1172" s="48">
        <f t="shared" si="55"/>
        <v>0</v>
      </c>
      <c r="L1172" s="68">
        <f t="shared" si="56"/>
        <v>0</v>
      </c>
    </row>
    <row r="1173" spans="2:12" x14ac:dyDescent="0.85">
      <c r="B1173" s="46">
        <v>1167</v>
      </c>
      <c r="C1173" s="10"/>
      <c r="D1173" s="66"/>
      <c r="E1173" s="10"/>
      <c r="F1173" s="226"/>
      <c r="G1173" s="47">
        <v>1</v>
      </c>
      <c r="H1173" s="72"/>
      <c r="I1173" s="10"/>
      <c r="J1173" s="46">
        <f t="shared" si="54"/>
        <v>1</v>
      </c>
      <c r="K1173" s="46">
        <f t="shared" si="55"/>
        <v>0</v>
      </c>
      <c r="L1173" s="69">
        <f t="shared" si="56"/>
        <v>0</v>
      </c>
    </row>
    <row r="1174" spans="2:12" x14ac:dyDescent="0.85">
      <c r="B1174" s="48">
        <v>1168</v>
      </c>
      <c r="C1174" s="44"/>
      <c r="D1174" s="50"/>
      <c r="E1174" s="44"/>
      <c r="F1174" s="227"/>
      <c r="G1174" s="49">
        <v>1</v>
      </c>
      <c r="H1174" s="73"/>
      <c r="I1174" s="44"/>
      <c r="J1174" s="48">
        <f t="shared" si="54"/>
        <v>1</v>
      </c>
      <c r="K1174" s="48">
        <f t="shared" si="55"/>
        <v>0</v>
      </c>
      <c r="L1174" s="68">
        <f t="shared" si="56"/>
        <v>0</v>
      </c>
    </row>
    <row r="1175" spans="2:12" x14ac:dyDescent="0.85">
      <c r="B1175" s="46">
        <v>1169</v>
      </c>
      <c r="C1175" s="10"/>
      <c r="D1175" s="66"/>
      <c r="E1175" s="10"/>
      <c r="F1175" s="226"/>
      <c r="G1175" s="47">
        <v>1</v>
      </c>
      <c r="H1175" s="72"/>
      <c r="I1175" s="10"/>
      <c r="J1175" s="46">
        <f t="shared" si="54"/>
        <v>1</v>
      </c>
      <c r="K1175" s="46">
        <f t="shared" si="55"/>
        <v>0</v>
      </c>
      <c r="L1175" s="69">
        <f t="shared" si="56"/>
        <v>0</v>
      </c>
    </row>
    <row r="1176" spans="2:12" x14ac:dyDescent="0.85">
      <c r="B1176" s="48">
        <v>1170</v>
      </c>
      <c r="C1176" s="44"/>
      <c r="D1176" s="50"/>
      <c r="E1176" s="44"/>
      <c r="F1176" s="227"/>
      <c r="G1176" s="49">
        <v>1</v>
      </c>
      <c r="H1176" s="73"/>
      <c r="I1176" s="44"/>
      <c r="J1176" s="48">
        <f t="shared" si="54"/>
        <v>1</v>
      </c>
      <c r="K1176" s="48">
        <f t="shared" si="55"/>
        <v>0</v>
      </c>
      <c r="L1176" s="68">
        <f t="shared" si="56"/>
        <v>0</v>
      </c>
    </row>
    <row r="1177" spans="2:12" x14ac:dyDescent="0.85">
      <c r="B1177" s="46">
        <v>1171</v>
      </c>
      <c r="C1177" s="10"/>
      <c r="D1177" s="66"/>
      <c r="E1177" s="10"/>
      <c r="F1177" s="226"/>
      <c r="G1177" s="47">
        <v>1</v>
      </c>
      <c r="H1177" s="72"/>
      <c r="I1177" s="10"/>
      <c r="J1177" s="46">
        <f t="shared" si="54"/>
        <v>1</v>
      </c>
      <c r="K1177" s="46">
        <f t="shared" si="55"/>
        <v>0</v>
      </c>
      <c r="L1177" s="69">
        <f t="shared" si="56"/>
        <v>0</v>
      </c>
    </row>
    <row r="1178" spans="2:12" x14ac:dyDescent="0.85">
      <c r="B1178" s="48">
        <v>1172</v>
      </c>
      <c r="C1178" s="44"/>
      <c r="D1178" s="50"/>
      <c r="E1178" s="44"/>
      <c r="F1178" s="227"/>
      <c r="G1178" s="49">
        <v>1</v>
      </c>
      <c r="H1178" s="73"/>
      <c r="I1178" s="44"/>
      <c r="J1178" s="48">
        <f t="shared" si="54"/>
        <v>1</v>
      </c>
      <c r="K1178" s="48">
        <f t="shared" si="55"/>
        <v>0</v>
      </c>
      <c r="L1178" s="68">
        <f t="shared" si="56"/>
        <v>0</v>
      </c>
    </row>
    <row r="1179" spans="2:12" x14ac:dyDescent="0.85">
      <c r="B1179" s="46">
        <v>1173</v>
      </c>
      <c r="C1179" s="10"/>
      <c r="D1179" s="66"/>
      <c r="E1179" s="10"/>
      <c r="F1179" s="226"/>
      <c r="G1179" s="47">
        <v>1</v>
      </c>
      <c r="H1179" s="72"/>
      <c r="I1179" s="10"/>
      <c r="J1179" s="46">
        <f t="shared" si="54"/>
        <v>1</v>
      </c>
      <c r="K1179" s="46">
        <f t="shared" si="55"/>
        <v>0</v>
      </c>
      <c r="L1179" s="69">
        <f t="shared" si="56"/>
        <v>0</v>
      </c>
    </row>
    <row r="1180" spans="2:12" x14ac:dyDescent="0.85">
      <c r="B1180" s="48">
        <v>1174</v>
      </c>
      <c r="C1180" s="44"/>
      <c r="D1180" s="50"/>
      <c r="E1180" s="44"/>
      <c r="F1180" s="227"/>
      <c r="G1180" s="49">
        <v>1</v>
      </c>
      <c r="H1180" s="73"/>
      <c r="I1180" s="44"/>
      <c r="J1180" s="48">
        <f t="shared" si="54"/>
        <v>1</v>
      </c>
      <c r="K1180" s="48">
        <f t="shared" si="55"/>
        <v>0</v>
      </c>
      <c r="L1180" s="68">
        <f t="shared" si="56"/>
        <v>0</v>
      </c>
    </row>
    <row r="1181" spans="2:12" x14ac:dyDescent="0.85">
      <c r="B1181" s="46">
        <v>1175</v>
      </c>
      <c r="C1181" s="10"/>
      <c r="D1181" s="66"/>
      <c r="E1181" s="10"/>
      <c r="F1181" s="226"/>
      <c r="G1181" s="47">
        <v>1</v>
      </c>
      <c r="H1181" s="72"/>
      <c r="I1181" s="10"/>
      <c r="J1181" s="46">
        <f t="shared" si="54"/>
        <v>1</v>
      </c>
      <c r="K1181" s="46">
        <f t="shared" si="55"/>
        <v>0</v>
      </c>
      <c r="L1181" s="69">
        <f t="shared" si="56"/>
        <v>0</v>
      </c>
    </row>
    <row r="1182" spans="2:12" x14ac:dyDescent="0.85">
      <c r="B1182" s="48">
        <v>1176</v>
      </c>
      <c r="C1182" s="44"/>
      <c r="D1182" s="50"/>
      <c r="E1182" s="44"/>
      <c r="F1182" s="227"/>
      <c r="G1182" s="49">
        <v>1</v>
      </c>
      <c r="H1182" s="73"/>
      <c r="I1182" s="44"/>
      <c r="J1182" s="48">
        <f t="shared" si="54"/>
        <v>1</v>
      </c>
      <c r="K1182" s="48">
        <f t="shared" si="55"/>
        <v>0</v>
      </c>
      <c r="L1182" s="68">
        <f t="shared" si="56"/>
        <v>0</v>
      </c>
    </row>
    <row r="1183" spans="2:12" x14ac:dyDescent="0.85">
      <c r="B1183" s="46">
        <v>1177</v>
      </c>
      <c r="C1183" s="10"/>
      <c r="D1183" s="66"/>
      <c r="E1183" s="10"/>
      <c r="F1183" s="226"/>
      <c r="G1183" s="47">
        <v>1</v>
      </c>
      <c r="H1183" s="72"/>
      <c r="I1183" s="10"/>
      <c r="J1183" s="46">
        <f t="shared" si="54"/>
        <v>1</v>
      </c>
      <c r="K1183" s="46">
        <f t="shared" si="55"/>
        <v>0</v>
      </c>
      <c r="L1183" s="69">
        <f t="shared" si="56"/>
        <v>0</v>
      </c>
    </row>
    <row r="1184" spans="2:12" x14ac:dyDescent="0.85">
      <c r="B1184" s="48">
        <v>1178</v>
      </c>
      <c r="C1184" s="44"/>
      <c r="D1184" s="50"/>
      <c r="E1184" s="44"/>
      <c r="F1184" s="227"/>
      <c r="G1184" s="49">
        <v>1</v>
      </c>
      <c r="H1184" s="73"/>
      <c r="I1184" s="44"/>
      <c r="J1184" s="48">
        <f t="shared" si="54"/>
        <v>1</v>
      </c>
      <c r="K1184" s="48">
        <f t="shared" si="55"/>
        <v>0</v>
      </c>
      <c r="L1184" s="68">
        <f t="shared" si="56"/>
        <v>0</v>
      </c>
    </row>
    <row r="1185" spans="2:12" x14ac:dyDescent="0.85">
      <c r="B1185" s="46">
        <v>1179</v>
      </c>
      <c r="C1185" s="10"/>
      <c r="D1185" s="66"/>
      <c r="E1185" s="10"/>
      <c r="F1185" s="226"/>
      <c r="G1185" s="47">
        <v>1</v>
      </c>
      <c r="H1185" s="72"/>
      <c r="I1185" s="10"/>
      <c r="J1185" s="46">
        <f t="shared" si="54"/>
        <v>1</v>
      </c>
      <c r="K1185" s="46">
        <f t="shared" si="55"/>
        <v>0</v>
      </c>
      <c r="L1185" s="69">
        <f t="shared" si="56"/>
        <v>0</v>
      </c>
    </row>
    <row r="1186" spans="2:12" x14ac:dyDescent="0.85">
      <c r="B1186" s="48">
        <v>1180</v>
      </c>
      <c r="C1186" s="44"/>
      <c r="D1186" s="50"/>
      <c r="E1186" s="44"/>
      <c r="F1186" s="227"/>
      <c r="G1186" s="49">
        <v>1</v>
      </c>
      <c r="H1186" s="73"/>
      <c r="I1186" s="44"/>
      <c r="J1186" s="48">
        <f t="shared" si="54"/>
        <v>1</v>
      </c>
      <c r="K1186" s="48">
        <f t="shared" si="55"/>
        <v>0</v>
      </c>
      <c r="L1186" s="68">
        <f t="shared" si="56"/>
        <v>0</v>
      </c>
    </row>
    <row r="1187" spans="2:12" x14ac:dyDescent="0.85">
      <c r="B1187" s="46">
        <v>1181</v>
      </c>
      <c r="C1187" s="10"/>
      <c r="D1187" s="66"/>
      <c r="E1187" s="10"/>
      <c r="F1187" s="226"/>
      <c r="G1187" s="47">
        <v>1</v>
      </c>
      <c r="H1187" s="72"/>
      <c r="I1187" s="10"/>
      <c r="J1187" s="46">
        <f t="shared" si="54"/>
        <v>1</v>
      </c>
      <c r="K1187" s="46">
        <f t="shared" si="55"/>
        <v>0</v>
      </c>
      <c r="L1187" s="69">
        <f t="shared" si="56"/>
        <v>0</v>
      </c>
    </row>
    <row r="1188" spans="2:12" x14ac:dyDescent="0.85">
      <c r="B1188" s="48">
        <v>1182</v>
      </c>
      <c r="C1188" s="44"/>
      <c r="D1188" s="50"/>
      <c r="E1188" s="44"/>
      <c r="F1188" s="227"/>
      <c r="G1188" s="49">
        <v>1</v>
      </c>
      <c r="H1188" s="73"/>
      <c r="I1188" s="44"/>
      <c r="J1188" s="48">
        <f t="shared" si="54"/>
        <v>1</v>
      </c>
      <c r="K1188" s="48">
        <f t="shared" si="55"/>
        <v>0</v>
      </c>
      <c r="L1188" s="68">
        <f t="shared" si="56"/>
        <v>0</v>
      </c>
    </row>
    <row r="1189" spans="2:12" x14ac:dyDescent="0.85">
      <c r="B1189" s="46">
        <v>1183</v>
      </c>
      <c r="C1189" s="10"/>
      <c r="D1189" s="66"/>
      <c r="E1189" s="10"/>
      <c r="F1189" s="226"/>
      <c r="G1189" s="47">
        <v>1</v>
      </c>
      <c r="H1189" s="72"/>
      <c r="I1189" s="10"/>
      <c r="J1189" s="46">
        <f t="shared" si="54"/>
        <v>1</v>
      </c>
      <c r="K1189" s="46">
        <f t="shared" si="55"/>
        <v>0</v>
      </c>
      <c r="L1189" s="69">
        <f t="shared" si="56"/>
        <v>0</v>
      </c>
    </row>
    <row r="1190" spans="2:12" x14ac:dyDescent="0.85">
      <c r="B1190" s="48">
        <v>1184</v>
      </c>
      <c r="C1190" s="44"/>
      <c r="D1190" s="50"/>
      <c r="E1190" s="44"/>
      <c r="F1190" s="227"/>
      <c r="G1190" s="49">
        <v>1</v>
      </c>
      <c r="H1190" s="73"/>
      <c r="I1190" s="44"/>
      <c r="J1190" s="48">
        <f t="shared" si="54"/>
        <v>1</v>
      </c>
      <c r="K1190" s="48">
        <f t="shared" si="55"/>
        <v>0</v>
      </c>
      <c r="L1190" s="68">
        <f t="shared" si="56"/>
        <v>0</v>
      </c>
    </row>
    <row r="1191" spans="2:12" x14ac:dyDescent="0.85">
      <c r="B1191" s="46">
        <v>1185</v>
      </c>
      <c r="C1191" s="10"/>
      <c r="D1191" s="66"/>
      <c r="E1191" s="10"/>
      <c r="F1191" s="226"/>
      <c r="G1191" s="47">
        <v>1</v>
      </c>
      <c r="H1191" s="72"/>
      <c r="I1191" s="10"/>
      <c r="J1191" s="46">
        <f t="shared" si="54"/>
        <v>1</v>
      </c>
      <c r="K1191" s="46">
        <f t="shared" si="55"/>
        <v>0</v>
      </c>
      <c r="L1191" s="69">
        <f t="shared" si="56"/>
        <v>0</v>
      </c>
    </row>
    <row r="1192" spans="2:12" x14ac:dyDescent="0.85">
      <c r="B1192" s="48">
        <v>1186</v>
      </c>
      <c r="C1192" s="44"/>
      <c r="D1192" s="50"/>
      <c r="E1192" s="44"/>
      <c r="F1192" s="227"/>
      <c r="G1192" s="49">
        <v>1</v>
      </c>
      <c r="H1192" s="73"/>
      <c r="I1192" s="44"/>
      <c r="J1192" s="48">
        <f t="shared" si="54"/>
        <v>1</v>
      </c>
      <c r="K1192" s="48">
        <f t="shared" si="55"/>
        <v>0</v>
      </c>
      <c r="L1192" s="68">
        <f t="shared" si="56"/>
        <v>0</v>
      </c>
    </row>
    <row r="1193" spans="2:12" x14ac:dyDescent="0.85">
      <c r="B1193" s="46">
        <v>1187</v>
      </c>
      <c r="C1193" s="10"/>
      <c r="D1193" s="66"/>
      <c r="E1193" s="10"/>
      <c r="F1193" s="226"/>
      <c r="G1193" s="47">
        <v>1</v>
      </c>
      <c r="H1193" s="72"/>
      <c r="I1193" s="10"/>
      <c r="J1193" s="46">
        <f t="shared" si="54"/>
        <v>1</v>
      </c>
      <c r="K1193" s="46">
        <f t="shared" si="55"/>
        <v>0</v>
      </c>
      <c r="L1193" s="69">
        <f t="shared" si="56"/>
        <v>0</v>
      </c>
    </row>
    <row r="1194" spans="2:12" x14ac:dyDescent="0.85">
      <c r="B1194" s="48">
        <v>1188</v>
      </c>
      <c r="C1194" s="44"/>
      <c r="D1194" s="50"/>
      <c r="E1194" s="44"/>
      <c r="F1194" s="227"/>
      <c r="G1194" s="49">
        <v>1</v>
      </c>
      <c r="H1194" s="73"/>
      <c r="I1194" s="44"/>
      <c r="J1194" s="48">
        <f t="shared" si="54"/>
        <v>1</v>
      </c>
      <c r="K1194" s="48">
        <f t="shared" si="55"/>
        <v>0</v>
      </c>
      <c r="L1194" s="68">
        <f t="shared" si="56"/>
        <v>0</v>
      </c>
    </row>
    <row r="1195" spans="2:12" x14ac:dyDescent="0.85">
      <c r="B1195" s="46">
        <v>1189</v>
      </c>
      <c r="C1195" s="10"/>
      <c r="D1195" s="66"/>
      <c r="E1195" s="10"/>
      <c r="F1195" s="226"/>
      <c r="G1195" s="47">
        <v>1</v>
      </c>
      <c r="H1195" s="72"/>
      <c r="I1195" s="10"/>
      <c r="J1195" s="46">
        <f t="shared" si="54"/>
        <v>1</v>
      </c>
      <c r="K1195" s="46">
        <f t="shared" si="55"/>
        <v>0</v>
      </c>
      <c r="L1195" s="69">
        <f t="shared" si="56"/>
        <v>0</v>
      </c>
    </row>
    <row r="1196" spans="2:12" x14ac:dyDescent="0.85">
      <c r="B1196" s="48">
        <v>1190</v>
      </c>
      <c r="C1196" s="44"/>
      <c r="D1196" s="50"/>
      <c r="E1196" s="44"/>
      <c r="F1196" s="227"/>
      <c r="G1196" s="49">
        <v>1</v>
      </c>
      <c r="H1196" s="73"/>
      <c r="I1196" s="44"/>
      <c r="J1196" s="48">
        <f t="shared" si="54"/>
        <v>1</v>
      </c>
      <c r="K1196" s="48">
        <f t="shared" si="55"/>
        <v>0</v>
      </c>
      <c r="L1196" s="68">
        <f t="shared" si="56"/>
        <v>0</v>
      </c>
    </row>
    <row r="1197" spans="2:12" x14ac:dyDescent="0.85">
      <c r="B1197" s="46">
        <v>1191</v>
      </c>
      <c r="C1197" s="10"/>
      <c r="D1197" s="66"/>
      <c r="E1197" s="10"/>
      <c r="F1197" s="226"/>
      <c r="G1197" s="47">
        <v>1</v>
      </c>
      <c r="H1197" s="72"/>
      <c r="I1197" s="10"/>
      <c r="J1197" s="46">
        <f t="shared" si="54"/>
        <v>1</v>
      </c>
      <c r="K1197" s="46">
        <f t="shared" si="55"/>
        <v>0</v>
      </c>
      <c r="L1197" s="69">
        <f t="shared" si="56"/>
        <v>0</v>
      </c>
    </row>
    <row r="1198" spans="2:12" x14ac:dyDescent="0.85">
      <c r="B1198" s="48">
        <v>1192</v>
      </c>
      <c r="C1198" s="44"/>
      <c r="D1198" s="50"/>
      <c r="E1198" s="44"/>
      <c r="F1198" s="227"/>
      <c r="G1198" s="49">
        <v>1</v>
      </c>
      <c r="H1198" s="73"/>
      <c r="I1198" s="44"/>
      <c r="J1198" s="48">
        <f t="shared" si="54"/>
        <v>1</v>
      </c>
      <c r="K1198" s="48">
        <f t="shared" si="55"/>
        <v>0</v>
      </c>
      <c r="L1198" s="68">
        <f t="shared" si="56"/>
        <v>0</v>
      </c>
    </row>
    <row r="1199" spans="2:12" x14ac:dyDescent="0.85">
      <c r="B1199" s="46">
        <v>1193</v>
      </c>
      <c r="C1199" s="10"/>
      <c r="D1199" s="66"/>
      <c r="E1199" s="10"/>
      <c r="F1199" s="226"/>
      <c r="G1199" s="47">
        <v>1</v>
      </c>
      <c r="H1199" s="72"/>
      <c r="I1199" s="10"/>
      <c r="J1199" s="46">
        <f t="shared" si="54"/>
        <v>1</v>
      </c>
      <c r="K1199" s="46">
        <f t="shared" si="55"/>
        <v>0</v>
      </c>
      <c r="L1199" s="69">
        <f t="shared" si="56"/>
        <v>0</v>
      </c>
    </row>
    <row r="1200" spans="2:12" x14ac:dyDescent="0.85">
      <c r="B1200" s="48">
        <v>1194</v>
      </c>
      <c r="C1200" s="44"/>
      <c r="D1200" s="50"/>
      <c r="E1200" s="44"/>
      <c r="F1200" s="227"/>
      <c r="G1200" s="49">
        <v>1</v>
      </c>
      <c r="H1200" s="73"/>
      <c r="I1200" s="44"/>
      <c r="J1200" s="48">
        <f t="shared" si="54"/>
        <v>1</v>
      </c>
      <c r="K1200" s="48">
        <f t="shared" si="55"/>
        <v>0</v>
      </c>
      <c r="L1200" s="68">
        <f t="shared" si="56"/>
        <v>0</v>
      </c>
    </row>
    <row r="1201" spans="2:12" x14ac:dyDescent="0.85">
      <c r="B1201" s="46">
        <v>1195</v>
      </c>
      <c r="C1201" s="10"/>
      <c r="D1201" s="66"/>
      <c r="E1201" s="10"/>
      <c r="F1201" s="226"/>
      <c r="G1201" s="47">
        <v>1</v>
      </c>
      <c r="H1201" s="72"/>
      <c r="I1201" s="10"/>
      <c r="J1201" s="46">
        <f t="shared" si="54"/>
        <v>1</v>
      </c>
      <c r="K1201" s="46">
        <f t="shared" si="55"/>
        <v>0</v>
      </c>
      <c r="L1201" s="69">
        <f t="shared" si="56"/>
        <v>0</v>
      </c>
    </row>
    <row r="1202" spans="2:12" x14ac:dyDescent="0.85">
      <c r="B1202" s="48">
        <v>1196</v>
      </c>
      <c r="C1202" s="44"/>
      <c r="D1202" s="50"/>
      <c r="E1202" s="44"/>
      <c r="F1202" s="227"/>
      <c r="G1202" s="49">
        <v>1</v>
      </c>
      <c r="H1202" s="73"/>
      <c r="I1202" s="44"/>
      <c r="J1202" s="48">
        <f t="shared" si="54"/>
        <v>1</v>
      </c>
      <c r="K1202" s="48">
        <f t="shared" si="55"/>
        <v>0</v>
      </c>
      <c r="L1202" s="68">
        <f t="shared" si="56"/>
        <v>0</v>
      </c>
    </row>
    <row r="1203" spans="2:12" x14ac:dyDescent="0.85">
      <c r="B1203" s="46">
        <v>1197</v>
      </c>
      <c r="C1203" s="10"/>
      <c r="D1203" s="66"/>
      <c r="E1203" s="10"/>
      <c r="F1203" s="226"/>
      <c r="G1203" s="47">
        <v>1</v>
      </c>
      <c r="H1203" s="72"/>
      <c r="I1203" s="10"/>
      <c r="J1203" s="46">
        <f t="shared" si="54"/>
        <v>1</v>
      </c>
      <c r="K1203" s="46">
        <f t="shared" si="55"/>
        <v>0</v>
      </c>
      <c r="L1203" s="69">
        <f t="shared" si="56"/>
        <v>0</v>
      </c>
    </row>
    <row r="1204" spans="2:12" x14ac:dyDescent="0.85">
      <c r="B1204" s="48">
        <v>1198</v>
      </c>
      <c r="C1204" s="44"/>
      <c r="D1204" s="50"/>
      <c r="E1204" s="44"/>
      <c r="F1204" s="227"/>
      <c r="G1204" s="49">
        <v>1</v>
      </c>
      <c r="H1204" s="73"/>
      <c r="I1204" s="44"/>
      <c r="J1204" s="48">
        <f t="shared" si="54"/>
        <v>1</v>
      </c>
      <c r="K1204" s="48">
        <f t="shared" si="55"/>
        <v>0</v>
      </c>
      <c r="L1204" s="68">
        <f t="shared" si="56"/>
        <v>0</v>
      </c>
    </row>
    <row r="1205" spans="2:12" x14ac:dyDescent="0.85">
      <c r="B1205" s="46">
        <v>1199</v>
      </c>
      <c r="C1205" s="10"/>
      <c r="D1205" s="66"/>
      <c r="E1205" s="10"/>
      <c r="F1205" s="226"/>
      <c r="G1205" s="47">
        <v>1</v>
      </c>
      <c r="H1205" s="72"/>
      <c r="I1205" s="10"/>
      <c r="J1205" s="46">
        <f t="shared" si="54"/>
        <v>1</v>
      </c>
      <c r="K1205" s="46">
        <f t="shared" si="55"/>
        <v>0</v>
      </c>
      <c r="L1205" s="69">
        <f t="shared" si="56"/>
        <v>0</v>
      </c>
    </row>
    <row r="1206" spans="2:12" x14ac:dyDescent="0.85">
      <c r="B1206" s="48">
        <v>1200</v>
      </c>
      <c r="C1206" s="44"/>
      <c r="D1206" s="50"/>
      <c r="E1206" s="44"/>
      <c r="F1206" s="227"/>
      <c r="G1206" s="49">
        <v>1</v>
      </c>
      <c r="H1206" s="73"/>
      <c r="I1206" s="44"/>
      <c r="J1206" s="48">
        <f t="shared" si="54"/>
        <v>1</v>
      </c>
      <c r="K1206" s="48">
        <f t="shared" si="55"/>
        <v>0</v>
      </c>
      <c r="L1206" s="68">
        <f t="shared" si="56"/>
        <v>0</v>
      </c>
    </row>
    <row r="1207" spans="2:12" x14ac:dyDescent="0.85">
      <c r="B1207" s="46">
        <v>1201</v>
      </c>
      <c r="C1207" s="10"/>
      <c r="D1207" s="66"/>
      <c r="E1207" s="10"/>
      <c r="F1207" s="226"/>
      <c r="G1207" s="47">
        <v>1</v>
      </c>
      <c r="H1207" s="72"/>
      <c r="I1207" s="10"/>
      <c r="J1207" s="46">
        <f t="shared" si="54"/>
        <v>1</v>
      </c>
      <c r="K1207" s="46">
        <f t="shared" si="55"/>
        <v>0</v>
      </c>
      <c r="L1207" s="69">
        <f t="shared" si="56"/>
        <v>0</v>
      </c>
    </row>
    <row r="1208" spans="2:12" x14ac:dyDescent="0.85">
      <c r="B1208" s="48">
        <v>1202</v>
      </c>
      <c r="C1208" s="44"/>
      <c r="D1208" s="50"/>
      <c r="E1208" s="44"/>
      <c r="F1208" s="227"/>
      <c r="G1208" s="49">
        <v>1</v>
      </c>
      <c r="H1208" s="73"/>
      <c r="I1208" s="44"/>
      <c r="J1208" s="48">
        <f t="shared" si="54"/>
        <v>1</v>
      </c>
      <c r="K1208" s="48">
        <f t="shared" si="55"/>
        <v>0</v>
      </c>
      <c r="L1208" s="68">
        <f t="shared" si="56"/>
        <v>0</v>
      </c>
    </row>
    <row r="1209" spans="2:12" x14ac:dyDescent="0.85">
      <c r="B1209" s="46">
        <v>1203</v>
      </c>
      <c r="C1209" s="10"/>
      <c r="D1209" s="66"/>
      <c r="E1209" s="10"/>
      <c r="F1209" s="226"/>
      <c r="G1209" s="47">
        <v>1</v>
      </c>
      <c r="H1209" s="72"/>
      <c r="I1209" s="10"/>
      <c r="J1209" s="46">
        <f t="shared" si="54"/>
        <v>1</v>
      </c>
      <c r="K1209" s="46">
        <f t="shared" si="55"/>
        <v>0</v>
      </c>
      <c r="L1209" s="69">
        <f t="shared" si="56"/>
        <v>0</v>
      </c>
    </row>
    <row r="1210" spans="2:12" x14ac:dyDescent="0.85">
      <c r="B1210" s="48">
        <v>1204</v>
      </c>
      <c r="C1210" s="44"/>
      <c r="D1210" s="50"/>
      <c r="E1210" s="44"/>
      <c r="F1210" s="227"/>
      <c r="G1210" s="49">
        <v>1</v>
      </c>
      <c r="H1210" s="73"/>
      <c r="I1210" s="44"/>
      <c r="J1210" s="48">
        <f t="shared" si="54"/>
        <v>1</v>
      </c>
      <c r="K1210" s="48">
        <f t="shared" si="55"/>
        <v>0</v>
      </c>
      <c r="L1210" s="68">
        <f t="shared" si="56"/>
        <v>0</v>
      </c>
    </row>
    <row r="1211" spans="2:12" x14ac:dyDescent="0.85">
      <c r="B1211" s="46">
        <v>1205</v>
      </c>
      <c r="C1211" s="10"/>
      <c r="D1211" s="66"/>
      <c r="E1211" s="10"/>
      <c r="F1211" s="226"/>
      <c r="G1211" s="47">
        <v>1</v>
      </c>
      <c r="H1211" s="72"/>
      <c r="I1211" s="10"/>
      <c r="J1211" s="46">
        <f t="shared" si="54"/>
        <v>1</v>
      </c>
      <c r="K1211" s="46">
        <f t="shared" si="55"/>
        <v>0</v>
      </c>
      <c r="L1211" s="69">
        <f t="shared" si="56"/>
        <v>0</v>
      </c>
    </row>
    <row r="1212" spans="2:12" x14ac:dyDescent="0.85">
      <c r="B1212" s="48">
        <v>1206</v>
      </c>
      <c r="C1212" s="44"/>
      <c r="D1212" s="50"/>
      <c r="E1212" s="44"/>
      <c r="F1212" s="227"/>
      <c r="G1212" s="49">
        <v>1</v>
      </c>
      <c r="H1212" s="73"/>
      <c r="I1212" s="44"/>
      <c r="J1212" s="48">
        <f t="shared" si="54"/>
        <v>1</v>
      </c>
      <c r="K1212" s="48">
        <f t="shared" si="55"/>
        <v>0</v>
      </c>
      <c r="L1212" s="68">
        <f t="shared" si="56"/>
        <v>0</v>
      </c>
    </row>
    <row r="1213" spans="2:12" x14ac:dyDescent="0.85">
      <c r="B1213" s="46">
        <v>1207</v>
      </c>
      <c r="C1213" s="10"/>
      <c r="D1213" s="66"/>
      <c r="E1213" s="10"/>
      <c r="F1213" s="226"/>
      <c r="G1213" s="47">
        <v>1</v>
      </c>
      <c r="H1213" s="72"/>
      <c r="I1213" s="10"/>
      <c r="J1213" s="46">
        <f t="shared" si="54"/>
        <v>1</v>
      </c>
      <c r="K1213" s="46">
        <f t="shared" si="55"/>
        <v>0</v>
      </c>
      <c r="L1213" s="69">
        <f t="shared" si="56"/>
        <v>0</v>
      </c>
    </row>
    <row r="1214" spans="2:12" x14ac:dyDescent="0.85">
      <c r="B1214" s="48">
        <v>1208</v>
      </c>
      <c r="C1214" s="44"/>
      <c r="D1214" s="50"/>
      <c r="E1214" s="44"/>
      <c r="F1214" s="227"/>
      <c r="G1214" s="49">
        <v>1</v>
      </c>
      <c r="H1214" s="73"/>
      <c r="I1214" s="44"/>
      <c r="J1214" s="48">
        <f t="shared" si="54"/>
        <v>1</v>
      </c>
      <c r="K1214" s="48">
        <f t="shared" si="55"/>
        <v>0</v>
      </c>
      <c r="L1214" s="68">
        <f t="shared" si="56"/>
        <v>0</v>
      </c>
    </row>
    <row r="1215" spans="2:12" x14ac:dyDescent="0.85">
      <c r="B1215" s="46">
        <v>1209</v>
      </c>
      <c r="C1215" s="10"/>
      <c r="D1215" s="66"/>
      <c r="E1215" s="10"/>
      <c r="F1215" s="226"/>
      <c r="G1215" s="47">
        <v>1</v>
      </c>
      <c r="H1215" s="72"/>
      <c r="I1215" s="10"/>
      <c r="J1215" s="46">
        <f t="shared" si="54"/>
        <v>1</v>
      </c>
      <c r="K1215" s="46">
        <f t="shared" si="55"/>
        <v>0</v>
      </c>
      <c r="L1215" s="69">
        <f t="shared" si="56"/>
        <v>0</v>
      </c>
    </row>
    <row r="1216" spans="2:12" x14ac:dyDescent="0.85">
      <c r="B1216" s="48">
        <v>1210</v>
      </c>
      <c r="C1216" s="44"/>
      <c r="D1216" s="50"/>
      <c r="E1216" s="44"/>
      <c r="F1216" s="227"/>
      <c r="G1216" s="49">
        <v>1</v>
      </c>
      <c r="H1216" s="73"/>
      <c r="I1216" s="44"/>
      <c r="J1216" s="48">
        <f t="shared" si="54"/>
        <v>1</v>
      </c>
      <c r="K1216" s="48">
        <f t="shared" si="55"/>
        <v>0</v>
      </c>
      <c r="L1216" s="68">
        <f t="shared" si="56"/>
        <v>0</v>
      </c>
    </row>
    <row r="1217" spans="2:12" x14ac:dyDescent="0.85">
      <c r="B1217" s="46">
        <v>1211</v>
      </c>
      <c r="C1217" s="10"/>
      <c r="D1217" s="66"/>
      <c r="E1217" s="10"/>
      <c r="F1217" s="226"/>
      <c r="G1217" s="47">
        <v>1</v>
      </c>
      <c r="H1217" s="72"/>
      <c r="I1217" s="10"/>
      <c r="J1217" s="46">
        <f t="shared" si="54"/>
        <v>1</v>
      </c>
      <c r="K1217" s="46">
        <f t="shared" si="55"/>
        <v>0</v>
      </c>
      <c r="L1217" s="69">
        <f t="shared" si="56"/>
        <v>0</v>
      </c>
    </row>
    <row r="1218" spans="2:12" x14ac:dyDescent="0.85">
      <c r="B1218" s="48">
        <v>1212</v>
      </c>
      <c r="C1218" s="44"/>
      <c r="D1218" s="50"/>
      <c r="E1218" s="44"/>
      <c r="F1218" s="227"/>
      <c r="G1218" s="49">
        <v>1</v>
      </c>
      <c r="H1218" s="73"/>
      <c r="I1218" s="44"/>
      <c r="J1218" s="48">
        <f t="shared" si="54"/>
        <v>1</v>
      </c>
      <c r="K1218" s="48">
        <f t="shared" si="55"/>
        <v>0</v>
      </c>
      <c r="L1218" s="68">
        <f t="shared" si="56"/>
        <v>0</v>
      </c>
    </row>
    <row r="1219" spans="2:12" x14ac:dyDescent="0.85">
      <c r="B1219" s="46">
        <v>1213</v>
      </c>
      <c r="C1219" s="10"/>
      <c r="D1219" s="66"/>
      <c r="E1219" s="10"/>
      <c r="F1219" s="226"/>
      <c r="G1219" s="47">
        <v>1</v>
      </c>
      <c r="H1219" s="72"/>
      <c r="I1219" s="10"/>
      <c r="J1219" s="46">
        <f t="shared" si="54"/>
        <v>1</v>
      </c>
      <c r="K1219" s="46">
        <f t="shared" si="55"/>
        <v>0</v>
      </c>
      <c r="L1219" s="69">
        <f t="shared" si="56"/>
        <v>0</v>
      </c>
    </row>
    <row r="1220" spans="2:12" x14ac:dyDescent="0.85">
      <c r="B1220" s="48">
        <v>1214</v>
      </c>
      <c r="C1220" s="44"/>
      <c r="D1220" s="50"/>
      <c r="E1220" s="44"/>
      <c r="F1220" s="227"/>
      <c r="G1220" s="49">
        <v>1</v>
      </c>
      <c r="H1220" s="73"/>
      <c r="I1220" s="44"/>
      <c r="J1220" s="48">
        <f t="shared" si="54"/>
        <v>1</v>
      </c>
      <c r="K1220" s="48">
        <f t="shared" si="55"/>
        <v>0</v>
      </c>
      <c r="L1220" s="68">
        <f t="shared" si="56"/>
        <v>0</v>
      </c>
    </row>
    <row r="1221" spans="2:12" x14ac:dyDescent="0.85">
      <c r="B1221" s="46">
        <v>1215</v>
      </c>
      <c r="C1221" s="10"/>
      <c r="D1221" s="66"/>
      <c r="E1221" s="10"/>
      <c r="F1221" s="226"/>
      <c r="G1221" s="47">
        <v>1</v>
      </c>
      <c r="H1221" s="72"/>
      <c r="I1221" s="10"/>
      <c r="J1221" s="46">
        <f t="shared" si="54"/>
        <v>1</v>
      </c>
      <c r="K1221" s="46">
        <f t="shared" si="55"/>
        <v>0</v>
      </c>
      <c r="L1221" s="69">
        <f t="shared" si="56"/>
        <v>0</v>
      </c>
    </row>
    <row r="1222" spans="2:12" x14ac:dyDescent="0.85">
      <c r="B1222" s="48">
        <v>1216</v>
      </c>
      <c r="C1222" s="44"/>
      <c r="D1222" s="50"/>
      <c r="E1222" s="44"/>
      <c r="F1222" s="227"/>
      <c r="G1222" s="49">
        <v>1</v>
      </c>
      <c r="H1222" s="73"/>
      <c r="I1222" s="44"/>
      <c r="J1222" s="48">
        <f t="shared" si="54"/>
        <v>1</v>
      </c>
      <c r="K1222" s="48">
        <f t="shared" si="55"/>
        <v>0</v>
      </c>
      <c r="L1222" s="68">
        <f t="shared" si="56"/>
        <v>0</v>
      </c>
    </row>
    <row r="1223" spans="2:12" x14ac:dyDescent="0.85">
      <c r="B1223" s="46">
        <v>1217</v>
      </c>
      <c r="C1223" s="10"/>
      <c r="D1223" s="66"/>
      <c r="E1223" s="10"/>
      <c r="F1223" s="226"/>
      <c r="G1223" s="47">
        <v>1</v>
      </c>
      <c r="H1223" s="72"/>
      <c r="I1223" s="10"/>
      <c r="J1223" s="46">
        <f t="shared" ref="J1223:J1286" si="57">IF(ISBLANK(H1223),1,H1223)</f>
        <v>1</v>
      </c>
      <c r="K1223" s="46">
        <f t="shared" ref="K1223:K1286" si="58">IF(COUNTIF(FreeElements, E1223)&gt;0, F1223, 0)</f>
        <v>0</v>
      </c>
      <c r="L1223" s="69">
        <f t="shared" ref="L1223:L1286" si="59">J1223*K1223</f>
        <v>0</v>
      </c>
    </row>
    <row r="1224" spans="2:12" x14ac:dyDescent="0.85">
      <c r="B1224" s="48">
        <v>1218</v>
      </c>
      <c r="C1224" s="44"/>
      <c r="D1224" s="50"/>
      <c r="E1224" s="44"/>
      <c r="F1224" s="227"/>
      <c r="G1224" s="49">
        <v>1</v>
      </c>
      <c r="H1224" s="73"/>
      <c r="I1224" s="44"/>
      <c r="J1224" s="48">
        <f t="shared" si="57"/>
        <v>1</v>
      </c>
      <c r="K1224" s="48">
        <f t="shared" si="58"/>
        <v>0</v>
      </c>
      <c r="L1224" s="68">
        <f t="shared" si="59"/>
        <v>0</v>
      </c>
    </row>
    <row r="1225" spans="2:12" x14ac:dyDescent="0.85">
      <c r="B1225" s="46">
        <v>1219</v>
      </c>
      <c r="C1225" s="10"/>
      <c r="D1225" s="66"/>
      <c r="E1225" s="10"/>
      <c r="F1225" s="226"/>
      <c r="G1225" s="47">
        <v>1</v>
      </c>
      <c r="H1225" s="72"/>
      <c r="I1225" s="10"/>
      <c r="J1225" s="46">
        <f t="shared" si="57"/>
        <v>1</v>
      </c>
      <c r="K1225" s="46">
        <f t="shared" si="58"/>
        <v>0</v>
      </c>
      <c r="L1225" s="69">
        <f t="shared" si="59"/>
        <v>0</v>
      </c>
    </row>
    <row r="1226" spans="2:12" x14ac:dyDescent="0.85">
      <c r="B1226" s="48">
        <v>1220</v>
      </c>
      <c r="C1226" s="44"/>
      <c r="D1226" s="50"/>
      <c r="E1226" s="44"/>
      <c r="F1226" s="227"/>
      <c r="G1226" s="49">
        <v>1</v>
      </c>
      <c r="H1226" s="73"/>
      <c r="I1226" s="44"/>
      <c r="J1226" s="48">
        <f t="shared" si="57"/>
        <v>1</v>
      </c>
      <c r="K1226" s="48">
        <f t="shared" si="58"/>
        <v>0</v>
      </c>
      <c r="L1226" s="68">
        <f t="shared" si="59"/>
        <v>0</v>
      </c>
    </row>
    <row r="1227" spans="2:12" x14ac:dyDescent="0.85">
      <c r="B1227" s="46">
        <v>1221</v>
      </c>
      <c r="C1227" s="10"/>
      <c r="D1227" s="66"/>
      <c r="E1227" s="10"/>
      <c r="F1227" s="226"/>
      <c r="G1227" s="47">
        <v>1</v>
      </c>
      <c r="H1227" s="72"/>
      <c r="I1227" s="10"/>
      <c r="J1227" s="46">
        <f t="shared" si="57"/>
        <v>1</v>
      </c>
      <c r="K1227" s="46">
        <f t="shared" si="58"/>
        <v>0</v>
      </c>
      <c r="L1227" s="69">
        <f t="shared" si="59"/>
        <v>0</v>
      </c>
    </row>
    <row r="1228" spans="2:12" x14ac:dyDescent="0.85">
      <c r="B1228" s="48">
        <v>1222</v>
      </c>
      <c r="C1228" s="44"/>
      <c r="D1228" s="50"/>
      <c r="E1228" s="44"/>
      <c r="F1228" s="227"/>
      <c r="G1228" s="49">
        <v>1</v>
      </c>
      <c r="H1228" s="73"/>
      <c r="I1228" s="44"/>
      <c r="J1228" s="48">
        <f t="shared" si="57"/>
        <v>1</v>
      </c>
      <c r="K1228" s="48">
        <f t="shared" si="58"/>
        <v>0</v>
      </c>
      <c r="L1228" s="68">
        <f t="shared" si="59"/>
        <v>0</v>
      </c>
    </row>
    <row r="1229" spans="2:12" x14ac:dyDescent="0.85">
      <c r="B1229" s="46">
        <v>1223</v>
      </c>
      <c r="C1229" s="10"/>
      <c r="D1229" s="66"/>
      <c r="E1229" s="10"/>
      <c r="F1229" s="226"/>
      <c r="G1229" s="47">
        <v>1</v>
      </c>
      <c r="H1229" s="72"/>
      <c r="I1229" s="10"/>
      <c r="J1229" s="46">
        <f t="shared" si="57"/>
        <v>1</v>
      </c>
      <c r="K1229" s="46">
        <f t="shared" si="58"/>
        <v>0</v>
      </c>
      <c r="L1229" s="69">
        <f t="shared" si="59"/>
        <v>0</v>
      </c>
    </row>
    <row r="1230" spans="2:12" x14ac:dyDescent="0.85">
      <c r="B1230" s="48">
        <v>1224</v>
      </c>
      <c r="C1230" s="44"/>
      <c r="D1230" s="50"/>
      <c r="E1230" s="44"/>
      <c r="F1230" s="227"/>
      <c r="G1230" s="49">
        <v>1</v>
      </c>
      <c r="H1230" s="73"/>
      <c r="I1230" s="44"/>
      <c r="J1230" s="48">
        <f t="shared" si="57"/>
        <v>1</v>
      </c>
      <c r="K1230" s="48">
        <f t="shared" si="58"/>
        <v>0</v>
      </c>
      <c r="L1230" s="68">
        <f t="shared" si="59"/>
        <v>0</v>
      </c>
    </row>
    <row r="1231" spans="2:12" x14ac:dyDescent="0.85">
      <c r="B1231" s="46">
        <v>1225</v>
      </c>
      <c r="C1231" s="10"/>
      <c r="D1231" s="66"/>
      <c r="E1231" s="10"/>
      <c r="F1231" s="226"/>
      <c r="G1231" s="47">
        <v>1</v>
      </c>
      <c r="H1231" s="72"/>
      <c r="I1231" s="10"/>
      <c r="J1231" s="46">
        <f t="shared" si="57"/>
        <v>1</v>
      </c>
      <c r="K1231" s="46">
        <f t="shared" si="58"/>
        <v>0</v>
      </c>
      <c r="L1231" s="69">
        <f t="shared" si="59"/>
        <v>0</v>
      </c>
    </row>
    <row r="1232" spans="2:12" x14ac:dyDescent="0.85">
      <c r="B1232" s="48">
        <v>1226</v>
      </c>
      <c r="C1232" s="44"/>
      <c r="D1232" s="50"/>
      <c r="E1232" s="44"/>
      <c r="F1232" s="227"/>
      <c r="G1232" s="49">
        <v>1</v>
      </c>
      <c r="H1232" s="73"/>
      <c r="I1232" s="44"/>
      <c r="J1232" s="48">
        <f t="shared" si="57"/>
        <v>1</v>
      </c>
      <c r="K1232" s="48">
        <f t="shared" si="58"/>
        <v>0</v>
      </c>
      <c r="L1232" s="68">
        <f t="shared" si="59"/>
        <v>0</v>
      </c>
    </row>
    <row r="1233" spans="2:12" x14ac:dyDescent="0.85">
      <c r="B1233" s="46">
        <v>1227</v>
      </c>
      <c r="C1233" s="10"/>
      <c r="D1233" s="66"/>
      <c r="E1233" s="10"/>
      <c r="F1233" s="226"/>
      <c r="G1233" s="47">
        <v>1</v>
      </c>
      <c r="H1233" s="72"/>
      <c r="I1233" s="10"/>
      <c r="J1233" s="46">
        <f t="shared" si="57"/>
        <v>1</v>
      </c>
      <c r="K1233" s="46">
        <f t="shared" si="58"/>
        <v>0</v>
      </c>
      <c r="L1233" s="69">
        <f t="shared" si="59"/>
        <v>0</v>
      </c>
    </row>
    <row r="1234" spans="2:12" x14ac:dyDescent="0.85">
      <c r="B1234" s="48">
        <v>1228</v>
      </c>
      <c r="C1234" s="44"/>
      <c r="D1234" s="50"/>
      <c r="E1234" s="44"/>
      <c r="F1234" s="227"/>
      <c r="G1234" s="49">
        <v>1</v>
      </c>
      <c r="H1234" s="73"/>
      <c r="I1234" s="44"/>
      <c r="J1234" s="48">
        <f t="shared" si="57"/>
        <v>1</v>
      </c>
      <c r="K1234" s="48">
        <f t="shared" si="58"/>
        <v>0</v>
      </c>
      <c r="L1234" s="68">
        <f t="shared" si="59"/>
        <v>0</v>
      </c>
    </row>
    <row r="1235" spans="2:12" x14ac:dyDescent="0.85">
      <c r="B1235" s="46">
        <v>1229</v>
      </c>
      <c r="C1235" s="10"/>
      <c r="D1235" s="66"/>
      <c r="E1235" s="10"/>
      <c r="F1235" s="226"/>
      <c r="G1235" s="47">
        <v>1</v>
      </c>
      <c r="H1235" s="72"/>
      <c r="I1235" s="10"/>
      <c r="J1235" s="46">
        <f t="shared" si="57"/>
        <v>1</v>
      </c>
      <c r="K1235" s="46">
        <f t="shared" si="58"/>
        <v>0</v>
      </c>
      <c r="L1235" s="69">
        <f t="shared" si="59"/>
        <v>0</v>
      </c>
    </row>
    <row r="1236" spans="2:12" x14ac:dyDescent="0.85">
      <c r="B1236" s="48">
        <v>1230</v>
      </c>
      <c r="C1236" s="44"/>
      <c r="D1236" s="50"/>
      <c r="E1236" s="44"/>
      <c r="F1236" s="227"/>
      <c r="G1236" s="49">
        <v>1</v>
      </c>
      <c r="H1236" s="73"/>
      <c r="I1236" s="44"/>
      <c r="J1236" s="48">
        <f t="shared" si="57"/>
        <v>1</v>
      </c>
      <c r="K1236" s="48">
        <f t="shared" si="58"/>
        <v>0</v>
      </c>
      <c r="L1236" s="68">
        <f t="shared" si="59"/>
        <v>0</v>
      </c>
    </row>
    <row r="1237" spans="2:12" x14ac:dyDescent="0.85">
      <c r="B1237" s="46">
        <v>1231</v>
      </c>
      <c r="C1237" s="10"/>
      <c r="D1237" s="66"/>
      <c r="E1237" s="10"/>
      <c r="F1237" s="226"/>
      <c r="G1237" s="47">
        <v>1</v>
      </c>
      <c r="H1237" s="72"/>
      <c r="I1237" s="10"/>
      <c r="J1237" s="46">
        <f t="shared" si="57"/>
        <v>1</v>
      </c>
      <c r="K1237" s="46">
        <f t="shared" si="58"/>
        <v>0</v>
      </c>
      <c r="L1237" s="69">
        <f t="shared" si="59"/>
        <v>0</v>
      </c>
    </row>
    <row r="1238" spans="2:12" x14ac:dyDescent="0.85">
      <c r="B1238" s="48">
        <v>1232</v>
      </c>
      <c r="C1238" s="44"/>
      <c r="D1238" s="50"/>
      <c r="E1238" s="44"/>
      <c r="F1238" s="227"/>
      <c r="G1238" s="49">
        <v>1</v>
      </c>
      <c r="H1238" s="73"/>
      <c r="I1238" s="44"/>
      <c r="J1238" s="48">
        <f t="shared" si="57"/>
        <v>1</v>
      </c>
      <c r="K1238" s="48">
        <f t="shared" si="58"/>
        <v>0</v>
      </c>
      <c r="L1238" s="68">
        <f t="shared" si="59"/>
        <v>0</v>
      </c>
    </row>
    <row r="1239" spans="2:12" x14ac:dyDescent="0.85">
      <c r="B1239" s="46">
        <v>1233</v>
      </c>
      <c r="C1239" s="10"/>
      <c r="D1239" s="66"/>
      <c r="E1239" s="10"/>
      <c r="F1239" s="226"/>
      <c r="G1239" s="47">
        <v>1</v>
      </c>
      <c r="H1239" s="72"/>
      <c r="I1239" s="10"/>
      <c r="J1239" s="46">
        <f t="shared" si="57"/>
        <v>1</v>
      </c>
      <c r="K1239" s="46">
        <f t="shared" si="58"/>
        <v>0</v>
      </c>
      <c r="L1239" s="69">
        <f t="shared" si="59"/>
        <v>0</v>
      </c>
    </row>
    <row r="1240" spans="2:12" x14ac:dyDescent="0.85">
      <c r="B1240" s="48">
        <v>1234</v>
      </c>
      <c r="C1240" s="44"/>
      <c r="D1240" s="50"/>
      <c r="E1240" s="44"/>
      <c r="F1240" s="227"/>
      <c r="G1240" s="49">
        <v>1</v>
      </c>
      <c r="H1240" s="73"/>
      <c r="I1240" s="44"/>
      <c r="J1240" s="48">
        <f t="shared" si="57"/>
        <v>1</v>
      </c>
      <c r="K1240" s="48">
        <f t="shared" si="58"/>
        <v>0</v>
      </c>
      <c r="L1240" s="68">
        <f t="shared" si="59"/>
        <v>0</v>
      </c>
    </row>
    <row r="1241" spans="2:12" x14ac:dyDescent="0.85">
      <c r="B1241" s="46">
        <v>1235</v>
      </c>
      <c r="C1241" s="10"/>
      <c r="D1241" s="66"/>
      <c r="E1241" s="10"/>
      <c r="F1241" s="226"/>
      <c r="G1241" s="47">
        <v>1</v>
      </c>
      <c r="H1241" s="72"/>
      <c r="I1241" s="10"/>
      <c r="J1241" s="46">
        <f t="shared" si="57"/>
        <v>1</v>
      </c>
      <c r="K1241" s="46">
        <f t="shared" si="58"/>
        <v>0</v>
      </c>
      <c r="L1241" s="69">
        <f t="shared" si="59"/>
        <v>0</v>
      </c>
    </row>
    <row r="1242" spans="2:12" x14ac:dyDescent="0.85">
      <c r="B1242" s="48">
        <v>1236</v>
      </c>
      <c r="C1242" s="44"/>
      <c r="D1242" s="50"/>
      <c r="E1242" s="44"/>
      <c r="F1242" s="227"/>
      <c r="G1242" s="49">
        <v>1</v>
      </c>
      <c r="H1242" s="73"/>
      <c r="I1242" s="44"/>
      <c r="J1242" s="48">
        <f t="shared" si="57"/>
        <v>1</v>
      </c>
      <c r="K1242" s="48">
        <f t="shared" si="58"/>
        <v>0</v>
      </c>
      <c r="L1242" s="68">
        <f t="shared" si="59"/>
        <v>0</v>
      </c>
    </row>
    <row r="1243" spans="2:12" x14ac:dyDescent="0.85">
      <c r="B1243" s="46">
        <v>1237</v>
      </c>
      <c r="C1243" s="10"/>
      <c r="D1243" s="66"/>
      <c r="E1243" s="10"/>
      <c r="F1243" s="226"/>
      <c r="G1243" s="47">
        <v>1</v>
      </c>
      <c r="H1243" s="72"/>
      <c r="I1243" s="10"/>
      <c r="J1243" s="46">
        <f t="shared" si="57"/>
        <v>1</v>
      </c>
      <c r="K1243" s="46">
        <f t="shared" si="58"/>
        <v>0</v>
      </c>
      <c r="L1243" s="69">
        <f t="shared" si="59"/>
        <v>0</v>
      </c>
    </row>
    <row r="1244" spans="2:12" x14ac:dyDescent="0.85">
      <c r="B1244" s="48">
        <v>1238</v>
      </c>
      <c r="C1244" s="44"/>
      <c r="D1244" s="50"/>
      <c r="E1244" s="44"/>
      <c r="F1244" s="227"/>
      <c r="G1244" s="49">
        <v>1</v>
      </c>
      <c r="H1244" s="73"/>
      <c r="I1244" s="44"/>
      <c r="J1244" s="48">
        <f t="shared" si="57"/>
        <v>1</v>
      </c>
      <c r="K1244" s="48">
        <f t="shared" si="58"/>
        <v>0</v>
      </c>
      <c r="L1244" s="68">
        <f t="shared" si="59"/>
        <v>0</v>
      </c>
    </row>
    <row r="1245" spans="2:12" x14ac:dyDescent="0.85">
      <c r="B1245" s="46">
        <v>1239</v>
      </c>
      <c r="C1245" s="10"/>
      <c r="D1245" s="66"/>
      <c r="E1245" s="10"/>
      <c r="F1245" s="226"/>
      <c r="G1245" s="47">
        <v>1</v>
      </c>
      <c r="H1245" s="72"/>
      <c r="I1245" s="10"/>
      <c r="J1245" s="46">
        <f t="shared" si="57"/>
        <v>1</v>
      </c>
      <c r="K1245" s="46">
        <f t="shared" si="58"/>
        <v>0</v>
      </c>
      <c r="L1245" s="69">
        <f t="shared" si="59"/>
        <v>0</v>
      </c>
    </row>
    <row r="1246" spans="2:12" x14ac:dyDescent="0.85">
      <c r="B1246" s="48">
        <v>1240</v>
      </c>
      <c r="C1246" s="44"/>
      <c r="D1246" s="50"/>
      <c r="E1246" s="44"/>
      <c r="F1246" s="227"/>
      <c r="G1246" s="49">
        <v>1</v>
      </c>
      <c r="H1246" s="73"/>
      <c r="I1246" s="44"/>
      <c r="J1246" s="48">
        <f t="shared" si="57"/>
        <v>1</v>
      </c>
      <c r="K1246" s="48">
        <f t="shared" si="58"/>
        <v>0</v>
      </c>
      <c r="L1246" s="68">
        <f t="shared" si="59"/>
        <v>0</v>
      </c>
    </row>
    <row r="1247" spans="2:12" x14ac:dyDescent="0.85">
      <c r="B1247" s="46">
        <v>1241</v>
      </c>
      <c r="C1247" s="10"/>
      <c r="D1247" s="66"/>
      <c r="E1247" s="10"/>
      <c r="F1247" s="226"/>
      <c r="G1247" s="47">
        <v>1</v>
      </c>
      <c r="H1247" s="72"/>
      <c r="I1247" s="10"/>
      <c r="J1247" s="46">
        <f t="shared" si="57"/>
        <v>1</v>
      </c>
      <c r="K1247" s="46">
        <f t="shared" si="58"/>
        <v>0</v>
      </c>
      <c r="L1247" s="69">
        <f t="shared" si="59"/>
        <v>0</v>
      </c>
    </row>
    <row r="1248" spans="2:12" x14ac:dyDescent="0.85">
      <c r="B1248" s="48">
        <v>1242</v>
      </c>
      <c r="C1248" s="44"/>
      <c r="D1248" s="50"/>
      <c r="E1248" s="44"/>
      <c r="F1248" s="227"/>
      <c r="G1248" s="49">
        <v>1</v>
      </c>
      <c r="H1248" s="73"/>
      <c r="I1248" s="44"/>
      <c r="J1248" s="48">
        <f t="shared" si="57"/>
        <v>1</v>
      </c>
      <c r="K1248" s="48">
        <f t="shared" si="58"/>
        <v>0</v>
      </c>
      <c r="L1248" s="68">
        <f t="shared" si="59"/>
        <v>0</v>
      </c>
    </row>
    <row r="1249" spans="2:12" x14ac:dyDescent="0.85">
      <c r="B1249" s="46">
        <v>1243</v>
      </c>
      <c r="C1249" s="10"/>
      <c r="D1249" s="66"/>
      <c r="E1249" s="10"/>
      <c r="F1249" s="226"/>
      <c r="G1249" s="47">
        <v>1</v>
      </c>
      <c r="H1249" s="72"/>
      <c r="I1249" s="10"/>
      <c r="J1249" s="46">
        <f t="shared" si="57"/>
        <v>1</v>
      </c>
      <c r="K1249" s="46">
        <f t="shared" si="58"/>
        <v>0</v>
      </c>
      <c r="L1249" s="69">
        <f t="shared" si="59"/>
        <v>0</v>
      </c>
    </row>
    <row r="1250" spans="2:12" x14ac:dyDescent="0.85">
      <c r="B1250" s="48">
        <v>1244</v>
      </c>
      <c r="C1250" s="44"/>
      <c r="D1250" s="50"/>
      <c r="E1250" s="44"/>
      <c r="F1250" s="227"/>
      <c r="G1250" s="49">
        <v>1</v>
      </c>
      <c r="H1250" s="73"/>
      <c r="I1250" s="44"/>
      <c r="J1250" s="48">
        <f t="shared" si="57"/>
        <v>1</v>
      </c>
      <c r="K1250" s="48">
        <f t="shared" si="58"/>
        <v>0</v>
      </c>
      <c r="L1250" s="68">
        <f t="shared" si="59"/>
        <v>0</v>
      </c>
    </row>
    <row r="1251" spans="2:12" x14ac:dyDescent="0.85">
      <c r="B1251" s="46">
        <v>1245</v>
      </c>
      <c r="C1251" s="10"/>
      <c r="D1251" s="66"/>
      <c r="E1251" s="10"/>
      <c r="F1251" s="226"/>
      <c r="G1251" s="47">
        <v>1</v>
      </c>
      <c r="H1251" s="72"/>
      <c r="I1251" s="10"/>
      <c r="J1251" s="46">
        <f t="shared" si="57"/>
        <v>1</v>
      </c>
      <c r="K1251" s="46">
        <f t="shared" si="58"/>
        <v>0</v>
      </c>
      <c r="L1251" s="69">
        <f t="shared" si="59"/>
        <v>0</v>
      </c>
    </row>
    <row r="1252" spans="2:12" x14ac:dyDescent="0.85">
      <c r="B1252" s="48">
        <v>1246</v>
      </c>
      <c r="C1252" s="44"/>
      <c r="D1252" s="50"/>
      <c r="E1252" s="44"/>
      <c r="F1252" s="227"/>
      <c r="G1252" s="49">
        <v>1</v>
      </c>
      <c r="H1252" s="73"/>
      <c r="I1252" s="44"/>
      <c r="J1252" s="48">
        <f t="shared" si="57"/>
        <v>1</v>
      </c>
      <c r="K1252" s="48">
        <f t="shared" si="58"/>
        <v>0</v>
      </c>
      <c r="L1252" s="68">
        <f t="shared" si="59"/>
        <v>0</v>
      </c>
    </row>
    <row r="1253" spans="2:12" x14ac:dyDescent="0.85">
      <c r="B1253" s="46">
        <v>1247</v>
      </c>
      <c r="C1253" s="10"/>
      <c r="D1253" s="66"/>
      <c r="E1253" s="10"/>
      <c r="F1253" s="226"/>
      <c r="G1253" s="47">
        <v>1</v>
      </c>
      <c r="H1253" s="72"/>
      <c r="I1253" s="10"/>
      <c r="J1253" s="46">
        <f t="shared" si="57"/>
        <v>1</v>
      </c>
      <c r="K1253" s="46">
        <f t="shared" si="58"/>
        <v>0</v>
      </c>
      <c r="L1253" s="69">
        <f t="shared" si="59"/>
        <v>0</v>
      </c>
    </row>
    <row r="1254" spans="2:12" x14ac:dyDescent="0.85">
      <c r="B1254" s="48">
        <v>1248</v>
      </c>
      <c r="C1254" s="44"/>
      <c r="D1254" s="50"/>
      <c r="E1254" s="44"/>
      <c r="F1254" s="227"/>
      <c r="G1254" s="49">
        <v>1</v>
      </c>
      <c r="H1254" s="73"/>
      <c r="I1254" s="44"/>
      <c r="J1254" s="48">
        <f t="shared" si="57"/>
        <v>1</v>
      </c>
      <c r="K1254" s="48">
        <f t="shared" si="58"/>
        <v>0</v>
      </c>
      <c r="L1254" s="68">
        <f t="shared" si="59"/>
        <v>0</v>
      </c>
    </row>
    <row r="1255" spans="2:12" x14ac:dyDescent="0.85">
      <c r="B1255" s="46">
        <v>1249</v>
      </c>
      <c r="C1255" s="10"/>
      <c r="D1255" s="66"/>
      <c r="E1255" s="10"/>
      <c r="F1255" s="226"/>
      <c r="G1255" s="47">
        <v>1</v>
      </c>
      <c r="H1255" s="72"/>
      <c r="I1255" s="10"/>
      <c r="J1255" s="46">
        <f t="shared" si="57"/>
        <v>1</v>
      </c>
      <c r="K1255" s="46">
        <f t="shared" si="58"/>
        <v>0</v>
      </c>
      <c r="L1255" s="69">
        <f t="shared" si="59"/>
        <v>0</v>
      </c>
    </row>
    <row r="1256" spans="2:12" x14ac:dyDescent="0.85">
      <c r="B1256" s="48">
        <v>1250</v>
      </c>
      <c r="C1256" s="44"/>
      <c r="D1256" s="50"/>
      <c r="E1256" s="44"/>
      <c r="F1256" s="227"/>
      <c r="G1256" s="49">
        <v>1</v>
      </c>
      <c r="H1256" s="73"/>
      <c r="I1256" s="44"/>
      <c r="J1256" s="48">
        <f t="shared" si="57"/>
        <v>1</v>
      </c>
      <c r="K1256" s="48">
        <f t="shared" si="58"/>
        <v>0</v>
      </c>
      <c r="L1256" s="68">
        <f t="shared" si="59"/>
        <v>0</v>
      </c>
    </row>
    <row r="1257" spans="2:12" x14ac:dyDescent="0.85">
      <c r="B1257" s="46">
        <v>1251</v>
      </c>
      <c r="C1257" s="10"/>
      <c r="D1257" s="66"/>
      <c r="E1257" s="10"/>
      <c r="F1257" s="226"/>
      <c r="G1257" s="47">
        <v>1</v>
      </c>
      <c r="H1257" s="72"/>
      <c r="I1257" s="10"/>
      <c r="J1257" s="46">
        <f t="shared" si="57"/>
        <v>1</v>
      </c>
      <c r="K1257" s="46">
        <f t="shared" si="58"/>
        <v>0</v>
      </c>
      <c r="L1257" s="69">
        <f t="shared" si="59"/>
        <v>0</v>
      </c>
    </row>
    <row r="1258" spans="2:12" x14ac:dyDescent="0.85">
      <c r="B1258" s="48">
        <v>1252</v>
      </c>
      <c r="C1258" s="44"/>
      <c r="D1258" s="50"/>
      <c r="E1258" s="44"/>
      <c r="F1258" s="227"/>
      <c r="G1258" s="49">
        <v>1</v>
      </c>
      <c r="H1258" s="73"/>
      <c r="I1258" s="44"/>
      <c r="J1258" s="48">
        <f t="shared" si="57"/>
        <v>1</v>
      </c>
      <c r="K1258" s="48">
        <f t="shared" si="58"/>
        <v>0</v>
      </c>
      <c r="L1258" s="68">
        <f t="shared" si="59"/>
        <v>0</v>
      </c>
    </row>
    <row r="1259" spans="2:12" x14ac:dyDescent="0.85">
      <c r="B1259" s="46">
        <v>1253</v>
      </c>
      <c r="C1259" s="10"/>
      <c r="D1259" s="66"/>
      <c r="E1259" s="10"/>
      <c r="F1259" s="226"/>
      <c r="G1259" s="47">
        <v>1</v>
      </c>
      <c r="H1259" s="72"/>
      <c r="I1259" s="10"/>
      <c r="J1259" s="46">
        <f t="shared" si="57"/>
        <v>1</v>
      </c>
      <c r="K1259" s="46">
        <f t="shared" si="58"/>
        <v>0</v>
      </c>
      <c r="L1259" s="69">
        <f t="shared" si="59"/>
        <v>0</v>
      </c>
    </row>
    <row r="1260" spans="2:12" x14ac:dyDescent="0.85">
      <c r="B1260" s="48">
        <v>1254</v>
      </c>
      <c r="C1260" s="44"/>
      <c r="D1260" s="50"/>
      <c r="E1260" s="44"/>
      <c r="F1260" s="227"/>
      <c r="G1260" s="49">
        <v>1</v>
      </c>
      <c r="H1260" s="73"/>
      <c r="I1260" s="44"/>
      <c r="J1260" s="48">
        <f t="shared" si="57"/>
        <v>1</v>
      </c>
      <c r="K1260" s="48">
        <f t="shared" si="58"/>
        <v>0</v>
      </c>
      <c r="L1260" s="68">
        <f t="shared" si="59"/>
        <v>0</v>
      </c>
    </row>
    <row r="1261" spans="2:12" x14ac:dyDescent="0.85">
      <c r="B1261" s="46">
        <v>1255</v>
      </c>
      <c r="C1261" s="10"/>
      <c r="D1261" s="66"/>
      <c r="E1261" s="10"/>
      <c r="F1261" s="226"/>
      <c r="G1261" s="47">
        <v>1</v>
      </c>
      <c r="H1261" s="72"/>
      <c r="I1261" s="10"/>
      <c r="J1261" s="46">
        <f t="shared" si="57"/>
        <v>1</v>
      </c>
      <c r="K1261" s="46">
        <f t="shared" si="58"/>
        <v>0</v>
      </c>
      <c r="L1261" s="69">
        <f t="shared" si="59"/>
        <v>0</v>
      </c>
    </row>
    <row r="1262" spans="2:12" x14ac:dyDescent="0.85">
      <c r="B1262" s="48">
        <v>1256</v>
      </c>
      <c r="C1262" s="44"/>
      <c r="D1262" s="50"/>
      <c r="E1262" s="44"/>
      <c r="F1262" s="227"/>
      <c r="G1262" s="49">
        <v>1</v>
      </c>
      <c r="H1262" s="73"/>
      <c r="I1262" s="44"/>
      <c r="J1262" s="48">
        <f t="shared" si="57"/>
        <v>1</v>
      </c>
      <c r="K1262" s="48">
        <f t="shared" si="58"/>
        <v>0</v>
      </c>
      <c r="L1262" s="68">
        <f t="shared" si="59"/>
        <v>0</v>
      </c>
    </row>
    <row r="1263" spans="2:12" x14ac:dyDescent="0.85">
      <c r="B1263" s="46">
        <v>1257</v>
      </c>
      <c r="C1263" s="10"/>
      <c r="D1263" s="66"/>
      <c r="E1263" s="10"/>
      <c r="F1263" s="226"/>
      <c r="G1263" s="47">
        <v>1</v>
      </c>
      <c r="H1263" s="72"/>
      <c r="I1263" s="10"/>
      <c r="J1263" s="46">
        <f t="shared" si="57"/>
        <v>1</v>
      </c>
      <c r="K1263" s="46">
        <f t="shared" si="58"/>
        <v>0</v>
      </c>
      <c r="L1263" s="69">
        <f t="shared" si="59"/>
        <v>0</v>
      </c>
    </row>
    <row r="1264" spans="2:12" x14ac:dyDescent="0.85">
      <c r="B1264" s="48">
        <v>1258</v>
      </c>
      <c r="C1264" s="44"/>
      <c r="D1264" s="50"/>
      <c r="E1264" s="44"/>
      <c r="F1264" s="227"/>
      <c r="G1264" s="49">
        <v>1</v>
      </c>
      <c r="H1264" s="73"/>
      <c r="I1264" s="44"/>
      <c r="J1264" s="48">
        <f t="shared" si="57"/>
        <v>1</v>
      </c>
      <c r="K1264" s="48">
        <f t="shared" si="58"/>
        <v>0</v>
      </c>
      <c r="L1264" s="68">
        <f t="shared" si="59"/>
        <v>0</v>
      </c>
    </row>
    <row r="1265" spans="2:12" x14ac:dyDescent="0.85">
      <c r="B1265" s="46">
        <v>1259</v>
      </c>
      <c r="C1265" s="10"/>
      <c r="D1265" s="66"/>
      <c r="E1265" s="10"/>
      <c r="F1265" s="226"/>
      <c r="G1265" s="47">
        <v>1</v>
      </c>
      <c r="H1265" s="72"/>
      <c r="I1265" s="10"/>
      <c r="J1265" s="46">
        <f t="shared" si="57"/>
        <v>1</v>
      </c>
      <c r="K1265" s="46">
        <f t="shared" si="58"/>
        <v>0</v>
      </c>
      <c r="L1265" s="69">
        <f t="shared" si="59"/>
        <v>0</v>
      </c>
    </row>
    <row r="1266" spans="2:12" x14ac:dyDescent="0.85">
      <c r="B1266" s="48">
        <v>1260</v>
      </c>
      <c r="C1266" s="44"/>
      <c r="D1266" s="50"/>
      <c r="E1266" s="44"/>
      <c r="F1266" s="227"/>
      <c r="G1266" s="49">
        <v>1</v>
      </c>
      <c r="H1266" s="73"/>
      <c r="I1266" s="44"/>
      <c r="J1266" s="48">
        <f t="shared" si="57"/>
        <v>1</v>
      </c>
      <c r="K1266" s="48">
        <f t="shared" si="58"/>
        <v>0</v>
      </c>
      <c r="L1266" s="68">
        <f t="shared" si="59"/>
        <v>0</v>
      </c>
    </row>
    <row r="1267" spans="2:12" x14ac:dyDescent="0.85">
      <c r="B1267" s="46">
        <v>1261</v>
      </c>
      <c r="C1267" s="10"/>
      <c r="D1267" s="66"/>
      <c r="E1267" s="10"/>
      <c r="F1267" s="226"/>
      <c r="G1267" s="47">
        <v>1</v>
      </c>
      <c r="H1267" s="72"/>
      <c r="I1267" s="10"/>
      <c r="J1267" s="46">
        <f t="shared" si="57"/>
        <v>1</v>
      </c>
      <c r="K1267" s="46">
        <f t="shared" si="58"/>
        <v>0</v>
      </c>
      <c r="L1267" s="69">
        <f t="shared" si="59"/>
        <v>0</v>
      </c>
    </row>
    <row r="1268" spans="2:12" x14ac:dyDescent="0.85">
      <c r="B1268" s="48">
        <v>1262</v>
      </c>
      <c r="C1268" s="44"/>
      <c r="D1268" s="50"/>
      <c r="E1268" s="44"/>
      <c r="F1268" s="227"/>
      <c r="G1268" s="49">
        <v>1</v>
      </c>
      <c r="H1268" s="73"/>
      <c r="I1268" s="44"/>
      <c r="J1268" s="48">
        <f t="shared" si="57"/>
        <v>1</v>
      </c>
      <c r="K1268" s="48">
        <f t="shared" si="58"/>
        <v>0</v>
      </c>
      <c r="L1268" s="68">
        <f t="shared" si="59"/>
        <v>0</v>
      </c>
    </row>
    <row r="1269" spans="2:12" x14ac:dyDescent="0.85">
      <c r="B1269" s="46">
        <v>1263</v>
      </c>
      <c r="C1269" s="10"/>
      <c r="D1269" s="66"/>
      <c r="E1269" s="10"/>
      <c r="F1269" s="226"/>
      <c r="G1269" s="47">
        <v>1</v>
      </c>
      <c r="H1269" s="72"/>
      <c r="I1269" s="10"/>
      <c r="J1269" s="46">
        <f t="shared" si="57"/>
        <v>1</v>
      </c>
      <c r="K1269" s="46">
        <f t="shared" si="58"/>
        <v>0</v>
      </c>
      <c r="L1269" s="69">
        <f t="shared" si="59"/>
        <v>0</v>
      </c>
    </row>
    <row r="1270" spans="2:12" x14ac:dyDescent="0.85">
      <c r="B1270" s="48">
        <v>1264</v>
      </c>
      <c r="C1270" s="44"/>
      <c r="D1270" s="50"/>
      <c r="E1270" s="44"/>
      <c r="F1270" s="227"/>
      <c r="G1270" s="49">
        <v>1</v>
      </c>
      <c r="H1270" s="73"/>
      <c r="I1270" s="44"/>
      <c r="J1270" s="48">
        <f t="shared" si="57"/>
        <v>1</v>
      </c>
      <c r="K1270" s="48">
        <f t="shared" si="58"/>
        <v>0</v>
      </c>
      <c r="L1270" s="68">
        <f t="shared" si="59"/>
        <v>0</v>
      </c>
    </row>
    <row r="1271" spans="2:12" x14ac:dyDescent="0.85">
      <c r="B1271" s="46">
        <v>1265</v>
      </c>
      <c r="C1271" s="10"/>
      <c r="D1271" s="66"/>
      <c r="E1271" s="10"/>
      <c r="F1271" s="226"/>
      <c r="G1271" s="47">
        <v>1</v>
      </c>
      <c r="H1271" s="72"/>
      <c r="I1271" s="10"/>
      <c r="J1271" s="46">
        <f t="shared" si="57"/>
        <v>1</v>
      </c>
      <c r="K1271" s="46">
        <f t="shared" si="58"/>
        <v>0</v>
      </c>
      <c r="L1271" s="69">
        <f t="shared" si="59"/>
        <v>0</v>
      </c>
    </row>
    <row r="1272" spans="2:12" x14ac:dyDescent="0.85">
      <c r="B1272" s="48">
        <v>1266</v>
      </c>
      <c r="C1272" s="44"/>
      <c r="D1272" s="50"/>
      <c r="E1272" s="44"/>
      <c r="F1272" s="227"/>
      <c r="G1272" s="49">
        <v>1</v>
      </c>
      <c r="H1272" s="73"/>
      <c r="I1272" s="44"/>
      <c r="J1272" s="48">
        <f t="shared" si="57"/>
        <v>1</v>
      </c>
      <c r="K1272" s="48">
        <f t="shared" si="58"/>
        <v>0</v>
      </c>
      <c r="L1272" s="68">
        <f t="shared" si="59"/>
        <v>0</v>
      </c>
    </row>
    <row r="1273" spans="2:12" x14ac:dyDescent="0.85">
      <c r="B1273" s="46">
        <v>1267</v>
      </c>
      <c r="C1273" s="10"/>
      <c r="D1273" s="66"/>
      <c r="E1273" s="10"/>
      <c r="F1273" s="226"/>
      <c r="G1273" s="47">
        <v>1</v>
      </c>
      <c r="H1273" s="72"/>
      <c r="I1273" s="10"/>
      <c r="J1273" s="46">
        <f t="shared" si="57"/>
        <v>1</v>
      </c>
      <c r="K1273" s="46">
        <f t="shared" si="58"/>
        <v>0</v>
      </c>
      <c r="L1273" s="69">
        <f t="shared" si="59"/>
        <v>0</v>
      </c>
    </row>
    <row r="1274" spans="2:12" x14ac:dyDescent="0.85">
      <c r="B1274" s="48">
        <v>1268</v>
      </c>
      <c r="C1274" s="44"/>
      <c r="D1274" s="50"/>
      <c r="E1274" s="44"/>
      <c r="F1274" s="227"/>
      <c r="G1274" s="49">
        <v>1</v>
      </c>
      <c r="H1274" s="73"/>
      <c r="I1274" s="44"/>
      <c r="J1274" s="48">
        <f t="shared" si="57"/>
        <v>1</v>
      </c>
      <c r="K1274" s="48">
        <f t="shared" si="58"/>
        <v>0</v>
      </c>
      <c r="L1274" s="68">
        <f t="shared" si="59"/>
        <v>0</v>
      </c>
    </row>
    <row r="1275" spans="2:12" x14ac:dyDescent="0.85">
      <c r="B1275" s="46">
        <v>1269</v>
      </c>
      <c r="C1275" s="10"/>
      <c r="D1275" s="66"/>
      <c r="E1275" s="10"/>
      <c r="F1275" s="226"/>
      <c r="G1275" s="47">
        <v>1</v>
      </c>
      <c r="H1275" s="72"/>
      <c r="I1275" s="10"/>
      <c r="J1275" s="46">
        <f t="shared" si="57"/>
        <v>1</v>
      </c>
      <c r="K1275" s="46">
        <f t="shared" si="58"/>
        <v>0</v>
      </c>
      <c r="L1275" s="69">
        <f t="shared" si="59"/>
        <v>0</v>
      </c>
    </row>
    <row r="1276" spans="2:12" x14ac:dyDescent="0.85">
      <c r="B1276" s="48">
        <v>1270</v>
      </c>
      <c r="C1276" s="44"/>
      <c r="D1276" s="50"/>
      <c r="E1276" s="44"/>
      <c r="F1276" s="227"/>
      <c r="G1276" s="49">
        <v>1</v>
      </c>
      <c r="H1276" s="73"/>
      <c r="I1276" s="44"/>
      <c r="J1276" s="48">
        <f t="shared" si="57"/>
        <v>1</v>
      </c>
      <c r="K1276" s="48">
        <f t="shared" si="58"/>
        <v>0</v>
      </c>
      <c r="L1276" s="68">
        <f t="shared" si="59"/>
        <v>0</v>
      </c>
    </row>
    <row r="1277" spans="2:12" x14ac:dyDescent="0.85">
      <c r="B1277" s="46">
        <v>1271</v>
      </c>
      <c r="C1277" s="10"/>
      <c r="D1277" s="66"/>
      <c r="E1277" s="10"/>
      <c r="F1277" s="226"/>
      <c r="G1277" s="47">
        <v>1</v>
      </c>
      <c r="H1277" s="72"/>
      <c r="I1277" s="10"/>
      <c r="J1277" s="46">
        <f t="shared" si="57"/>
        <v>1</v>
      </c>
      <c r="K1277" s="46">
        <f t="shared" si="58"/>
        <v>0</v>
      </c>
      <c r="L1277" s="69">
        <f t="shared" si="59"/>
        <v>0</v>
      </c>
    </row>
    <row r="1278" spans="2:12" x14ac:dyDescent="0.85">
      <c r="B1278" s="48">
        <v>1272</v>
      </c>
      <c r="C1278" s="44"/>
      <c r="D1278" s="50"/>
      <c r="E1278" s="44"/>
      <c r="F1278" s="227"/>
      <c r="G1278" s="49">
        <v>1</v>
      </c>
      <c r="H1278" s="73"/>
      <c r="I1278" s="44"/>
      <c r="J1278" s="48">
        <f t="shared" si="57"/>
        <v>1</v>
      </c>
      <c r="K1278" s="48">
        <f t="shared" si="58"/>
        <v>0</v>
      </c>
      <c r="L1278" s="68">
        <f t="shared" si="59"/>
        <v>0</v>
      </c>
    </row>
    <row r="1279" spans="2:12" x14ac:dyDescent="0.85">
      <c r="B1279" s="46">
        <v>1273</v>
      </c>
      <c r="C1279" s="10"/>
      <c r="D1279" s="66"/>
      <c r="E1279" s="10"/>
      <c r="F1279" s="226"/>
      <c r="G1279" s="47">
        <v>1</v>
      </c>
      <c r="H1279" s="72"/>
      <c r="I1279" s="10"/>
      <c r="J1279" s="46">
        <f t="shared" si="57"/>
        <v>1</v>
      </c>
      <c r="K1279" s="46">
        <f t="shared" si="58"/>
        <v>0</v>
      </c>
      <c r="L1279" s="69">
        <f t="shared" si="59"/>
        <v>0</v>
      </c>
    </row>
    <row r="1280" spans="2:12" x14ac:dyDescent="0.85">
      <c r="B1280" s="48">
        <v>1274</v>
      </c>
      <c r="C1280" s="44"/>
      <c r="D1280" s="50"/>
      <c r="E1280" s="44"/>
      <c r="F1280" s="227"/>
      <c r="G1280" s="49">
        <v>1</v>
      </c>
      <c r="H1280" s="73"/>
      <c r="I1280" s="44"/>
      <c r="J1280" s="48">
        <f t="shared" si="57"/>
        <v>1</v>
      </c>
      <c r="K1280" s="48">
        <f t="shared" si="58"/>
        <v>0</v>
      </c>
      <c r="L1280" s="68">
        <f t="shared" si="59"/>
        <v>0</v>
      </c>
    </row>
    <row r="1281" spans="2:12" x14ac:dyDescent="0.85">
      <c r="B1281" s="46">
        <v>1275</v>
      </c>
      <c r="C1281" s="10"/>
      <c r="D1281" s="66"/>
      <c r="E1281" s="10"/>
      <c r="F1281" s="226"/>
      <c r="G1281" s="47">
        <v>1</v>
      </c>
      <c r="H1281" s="72"/>
      <c r="I1281" s="10"/>
      <c r="J1281" s="46">
        <f t="shared" si="57"/>
        <v>1</v>
      </c>
      <c r="K1281" s="46">
        <f t="shared" si="58"/>
        <v>0</v>
      </c>
      <c r="L1281" s="69">
        <f t="shared" si="59"/>
        <v>0</v>
      </c>
    </row>
    <row r="1282" spans="2:12" x14ac:dyDescent="0.85">
      <c r="B1282" s="48">
        <v>1276</v>
      </c>
      <c r="C1282" s="44"/>
      <c r="D1282" s="50"/>
      <c r="E1282" s="44"/>
      <c r="F1282" s="227"/>
      <c r="G1282" s="49">
        <v>1</v>
      </c>
      <c r="H1282" s="73"/>
      <c r="I1282" s="44"/>
      <c r="J1282" s="48">
        <f t="shared" si="57"/>
        <v>1</v>
      </c>
      <c r="K1282" s="48">
        <f t="shared" si="58"/>
        <v>0</v>
      </c>
      <c r="L1282" s="68">
        <f t="shared" si="59"/>
        <v>0</v>
      </c>
    </row>
    <row r="1283" spans="2:12" x14ac:dyDescent="0.85">
      <c r="B1283" s="46">
        <v>1277</v>
      </c>
      <c r="C1283" s="10"/>
      <c r="D1283" s="66"/>
      <c r="E1283" s="10"/>
      <c r="F1283" s="226"/>
      <c r="G1283" s="47">
        <v>1</v>
      </c>
      <c r="H1283" s="72"/>
      <c r="I1283" s="10"/>
      <c r="J1283" s="46">
        <f t="shared" si="57"/>
        <v>1</v>
      </c>
      <c r="K1283" s="46">
        <f t="shared" si="58"/>
        <v>0</v>
      </c>
      <c r="L1283" s="69">
        <f t="shared" si="59"/>
        <v>0</v>
      </c>
    </row>
    <row r="1284" spans="2:12" x14ac:dyDescent="0.85">
      <c r="B1284" s="48">
        <v>1278</v>
      </c>
      <c r="C1284" s="44"/>
      <c r="D1284" s="50"/>
      <c r="E1284" s="44"/>
      <c r="F1284" s="227"/>
      <c r="G1284" s="49">
        <v>1</v>
      </c>
      <c r="H1284" s="73"/>
      <c r="I1284" s="44"/>
      <c r="J1284" s="48">
        <f t="shared" si="57"/>
        <v>1</v>
      </c>
      <c r="K1284" s="48">
        <f t="shared" si="58"/>
        <v>0</v>
      </c>
      <c r="L1284" s="68">
        <f t="shared" si="59"/>
        <v>0</v>
      </c>
    </row>
    <row r="1285" spans="2:12" x14ac:dyDescent="0.85">
      <c r="B1285" s="46">
        <v>1279</v>
      </c>
      <c r="C1285" s="10"/>
      <c r="D1285" s="66"/>
      <c r="E1285" s="10"/>
      <c r="F1285" s="226"/>
      <c r="G1285" s="47">
        <v>1</v>
      </c>
      <c r="H1285" s="72"/>
      <c r="I1285" s="10"/>
      <c r="J1285" s="46">
        <f t="shared" si="57"/>
        <v>1</v>
      </c>
      <c r="K1285" s="46">
        <f t="shared" si="58"/>
        <v>0</v>
      </c>
      <c r="L1285" s="69">
        <f t="shared" si="59"/>
        <v>0</v>
      </c>
    </row>
    <row r="1286" spans="2:12" x14ac:dyDescent="0.85">
      <c r="B1286" s="48">
        <v>1280</v>
      </c>
      <c r="C1286" s="44"/>
      <c r="D1286" s="50"/>
      <c r="E1286" s="44"/>
      <c r="F1286" s="227"/>
      <c r="G1286" s="49">
        <v>1</v>
      </c>
      <c r="H1286" s="73"/>
      <c r="I1286" s="44"/>
      <c r="J1286" s="48">
        <f t="shared" si="57"/>
        <v>1</v>
      </c>
      <c r="K1286" s="48">
        <f t="shared" si="58"/>
        <v>0</v>
      </c>
      <c r="L1286" s="68">
        <f t="shared" si="59"/>
        <v>0</v>
      </c>
    </row>
    <row r="1287" spans="2:12" x14ac:dyDescent="0.85">
      <c r="B1287" s="46">
        <v>1281</v>
      </c>
      <c r="C1287" s="10"/>
      <c r="D1287" s="66"/>
      <c r="E1287" s="10"/>
      <c r="F1287" s="226"/>
      <c r="G1287" s="47">
        <v>1</v>
      </c>
      <c r="H1287" s="72"/>
      <c r="I1287" s="10"/>
      <c r="J1287" s="46">
        <f t="shared" ref="J1287:J1350" si="60">IF(ISBLANK(H1287),1,H1287)</f>
        <v>1</v>
      </c>
      <c r="K1287" s="46">
        <f t="shared" ref="K1287:K1350" si="61">IF(COUNTIF(FreeElements, E1287)&gt;0, F1287, 0)</f>
        <v>0</v>
      </c>
      <c r="L1287" s="69">
        <f t="shared" ref="L1287:L1350" si="62">J1287*K1287</f>
        <v>0</v>
      </c>
    </row>
    <row r="1288" spans="2:12" x14ac:dyDescent="0.85">
      <c r="B1288" s="48">
        <v>1282</v>
      </c>
      <c r="C1288" s="44"/>
      <c r="D1288" s="50"/>
      <c r="E1288" s="44"/>
      <c r="F1288" s="227"/>
      <c r="G1288" s="49">
        <v>1</v>
      </c>
      <c r="H1288" s="73"/>
      <c r="I1288" s="44"/>
      <c r="J1288" s="48">
        <f t="shared" si="60"/>
        <v>1</v>
      </c>
      <c r="K1288" s="48">
        <f t="shared" si="61"/>
        <v>0</v>
      </c>
      <c r="L1288" s="68">
        <f t="shared" si="62"/>
        <v>0</v>
      </c>
    </row>
    <row r="1289" spans="2:12" x14ac:dyDescent="0.85">
      <c r="B1289" s="46">
        <v>1283</v>
      </c>
      <c r="C1289" s="10"/>
      <c r="D1289" s="66"/>
      <c r="E1289" s="10"/>
      <c r="F1289" s="226"/>
      <c r="G1289" s="47">
        <v>1</v>
      </c>
      <c r="H1289" s="72"/>
      <c r="I1289" s="10"/>
      <c r="J1289" s="46">
        <f t="shared" si="60"/>
        <v>1</v>
      </c>
      <c r="K1289" s="46">
        <f t="shared" si="61"/>
        <v>0</v>
      </c>
      <c r="L1289" s="69">
        <f t="shared" si="62"/>
        <v>0</v>
      </c>
    </row>
    <row r="1290" spans="2:12" x14ac:dyDescent="0.85">
      <c r="B1290" s="48">
        <v>1284</v>
      </c>
      <c r="C1290" s="44"/>
      <c r="D1290" s="50"/>
      <c r="E1290" s="44"/>
      <c r="F1290" s="227"/>
      <c r="G1290" s="49">
        <v>1</v>
      </c>
      <c r="H1290" s="73"/>
      <c r="I1290" s="44"/>
      <c r="J1290" s="48">
        <f t="shared" si="60"/>
        <v>1</v>
      </c>
      <c r="K1290" s="48">
        <f t="shared" si="61"/>
        <v>0</v>
      </c>
      <c r="L1290" s="68">
        <f t="shared" si="62"/>
        <v>0</v>
      </c>
    </row>
    <row r="1291" spans="2:12" x14ac:dyDescent="0.85">
      <c r="B1291" s="46">
        <v>1285</v>
      </c>
      <c r="C1291" s="10"/>
      <c r="D1291" s="66"/>
      <c r="E1291" s="10"/>
      <c r="F1291" s="226"/>
      <c r="G1291" s="47">
        <v>1</v>
      </c>
      <c r="H1291" s="72"/>
      <c r="I1291" s="10"/>
      <c r="J1291" s="46">
        <f t="shared" si="60"/>
        <v>1</v>
      </c>
      <c r="K1291" s="46">
        <f t="shared" si="61"/>
        <v>0</v>
      </c>
      <c r="L1291" s="69">
        <f t="shared" si="62"/>
        <v>0</v>
      </c>
    </row>
    <row r="1292" spans="2:12" x14ac:dyDescent="0.85">
      <c r="B1292" s="48">
        <v>1286</v>
      </c>
      <c r="C1292" s="44"/>
      <c r="D1292" s="50"/>
      <c r="E1292" s="44"/>
      <c r="F1292" s="227"/>
      <c r="G1292" s="49">
        <v>1</v>
      </c>
      <c r="H1292" s="73"/>
      <c r="I1292" s="44"/>
      <c r="J1292" s="48">
        <f t="shared" si="60"/>
        <v>1</v>
      </c>
      <c r="K1292" s="48">
        <f t="shared" si="61"/>
        <v>0</v>
      </c>
      <c r="L1292" s="68">
        <f t="shared" si="62"/>
        <v>0</v>
      </c>
    </row>
    <row r="1293" spans="2:12" x14ac:dyDescent="0.85">
      <c r="B1293" s="46">
        <v>1287</v>
      </c>
      <c r="C1293" s="10"/>
      <c r="D1293" s="66"/>
      <c r="E1293" s="10"/>
      <c r="F1293" s="226"/>
      <c r="G1293" s="47">
        <v>1</v>
      </c>
      <c r="H1293" s="72"/>
      <c r="I1293" s="10"/>
      <c r="J1293" s="46">
        <f t="shared" si="60"/>
        <v>1</v>
      </c>
      <c r="K1293" s="46">
        <f t="shared" si="61"/>
        <v>0</v>
      </c>
      <c r="L1293" s="69">
        <f t="shared" si="62"/>
        <v>0</v>
      </c>
    </row>
    <row r="1294" spans="2:12" x14ac:dyDescent="0.85">
      <c r="B1294" s="48">
        <v>1288</v>
      </c>
      <c r="C1294" s="44"/>
      <c r="D1294" s="50"/>
      <c r="E1294" s="44"/>
      <c r="F1294" s="227"/>
      <c r="G1294" s="49">
        <v>1</v>
      </c>
      <c r="H1294" s="73"/>
      <c r="I1294" s="44"/>
      <c r="J1294" s="48">
        <f t="shared" si="60"/>
        <v>1</v>
      </c>
      <c r="K1294" s="48">
        <f t="shared" si="61"/>
        <v>0</v>
      </c>
      <c r="L1294" s="68">
        <f t="shared" si="62"/>
        <v>0</v>
      </c>
    </row>
    <row r="1295" spans="2:12" x14ac:dyDescent="0.85">
      <c r="B1295" s="46">
        <v>1289</v>
      </c>
      <c r="C1295" s="10"/>
      <c r="D1295" s="66"/>
      <c r="E1295" s="10"/>
      <c r="F1295" s="226"/>
      <c r="G1295" s="47">
        <v>1</v>
      </c>
      <c r="H1295" s="72"/>
      <c r="I1295" s="10"/>
      <c r="J1295" s="46">
        <f t="shared" si="60"/>
        <v>1</v>
      </c>
      <c r="K1295" s="46">
        <f t="shared" si="61"/>
        <v>0</v>
      </c>
      <c r="L1295" s="69">
        <f t="shared" si="62"/>
        <v>0</v>
      </c>
    </row>
    <row r="1296" spans="2:12" x14ac:dyDescent="0.85">
      <c r="B1296" s="48">
        <v>1290</v>
      </c>
      <c r="C1296" s="44"/>
      <c r="D1296" s="50"/>
      <c r="E1296" s="44"/>
      <c r="F1296" s="227"/>
      <c r="G1296" s="49">
        <v>1</v>
      </c>
      <c r="H1296" s="73"/>
      <c r="I1296" s="44"/>
      <c r="J1296" s="48">
        <f t="shared" si="60"/>
        <v>1</v>
      </c>
      <c r="K1296" s="48">
        <f t="shared" si="61"/>
        <v>0</v>
      </c>
      <c r="L1296" s="68">
        <f t="shared" si="62"/>
        <v>0</v>
      </c>
    </row>
    <row r="1297" spans="2:12" x14ac:dyDescent="0.85">
      <c r="B1297" s="46">
        <v>1291</v>
      </c>
      <c r="C1297" s="10"/>
      <c r="D1297" s="66"/>
      <c r="E1297" s="10"/>
      <c r="F1297" s="226"/>
      <c r="G1297" s="47">
        <v>1</v>
      </c>
      <c r="H1297" s="72"/>
      <c r="I1297" s="10"/>
      <c r="J1297" s="46">
        <f t="shared" si="60"/>
        <v>1</v>
      </c>
      <c r="K1297" s="46">
        <f t="shared" si="61"/>
        <v>0</v>
      </c>
      <c r="L1297" s="69">
        <f t="shared" si="62"/>
        <v>0</v>
      </c>
    </row>
    <row r="1298" spans="2:12" x14ac:dyDescent="0.85">
      <c r="B1298" s="48">
        <v>1292</v>
      </c>
      <c r="C1298" s="44"/>
      <c r="D1298" s="50"/>
      <c r="E1298" s="44"/>
      <c r="F1298" s="227"/>
      <c r="G1298" s="49">
        <v>1</v>
      </c>
      <c r="H1298" s="73"/>
      <c r="I1298" s="44"/>
      <c r="J1298" s="48">
        <f t="shared" si="60"/>
        <v>1</v>
      </c>
      <c r="K1298" s="48">
        <f t="shared" si="61"/>
        <v>0</v>
      </c>
      <c r="L1298" s="68">
        <f t="shared" si="62"/>
        <v>0</v>
      </c>
    </row>
    <row r="1299" spans="2:12" x14ac:dyDescent="0.85">
      <c r="B1299" s="46">
        <v>1293</v>
      </c>
      <c r="C1299" s="10"/>
      <c r="D1299" s="66"/>
      <c r="E1299" s="10"/>
      <c r="F1299" s="226"/>
      <c r="G1299" s="47">
        <v>1</v>
      </c>
      <c r="H1299" s="72"/>
      <c r="I1299" s="10"/>
      <c r="J1299" s="46">
        <f t="shared" si="60"/>
        <v>1</v>
      </c>
      <c r="K1299" s="46">
        <f t="shared" si="61"/>
        <v>0</v>
      </c>
      <c r="L1299" s="69">
        <f t="shared" si="62"/>
        <v>0</v>
      </c>
    </row>
    <row r="1300" spans="2:12" x14ac:dyDescent="0.85">
      <c r="B1300" s="48">
        <v>1294</v>
      </c>
      <c r="C1300" s="44"/>
      <c r="D1300" s="50"/>
      <c r="E1300" s="44"/>
      <c r="F1300" s="227"/>
      <c r="G1300" s="49">
        <v>1</v>
      </c>
      <c r="H1300" s="73"/>
      <c r="I1300" s="44"/>
      <c r="J1300" s="48">
        <f t="shared" si="60"/>
        <v>1</v>
      </c>
      <c r="K1300" s="48">
        <f t="shared" si="61"/>
        <v>0</v>
      </c>
      <c r="L1300" s="68">
        <f t="shared" si="62"/>
        <v>0</v>
      </c>
    </row>
    <row r="1301" spans="2:12" x14ac:dyDescent="0.85">
      <c r="B1301" s="46">
        <v>1295</v>
      </c>
      <c r="C1301" s="10"/>
      <c r="D1301" s="66"/>
      <c r="E1301" s="10"/>
      <c r="F1301" s="226"/>
      <c r="G1301" s="47">
        <v>1</v>
      </c>
      <c r="H1301" s="72"/>
      <c r="I1301" s="10"/>
      <c r="J1301" s="46">
        <f t="shared" si="60"/>
        <v>1</v>
      </c>
      <c r="K1301" s="46">
        <f t="shared" si="61"/>
        <v>0</v>
      </c>
      <c r="L1301" s="69">
        <f t="shared" si="62"/>
        <v>0</v>
      </c>
    </row>
    <row r="1302" spans="2:12" x14ac:dyDescent="0.85">
      <c r="B1302" s="48">
        <v>1296</v>
      </c>
      <c r="C1302" s="44"/>
      <c r="D1302" s="50"/>
      <c r="E1302" s="44"/>
      <c r="F1302" s="227"/>
      <c r="G1302" s="49">
        <v>1</v>
      </c>
      <c r="H1302" s="73"/>
      <c r="I1302" s="44"/>
      <c r="J1302" s="48">
        <f t="shared" si="60"/>
        <v>1</v>
      </c>
      <c r="K1302" s="48">
        <f t="shared" si="61"/>
        <v>0</v>
      </c>
      <c r="L1302" s="68">
        <f t="shared" si="62"/>
        <v>0</v>
      </c>
    </row>
    <row r="1303" spans="2:12" x14ac:dyDescent="0.85">
      <c r="B1303" s="46">
        <v>1297</v>
      </c>
      <c r="C1303" s="10"/>
      <c r="D1303" s="66"/>
      <c r="E1303" s="10"/>
      <c r="F1303" s="226"/>
      <c r="G1303" s="47">
        <v>1</v>
      </c>
      <c r="H1303" s="72"/>
      <c r="I1303" s="10"/>
      <c r="J1303" s="46">
        <f t="shared" si="60"/>
        <v>1</v>
      </c>
      <c r="K1303" s="46">
        <f t="shared" si="61"/>
        <v>0</v>
      </c>
      <c r="L1303" s="69">
        <f t="shared" si="62"/>
        <v>0</v>
      </c>
    </row>
    <row r="1304" spans="2:12" x14ac:dyDescent="0.85">
      <c r="B1304" s="48">
        <v>1298</v>
      </c>
      <c r="C1304" s="44"/>
      <c r="D1304" s="50"/>
      <c r="E1304" s="44"/>
      <c r="F1304" s="227"/>
      <c r="G1304" s="49">
        <v>1</v>
      </c>
      <c r="H1304" s="73"/>
      <c r="I1304" s="44"/>
      <c r="J1304" s="48">
        <f t="shared" si="60"/>
        <v>1</v>
      </c>
      <c r="K1304" s="48">
        <f t="shared" si="61"/>
        <v>0</v>
      </c>
      <c r="L1304" s="68">
        <f t="shared" si="62"/>
        <v>0</v>
      </c>
    </row>
    <row r="1305" spans="2:12" x14ac:dyDescent="0.85">
      <c r="B1305" s="46">
        <v>1299</v>
      </c>
      <c r="C1305" s="10"/>
      <c r="D1305" s="66"/>
      <c r="E1305" s="10"/>
      <c r="F1305" s="226"/>
      <c r="G1305" s="47">
        <v>1</v>
      </c>
      <c r="H1305" s="72"/>
      <c r="I1305" s="10"/>
      <c r="J1305" s="46">
        <f t="shared" si="60"/>
        <v>1</v>
      </c>
      <c r="K1305" s="46">
        <f t="shared" si="61"/>
        <v>0</v>
      </c>
      <c r="L1305" s="69">
        <f t="shared" si="62"/>
        <v>0</v>
      </c>
    </row>
    <row r="1306" spans="2:12" x14ac:dyDescent="0.85">
      <c r="B1306" s="48">
        <v>1300</v>
      </c>
      <c r="C1306" s="44"/>
      <c r="D1306" s="50"/>
      <c r="E1306" s="44"/>
      <c r="F1306" s="227"/>
      <c r="G1306" s="49">
        <v>1</v>
      </c>
      <c r="H1306" s="73"/>
      <c r="I1306" s="44"/>
      <c r="J1306" s="48">
        <f t="shared" si="60"/>
        <v>1</v>
      </c>
      <c r="K1306" s="48">
        <f t="shared" si="61"/>
        <v>0</v>
      </c>
      <c r="L1306" s="68">
        <f t="shared" si="62"/>
        <v>0</v>
      </c>
    </row>
    <row r="1307" spans="2:12" x14ac:dyDescent="0.85">
      <c r="B1307" s="46">
        <v>1301</v>
      </c>
      <c r="C1307" s="10"/>
      <c r="D1307" s="66"/>
      <c r="E1307" s="10"/>
      <c r="F1307" s="226"/>
      <c r="G1307" s="47">
        <v>1</v>
      </c>
      <c r="H1307" s="72"/>
      <c r="I1307" s="10"/>
      <c r="J1307" s="46">
        <f t="shared" si="60"/>
        <v>1</v>
      </c>
      <c r="K1307" s="46">
        <f t="shared" si="61"/>
        <v>0</v>
      </c>
      <c r="L1307" s="69">
        <f t="shared" si="62"/>
        <v>0</v>
      </c>
    </row>
    <row r="1308" spans="2:12" x14ac:dyDescent="0.85">
      <c r="B1308" s="48">
        <v>1302</v>
      </c>
      <c r="C1308" s="44"/>
      <c r="D1308" s="50"/>
      <c r="E1308" s="44"/>
      <c r="F1308" s="227"/>
      <c r="G1308" s="49">
        <v>1</v>
      </c>
      <c r="H1308" s="73"/>
      <c r="I1308" s="44"/>
      <c r="J1308" s="48">
        <f t="shared" si="60"/>
        <v>1</v>
      </c>
      <c r="K1308" s="48">
        <f t="shared" si="61"/>
        <v>0</v>
      </c>
      <c r="L1308" s="68">
        <f t="shared" si="62"/>
        <v>0</v>
      </c>
    </row>
    <row r="1309" spans="2:12" x14ac:dyDescent="0.85">
      <c r="B1309" s="46">
        <v>1303</v>
      </c>
      <c r="C1309" s="10"/>
      <c r="D1309" s="66"/>
      <c r="E1309" s="10"/>
      <c r="F1309" s="226"/>
      <c r="G1309" s="47">
        <v>1</v>
      </c>
      <c r="H1309" s="72"/>
      <c r="I1309" s="10"/>
      <c r="J1309" s="46">
        <f t="shared" si="60"/>
        <v>1</v>
      </c>
      <c r="K1309" s="46">
        <f t="shared" si="61"/>
        <v>0</v>
      </c>
      <c r="L1309" s="69">
        <f t="shared" si="62"/>
        <v>0</v>
      </c>
    </row>
    <row r="1310" spans="2:12" x14ac:dyDescent="0.85">
      <c r="B1310" s="48">
        <v>1304</v>
      </c>
      <c r="C1310" s="44"/>
      <c r="D1310" s="50"/>
      <c r="E1310" s="44"/>
      <c r="F1310" s="227"/>
      <c r="G1310" s="49">
        <v>1</v>
      </c>
      <c r="H1310" s="73"/>
      <c r="I1310" s="44"/>
      <c r="J1310" s="48">
        <f t="shared" si="60"/>
        <v>1</v>
      </c>
      <c r="K1310" s="48">
        <f t="shared" si="61"/>
        <v>0</v>
      </c>
      <c r="L1310" s="68">
        <f t="shared" si="62"/>
        <v>0</v>
      </c>
    </row>
    <row r="1311" spans="2:12" x14ac:dyDescent="0.85">
      <c r="B1311" s="46">
        <v>1305</v>
      </c>
      <c r="C1311" s="10"/>
      <c r="D1311" s="66"/>
      <c r="E1311" s="10"/>
      <c r="F1311" s="226"/>
      <c r="G1311" s="47">
        <v>1</v>
      </c>
      <c r="H1311" s="72"/>
      <c r="I1311" s="10"/>
      <c r="J1311" s="46">
        <f t="shared" si="60"/>
        <v>1</v>
      </c>
      <c r="K1311" s="46">
        <f t="shared" si="61"/>
        <v>0</v>
      </c>
      <c r="L1311" s="69">
        <f t="shared" si="62"/>
        <v>0</v>
      </c>
    </row>
    <row r="1312" spans="2:12" x14ac:dyDescent="0.85">
      <c r="B1312" s="48">
        <v>1306</v>
      </c>
      <c r="C1312" s="44"/>
      <c r="D1312" s="50"/>
      <c r="E1312" s="44"/>
      <c r="F1312" s="227"/>
      <c r="G1312" s="49">
        <v>1</v>
      </c>
      <c r="H1312" s="73"/>
      <c r="I1312" s="44"/>
      <c r="J1312" s="48">
        <f t="shared" si="60"/>
        <v>1</v>
      </c>
      <c r="K1312" s="48">
        <f t="shared" si="61"/>
        <v>0</v>
      </c>
      <c r="L1312" s="68">
        <f t="shared" si="62"/>
        <v>0</v>
      </c>
    </row>
    <row r="1313" spans="2:12" x14ac:dyDescent="0.85">
      <c r="B1313" s="46">
        <v>1307</v>
      </c>
      <c r="C1313" s="10"/>
      <c r="D1313" s="66"/>
      <c r="E1313" s="10"/>
      <c r="F1313" s="226"/>
      <c r="G1313" s="47">
        <v>1</v>
      </c>
      <c r="H1313" s="72"/>
      <c r="I1313" s="10"/>
      <c r="J1313" s="46">
        <f t="shared" si="60"/>
        <v>1</v>
      </c>
      <c r="K1313" s="46">
        <f t="shared" si="61"/>
        <v>0</v>
      </c>
      <c r="L1313" s="69">
        <f t="shared" si="62"/>
        <v>0</v>
      </c>
    </row>
    <row r="1314" spans="2:12" x14ac:dyDescent="0.85">
      <c r="B1314" s="48">
        <v>1308</v>
      </c>
      <c r="C1314" s="44"/>
      <c r="D1314" s="50"/>
      <c r="E1314" s="44"/>
      <c r="F1314" s="227"/>
      <c r="G1314" s="49">
        <v>1</v>
      </c>
      <c r="H1314" s="73"/>
      <c r="I1314" s="44"/>
      <c r="J1314" s="48">
        <f t="shared" si="60"/>
        <v>1</v>
      </c>
      <c r="K1314" s="48">
        <f t="shared" si="61"/>
        <v>0</v>
      </c>
      <c r="L1314" s="68">
        <f t="shared" si="62"/>
        <v>0</v>
      </c>
    </row>
    <row r="1315" spans="2:12" x14ac:dyDescent="0.85">
      <c r="B1315" s="46">
        <v>1309</v>
      </c>
      <c r="C1315" s="10"/>
      <c r="D1315" s="66"/>
      <c r="E1315" s="10"/>
      <c r="F1315" s="226"/>
      <c r="G1315" s="47">
        <v>1</v>
      </c>
      <c r="H1315" s="72"/>
      <c r="I1315" s="10"/>
      <c r="J1315" s="46">
        <f t="shared" si="60"/>
        <v>1</v>
      </c>
      <c r="K1315" s="46">
        <f t="shared" si="61"/>
        <v>0</v>
      </c>
      <c r="L1315" s="69">
        <f t="shared" si="62"/>
        <v>0</v>
      </c>
    </row>
    <row r="1316" spans="2:12" x14ac:dyDescent="0.85">
      <c r="B1316" s="48">
        <v>1310</v>
      </c>
      <c r="C1316" s="44"/>
      <c r="D1316" s="50"/>
      <c r="E1316" s="44"/>
      <c r="F1316" s="227"/>
      <c r="G1316" s="49">
        <v>1</v>
      </c>
      <c r="H1316" s="73"/>
      <c r="I1316" s="44"/>
      <c r="J1316" s="48">
        <f t="shared" si="60"/>
        <v>1</v>
      </c>
      <c r="K1316" s="48">
        <f t="shared" si="61"/>
        <v>0</v>
      </c>
      <c r="L1316" s="68">
        <f t="shared" si="62"/>
        <v>0</v>
      </c>
    </row>
    <row r="1317" spans="2:12" x14ac:dyDescent="0.85">
      <c r="B1317" s="46">
        <v>1311</v>
      </c>
      <c r="C1317" s="10"/>
      <c r="D1317" s="66"/>
      <c r="E1317" s="10"/>
      <c r="F1317" s="226"/>
      <c r="G1317" s="47">
        <v>1</v>
      </c>
      <c r="H1317" s="72"/>
      <c r="I1317" s="10"/>
      <c r="J1317" s="46">
        <f t="shared" si="60"/>
        <v>1</v>
      </c>
      <c r="K1317" s="46">
        <f t="shared" si="61"/>
        <v>0</v>
      </c>
      <c r="L1317" s="69">
        <f t="shared" si="62"/>
        <v>0</v>
      </c>
    </row>
    <row r="1318" spans="2:12" x14ac:dyDescent="0.85">
      <c r="B1318" s="48">
        <v>1312</v>
      </c>
      <c r="C1318" s="44"/>
      <c r="D1318" s="50"/>
      <c r="E1318" s="44"/>
      <c r="F1318" s="227"/>
      <c r="G1318" s="49">
        <v>1</v>
      </c>
      <c r="H1318" s="73"/>
      <c r="I1318" s="44"/>
      <c r="J1318" s="48">
        <f t="shared" si="60"/>
        <v>1</v>
      </c>
      <c r="K1318" s="48">
        <f t="shared" si="61"/>
        <v>0</v>
      </c>
      <c r="L1318" s="68">
        <f t="shared" si="62"/>
        <v>0</v>
      </c>
    </row>
    <row r="1319" spans="2:12" x14ac:dyDescent="0.85">
      <c r="B1319" s="46">
        <v>1313</v>
      </c>
      <c r="C1319" s="10"/>
      <c r="D1319" s="66"/>
      <c r="E1319" s="10"/>
      <c r="F1319" s="226"/>
      <c r="G1319" s="47">
        <v>1</v>
      </c>
      <c r="H1319" s="72"/>
      <c r="I1319" s="10"/>
      <c r="J1319" s="46">
        <f t="shared" si="60"/>
        <v>1</v>
      </c>
      <c r="K1319" s="46">
        <f t="shared" si="61"/>
        <v>0</v>
      </c>
      <c r="L1319" s="69">
        <f t="shared" si="62"/>
        <v>0</v>
      </c>
    </row>
    <row r="1320" spans="2:12" x14ac:dyDescent="0.85">
      <c r="B1320" s="48">
        <v>1314</v>
      </c>
      <c r="C1320" s="44"/>
      <c r="D1320" s="50"/>
      <c r="E1320" s="44"/>
      <c r="F1320" s="227"/>
      <c r="G1320" s="49">
        <v>1</v>
      </c>
      <c r="H1320" s="73"/>
      <c r="I1320" s="44"/>
      <c r="J1320" s="48">
        <f t="shared" si="60"/>
        <v>1</v>
      </c>
      <c r="K1320" s="48">
        <f t="shared" si="61"/>
        <v>0</v>
      </c>
      <c r="L1320" s="68">
        <f t="shared" si="62"/>
        <v>0</v>
      </c>
    </row>
    <row r="1321" spans="2:12" x14ac:dyDescent="0.85">
      <c r="B1321" s="46">
        <v>1315</v>
      </c>
      <c r="C1321" s="10"/>
      <c r="D1321" s="66"/>
      <c r="E1321" s="10"/>
      <c r="F1321" s="226"/>
      <c r="G1321" s="47">
        <v>1</v>
      </c>
      <c r="H1321" s="72"/>
      <c r="I1321" s="10"/>
      <c r="J1321" s="46">
        <f t="shared" si="60"/>
        <v>1</v>
      </c>
      <c r="K1321" s="46">
        <f t="shared" si="61"/>
        <v>0</v>
      </c>
      <c r="L1321" s="69">
        <f t="shared" si="62"/>
        <v>0</v>
      </c>
    </row>
    <row r="1322" spans="2:12" x14ac:dyDescent="0.85">
      <c r="B1322" s="48">
        <v>1316</v>
      </c>
      <c r="C1322" s="44"/>
      <c r="D1322" s="50"/>
      <c r="E1322" s="44"/>
      <c r="F1322" s="227"/>
      <c r="G1322" s="49">
        <v>1</v>
      </c>
      <c r="H1322" s="73"/>
      <c r="I1322" s="44"/>
      <c r="J1322" s="48">
        <f t="shared" si="60"/>
        <v>1</v>
      </c>
      <c r="K1322" s="48">
        <f t="shared" si="61"/>
        <v>0</v>
      </c>
      <c r="L1322" s="68">
        <f t="shared" si="62"/>
        <v>0</v>
      </c>
    </row>
    <row r="1323" spans="2:12" x14ac:dyDescent="0.85">
      <c r="B1323" s="46">
        <v>1317</v>
      </c>
      <c r="C1323" s="10"/>
      <c r="D1323" s="66"/>
      <c r="E1323" s="10"/>
      <c r="F1323" s="226"/>
      <c r="G1323" s="47">
        <v>1</v>
      </c>
      <c r="H1323" s="72"/>
      <c r="I1323" s="10"/>
      <c r="J1323" s="46">
        <f t="shared" si="60"/>
        <v>1</v>
      </c>
      <c r="K1323" s="46">
        <f t="shared" si="61"/>
        <v>0</v>
      </c>
      <c r="L1323" s="69">
        <f t="shared" si="62"/>
        <v>0</v>
      </c>
    </row>
    <row r="1324" spans="2:12" x14ac:dyDescent="0.85">
      <c r="B1324" s="48">
        <v>1318</v>
      </c>
      <c r="C1324" s="44"/>
      <c r="D1324" s="50"/>
      <c r="E1324" s="44"/>
      <c r="F1324" s="227"/>
      <c r="G1324" s="49">
        <v>1</v>
      </c>
      <c r="H1324" s="73"/>
      <c r="I1324" s="44"/>
      <c r="J1324" s="48">
        <f t="shared" si="60"/>
        <v>1</v>
      </c>
      <c r="K1324" s="48">
        <f t="shared" si="61"/>
        <v>0</v>
      </c>
      <c r="L1324" s="68">
        <f t="shared" si="62"/>
        <v>0</v>
      </c>
    </row>
    <row r="1325" spans="2:12" x14ac:dyDescent="0.85">
      <c r="B1325" s="46">
        <v>1319</v>
      </c>
      <c r="C1325" s="10"/>
      <c r="D1325" s="66"/>
      <c r="E1325" s="10"/>
      <c r="F1325" s="226"/>
      <c r="G1325" s="47">
        <v>1</v>
      </c>
      <c r="H1325" s="72"/>
      <c r="I1325" s="10"/>
      <c r="J1325" s="46">
        <f t="shared" si="60"/>
        <v>1</v>
      </c>
      <c r="K1325" s="46">
        <f t="shared" si="61"/>
        <v>0</v>
      </c>
      <c r="L1325" s="69">
        <f t="shared" si="62"/>
        <v>0</v>
      </c>
    </row>
    <row r="1326" spans="2:12" x14ac:dyDescent="0.85">
      <c r="B1326" s="48">
        <v>1320</v>
      </c>
      <c r="C1326" s="44"/>
      <c r="D1326" s="50"/>
      <c r="E1326" s="44"/>
      <c r="F1326" s="227"/>
      <c r="G1326" s="49">
        <v>1</v>
      </c>
      <c r="H1326" s="73"/>
      <c r="I1326" s="44"/>
      <c r="J1326" s="48">
        <f t="shared" si="60"/>
        <v>1</v>
      </c>
      <c r="K1326" s="48">
        <f t="shared" si="61"/>
        <v>0</v>
      </c>
      <c r="L1326" s="68">
        <f t="shared" si="62"/>
        <v>0</v>
      </c>
    </row>
    <row r="1327" spans="2:12" x14ac:dyDescent="0.85">
      <c r="B1327" s="46">
        <v>1321</v>
      </c>
      <c r="C1327" s="10"/>
      <c r="D1327" s="66"/>
      <c r="E1327" s="10"/>
      <c r="F1327" s="226"/>
      <c r="G1327" s="47">
        <v>1</v>
      </c>
      <c r="H1327" s="72"/>
      <c r="I1327" s="10"/>
      <c r="J1327" s="46">
        <f t="shared" si="60"/>
        <v>1</v>
      </c>
      <c r="K1327" s="46">
        <f t="shared" si="61"/>
        <v>0</v>
      </c>
      <c r="L1327" s="69">
        <f t="shared" si="62"/>
        <v>0</v>
      </c>
    </row>
    <row r="1328" spans="2:12" x14ac:dyDescent="0.85">
      <c r="B1328" s="48">
        <v>1322</v>
      </c>
      <c r="C1328" s="44"/>
      <c r="D1328" s="50"/>
      <c r="E1328" s="44"/>
      <c r="F1328" s="227"/>
      <c r="G1328" s="49">
        <v>1</v>
      </c>
      <c r="H1328" s="73"/>
      <c r="I1328" s="44"/>
      <c r="J1328" s="48">
        <f t="shared" si="60"/>
        <v>1</v>
      </c>
      <c r="K1328" s="48">
        <f t="shared" si="61"/>
        <v>0</v>
      </c>
      <c r="L1328" s="68">
        <f t="shared" si="62"/>
        <v>0</v>
      </c>
    </row>
    <row r="1329" spans="2:12" x14ac:dyDescent="0.85">
      <c r="B1329" s="46">
        <v>1323</v>
      </c>
      <c r="C1329" s="10"/>
      <c r="D1329" s="66"/>
      <c r="E1329" s="10"/>
      <c r="F1329" s="226"/>
      <c r="G1329" s="47">
        <v>1</v>
      </c>
      <c r="H1329" s="72"/>
      <c r="I1329" s="10"/>
      <c r="J1329" s="46">
        <f t="shared" si="60"/>
        <v>1</v>
      </c>
      <c r="K1329" s="46">
        <f t="shared" si="61"/>
        <v>0</v>
      </c>
      <c r="L1329" s="69">
        <f t="shared" si="62"/>
        <v>0</v>
      </c>
    </row>
    <row r="1330" spans="2:12" x14ac:dyDescent="0.85">
      <c r="B1330" s="48">
        <v>1324</v>
      </c>
      <c r="C1330" s="44"/>
      <c r="D1330" s="50"/>
      <c r="E1330" s="44"/>
      <c r="F1330" s="227"/>
      <c r="G1330" s="49">
        <v>1</v>
      </c>
      <c r="H1330" s="73"/>
      <c r="I1330" s="44"/>
      <c r="J1330" s="48">
        <f t="shared" si="60"/>
        <v>1</v>
      </c>
      <c r="K1330" s="48">
        <f t="shared" si="61"/>
        <v>0</v>
      </c>
      <c r="L1330" s="68">
        <f t="shared" si="62"/>
        <v>0</v>
      </c>
    </row>
    <row r="1331" spans="2:12" x14ac:dyDescent="0.85">
      <c r="B1331" s="46">
        <v>1325</v>
      </c>
      <c r="C1331" s="10"/>
      <c r="D1331" s="66"/>
      <c r="E1331" s="10"/>
      <c r="F1331" s="226"/>
      <c r="G1331" s="47">
        <v>1</v>
      </c>
      <c r="H1331" s="72"/>
      <c r="I1331" s="10"/>
      <c r="J1331" s="46">
        <f t="shared" si="60"/>
        <v>1</v>
      </c>
      <c r="K1331" s="46">
        <f t="shared" si="61"/>
        <v>0</v>
      </c>
      <c r="L1331" s="69">
        <f t="shared" si="62"/>
        <v>0</v>
      </c>
    </row>
    <row r="1332" spans="2:12" x14ac:dyDescent="0.85">
      <c r="B1332" s="48">
        <v>1326</v>
      </c>
      <c r="C1332" s="44"/>
      <c r="D1332" s="50"/>
      <c r="E1332" s="44"/>
      <c r="F1332" s="227"/>
      <c r="G1332" s="49">
        <v>1</v>
      </c>
      <c r="H1332" s="73"/>
      <c r="I1332" s="44"/>
      <c r="J1332" s="48">
        <f t="shared" si="60"/>
        <v>1</v>
      </c>
      <c r="K1332" s="48">
        <f t="shared" si="61"/>
        <v>0</v>
      </c>
      <c r="L1332" s="68">
        <f t="shared" si="62"/>
        <v>0</v>
      </c>
    </row>
    <row r="1333" spans="2:12" x14ac:dyDescent="0.85">
      <c r="B1333" s="46">
        <v>1327</v>
      </c>
      <c r="C1333" s="10"/>
      <c r="D1333" s="66"/>
      <c r="E1333" s="10"/>
      <c r="F1333" s="226"/>
      <c r="G1333" s="47">
        <v>1</v>
      </c>
      <c r="H1333" s="72"/>
      <c r="I1333" s="10"/>
      <c r="J1333" s="46">
        <f t="shared" si="60"/>
        <v>1</v>
      </c>
      <c r="K1333" s="46">
        <f t="shared" si="61"/>
        <v>0</v>
      </c>
      <c r="L1333" s="69">
        <f t="shared" si="62"/>
        <v>0</v>
      </c>
    </row>
    <row r="1334" spans="2:12" x14ac:dyDescent="0.85">
      <c r="B1334" s="48">
        <v>1328</v>
      </c>
      <c r="C1334" s="44"/>
      <c r="D1334" s="50"/>
      <c r="E1334" s="44"/>
      <c r="F1334" s="227"/>
      <c r="G1334" s="49">
        <v>1</v>
      </c>
      <c r="H1334" s="73"/>
      <c r="I1334" s="44"/>
      <c r="J1334" s="48">
        <f t="shared" si="60"/>
        <v>1</v>
      </c>
      <c r="K1334" s="48">
        <f t="shared" si="61"/>
        <v>0</v>
      </c>
      <c r="L1334" s="68">
        <f t="shared" si="62"/>
        <v>0</v>
      </c>
    </row>
    <row r="1335" spans="2:12" x14ac:dyDescent="0.85">
      <c r="B1335" s="46">
        <v>1329</v>
      </c>
      <c r="C1335" s="10"/>
      <c r="D1335" s="66"/>
      <c r="E1335" s="10"/>
      <c r="F1335" s="226"/>
      <c r="G1335" s="47">
        <v>1</v>
      </c>
      <c r="H1335" s="72"/>
      <c r="I1335" s="10"/>
      <c r="J1335" s="46">
        <f t="shared" si="60"/>
        <v>1</v>
      </c>
      <c r="K1335" s="46">
        <f t="shared" si="61"/>
        <v>0</v>
      </c>
      <c r="L1335" s="69">
        <f t="shared" si="62"/>
        <v>0</v>
      </c>
    </row>
    <row r="1336" spans="2:12" x14ac:dyDescent="0.85">
      <c r="B1336" s="48">
        <v>1330</v>
      </c>
      <c r="C1336" s="44"/>
      <c r="D1336" s="50"/>
      <c r="E1336" s="44"/>
      <c r="F1336" s="227"/>
      <c r="G1336" s="49">
        <v>1</v>
      </c>
      <c r="H1336" s="73"/>
      <c r="I1336" s="44"/>
      <c r="J1336" s="48">
        <f t="shared" si="60"/>
        <v>1</v>
      </c>
      <c r="K1336" s="48">
        <f t="shared" si="61"/>
        <v>0</v>
      </c>
      <c r="L1336" s="68">
        <f t="shared" si="62"/>
        <v>0</v>
      </c>
    </row>
    <row r="1337" spans="2:12" x14ac:dyDescent="0.85">
      <c r="B1337" s="46">
        <v>1331</v>
      </c>
      <c r="C1337" s="10"/>
      <c r="D1337" s="66"/>
      <c r="E1337" s="10"/>
      <c r="F1337" s="226"/>
      <c r="G1337" s="47">
        <v>1</v>
      </c>
      <c r="H1337" s="72"/>
      <c r="I1337" s="10"/>
      <c r="J1337" s="46">
        <f t="shared" si="60"/>
        <v>1</v>
      </c>
      <c r="K1337" s="46">
        <f t="shared" si="61"/>
        <v>0</v>
      </c>
      <c r="L1337" s="69">
        <f t="shared" si="62"/>
        <v>0</v>
      </c>
    </row>
    <row r="1338" spans="2:12" x14ac:dyDescent="0.85">
      <c r="B1338" s="48">
        <v>1332</v>
      </c>
      <c r="C1338" s="44"/>
      <c r="D1338" s="50"/>
      <c r="E1338" s="44"/>
      <c r="F1338" s="227"/>
      <c r="G1338" s="49">
        <v>1</v>
      </c>
      <c r="H1338" s="73"/>
      <c r="I1338" s="44"/>
      <c r="J1338" s="48">
        <f t="shared" si="60"/>
        <v>1</v>
      </c>
      <c r="K1338" s="48">
        <f t="shared" si="61"/>
        <v>0</v>
      </c>
      <c r="L1338" s="68">
        <f t="shared" si="62"/>
        <v>0</v>
      </c>
    </row>
    <row r="1339" spans="2:12" x14ac:dyDescent="0.85">
      <c r="B1339" s="46">
        <v>1333</v>
      </c>
      <c r="C1339" s="10"/>
      <c r="D1339" s="66"/>
      <c r="E1339" s="10"/>
      <c r="F1339" s="226"/>
      <c r="G1339" s="47">
        <v>1</v>
      </c>
      <c r="H1339" s="72"/>
      <c r="I1339" s="10"/>
      <c r="J1339" s="46">
        <f t="shared" si="60"/>
        <v>1</v>
      </c>
      <c r="K1339" s="46">
        <f t="shared" si="61"/>
        <v>0</v>
      </c>
      <c r="L1339" s="69">
        <f t="shared" si="62"/>
        <v>0</v>
      </c>
    </row>
    <row r="1340" spans="2:12" x14ac:dyDescent="0.85">
      <c r="B1340" s="48">
        <v>1334</v>
      </c>
      <c r="C1340" s="44"/>
      <c r="D1340" s="50"/>
      <c r="E1340" s="44"/>
      <c r="F1340" s="227"/>
      <c r="G1340" s="49">
        <v>1</v>
      </c>
      <c r="H1340" s="73"/>
      <c r="I1340" s="44"/>
      <c r="J1340" s="48">
        <f t="shared" si="60"/>
        <v>1</v>
      </c>
      <c r="K1340" s="48">
        <f t="shared" si="61"/>
        <v>0</v>
      </c>
      <c r="L1340" s="68">
        <f t="shared" si="62"/>
        <v>0</v>
      </c>
    </row>
    <row r="1341" spans="2:12" x14ac:dyDescent="0.85">
      <c r="B1341" s="46">
        <v>1335</v>
      </c>
      <c r="C1341" s="10"/>
      <c r="D1341" s="66"/>
      <c r="E1341" s="10"/>
      <c r="F1341" s="226"/>
      <c r="G1341" s="47">
        <v>1</v>
      </c>
      <c r="H1341" s="72"/>
      <c r="I1341" s="10"/>
      <c r="J1341" s="46">
        <f t="shared" si="60"/>
        <v>1</v>
      </c>
      <c r="K1341" s="46">
        <f t="shared" si="61"/>
        <v>0</v>
      </c>
      <c r="L1341" s="69">
        <f t="shared" si="62"/>
        <v>0</v>
      </c>
    </row>
    <row r="1342" spans="2:12" x14ac:dyDescent="0.85">
      <c r="B1342" s="48">
        <v>1336</v>
      </c>
      <c r="C1342" s="44"/>
      <c r="D1342" s="50"/>
      <c r="E1342" s="44"/>
      <c r="F1342" s="227"/>
      <c r="G1342" s="49">
        <v>1</v>
      </c>
      <c r="H1342" s="73"/>
      <c r="I1342" s="44"/>
      <c r="J1342" s="48">
        <f t="shared" si="60"/>
        <v>1</v>
      </c>
      <c r="K1342" s="48">
        <f t="shared" si="61"/>
        <v>0</v>
      </c>
      <c r="L1342" s="68">
        <f t="shared" si="62"/>
        <v>0</v>
      </c>
    </row>
    <row r="1343" spans="2:12" x14ac:dyDescent="0.85">
      <c r="B1343" s="46">
        <v>1337</v>
      </c>
      <c r="C1343" s="10"/>
      <c r="D1343" s="66"/>
      <c r="E1343" s="10"/>
      <c r="F1343" s="226"/>
      <c r="G1343" s="47">
        <v>1</v>
      </c>
      <c r="H1343" s="72"/>
      <c r="I1343" s="10"/>
      <c r="J1343" s="46">
        <f t="shared" si="60"/>
        <v>1</v>
      </c>
      <c r="K1343" s="46">
        <f t="shared" si="61"/>
        <v>0</v>
      </c>
      <c r="L1343" s="69">
        <f t="shared" si="62"/>
        <v>0</v>
      </c>
    </row>
    <row r="1344" spans="2:12" x14ac:dyDescent="0.85">
      <c r="B1344" s="48">
        <v>1338</v>
      </c>
      <c r="C1344" s="44"/>
      <c r="D1344" s="50"/>
      <c r="E1344" s="44"/>
      <c r="F1344" s="227"/>
      <c r="G1344" s="49">
        <v>1</v>
      </c>
      <c r="H1344" s="73"/>
      <c r="I1344" s="44"/>
      <c r="J1344" s="48">
        <f t="shared" si="60"/>
        <v>1</v>
      </c>
      <c r="K1344" s="48">
        <f t="shared" si="61"/>
        <v>0</v>
      </c>
      <c r="L1344" s="68">
        <f t="shared" si="62"/>
        <v>0</v>
      </c>
    </row>
    <row r="1345" spans="2:12" x14ac:dyDescent="0.85">
      <c r="B1345" s="46">
        <v>1339</v>
      </c>
      <c r="C1345" s="10"/>
      <c r="D1345" s="66"/>
      <c r="E1345" s="10"/>
      <c r="F1345" s="226"/>
      <c r="G1345" s="47">
        <v>1</v>
      </c>
      <c r="H1345" s="72"/>
      <c r="I1345" s="10"/>
      <c r="J1345" s="46">
        <f t="shared" si="60"/>
        <v>1</v>
      </c>
      <c r="K1345" s="46">
        <f t="shared" si="61"/>
        <v>0</v>
      </c>
      <c r="L1345" s="69">
        <f t="shared" si="62"/>
        <v>0</v>
      </c>
    </row>
    <row r="1346" spans="2:12" x14ac:dyDescent="0.85">
      <c r="B1346" s="48">
        <v>1340</v>
      </c>
      <c r="C1346" s="44"/>
      <c r="D1346" s="50"/>
      <c r="E1346" s="44"/>
      <c r="F1346" s="227"/>
      <c r="G1346" s="49">
        <v>1</v>
      </c>
      <c r="H1346" s="73"/>
      <c r="I1346" s="44"/>
      <c r="J1346" s="48">
        <f t="shared" si="60"/>
        <v>1</v>
      </c>
      <c r="K1346" s="48">
        <f t="shared" si="61"/>
        <v>0</v>
      </c>
      <c r="L1346" s="68">
        <f t="shared" si="62"/>
        <v>0</v>
      </c>
    </row>
    <row r="1347" spans="2:12" x14ac:dyDescent="0.85">
      <c r="B1347" s="46">
        <v>1341</v>
      </c>
      <c r="C1347" s="10"/>
      <c r="D1347" s="66"/>
      <c r="E1347" s="10"/>
      <c r="F1347" s="226"/>
      <c r="G1347" s="47">
        <v>1</v>
      </c>
      <c r="H1347" s="72"/>
      <c r="I1347" s="10"/>
      <c r="J1347" s="46">
        <f t="shared" si="60"/>
        <v>1</v>
      </c>
      <c r="K1347" s="46">
        <f t="shared" si="61"/>
        <v>0</v>
      </c>
      <c r="L1347" s="69">
        <f t="shared" si="62"/>
        <v>0</v>
      </c>
    </row>
    <row r="1348" spans="2:12" x14ac:dyDescent="0.85">
      <c r="B1348" s="48">
        <v>1342</v>
      </c>
      <c r="C1348" s="44"/>
      <c r="D1348" s="50"/>
      <c r="E1348" s="44"/>
      <c r="F1348" s="227"/>
      <c r="G1348" s="49">
        <v>1</v>
      </c>
      <c r="H1348" s="73"/>
      <c r="I1348" s="44"/>
      <c r="J1348" s="48">
        <f t="shared" si="60"/>
        <v>1</v>
      </c>
      <c r="K1348" s="48">
        <f t="shared" si="61"/>
        <v>0</v>
      </c>
      <c r="L1348" s="68">
        <f t="shared" si="62"/>
        <v>0</v>
      </c>
    </row>
    <row r="1349" spans="2:12" x14ac:dyDescent="0.85">
      <c r="B1349" s="46">
        <v>1343</v>
      </c>
      <c r="C1349" s="10"/>
      <c r="D1349" s="66"/>
      <c r="E1349" s="10"/>
      <c r="F1349" s="226"/>
      <c r="G1349" s="47">
        <v>1</v>
      </c>
      <c r="H1349" s="72"/>
      <c r="I1349" s="10"/>
      <c r="J1349" s="46">
        <f t="shared" si="60"/>
        <v>1</v>
      </c>
      <c r="K1349" s="46">
        <f t="shared" si="61"/>
        <v>0</v>
      </c>
      <c r="L1349" s="69">
        <f t="shared" si="62"/>
        <v>0</v>
      </c>
    </row>
    <row r="1350" spans="2:12" x14ac:dyDescent="0.85">
      <c r="B1350" s="48">
        <v>1344</v>
      </c>
      <c r="C1350" s="44"/>
      <c r="D1350" s="50"/>
      <c r="E1350" s="44"/>
      <c r="F1350" s="227"/>
      <c r="G1350" s="49">
        <v>1</v>
      </c>
      <c r="H1350" s="73"/>
      <c r="I1350" s="44"/>
      <c r="J1350" s="48">
        <f t="shared" si="60"/>
        <v>1</v>
      </c>
      <c r="K1350" s="48">
        <f t="shared" si="61"/>
        <v>0</v>
      </c>
      <c r="L1350" s="68">
        <f t="shared" si="62"/>
        <v>0</v>
      </c>
    </row>
    <row r="1351" spans="2:12" x14ac:dyDescent="0.85">
      <c r="B1351" s="46">
        <v>1345</v>
      </c>
      <c r="C1351" s="10"/>
      <c r="D1351" s="66"/>
      <c r="E1351" s="10"/>
      <c r="F1351" s="226"/>
      <c r="G1351" s="47">
        <v>1</v>
      </c>
      <c r="H1351" s="72"/>
      <c r="I1351" s="10"/>
      <c r="J1351" s="46">
        <f t="shared" ref="J1351:J1414" si="63">IF(ISBLANK(H1351),1,H1351)</f>
        <v>1</v>
      </c>
      <c r="K1351" s="46">
        <f t="shared" ref="K1351:K1414" si="64">IF(COUNTIF(FreeElements, E1351)&gt;0, F1351, 0)</f>
        <v>0</v>
      </c>
      <c r="L1351" s="69">
        <f t="shared" ref="L1351:L1414" si="65">J1351*K1351</f>
        <v>0</v>
      </c>
    </row>
    <row r="1352" spans="2:12" x14ac:dyDescent="0.85">
      <c r="B1352" s="48">
        <v>1346</v>
      </c>
      <c r="C1352" s="44"/>
      <c r="D1352" s="50"/>
      <c r="E1352" s="44"/>
      <c r="F1352" s="227"/>
      <c r="G1352" s="49">
        <v>1</v>
      </c>
      <c r="H1352" s="73"/>
      <c r="I1352" s="44"/>
      <c r="J1352" s="48">
        <f t="shared" si="63"/>
        <v>1</v>
      </c>
      <c r="K1352" s="48">
        <f t="shared" si="64"/>
        <v>0</v>
      </c>
      <c r="L1352" s="68">
        <f t="shared" si="65"/>
        <v>0</v>
      </c>
    </row>
    <row r="1353" spans="2:12" x14ac:dyDescent="0.85">
      <c r="B1353" s="46">
        <v>1347</v>
      </c>
      <c r="C1353" s="10"/>
      <c r="D1353" s="66"/>
      <c r="E1353" s="10"/>
      <c r="F1353" s="226"/>
      <c r="G1353" s="47">
        <v>1</v>
      </c>
      <c r="H1353" s="72"/>
      <c r="I1353" s="10"/>
      <c r="J1353" s="46">
        <f t="shared" si="63"/>
        <v>1</v>
      </c>
      <c r="K1353" s="46">
        <f t="shared" si="64"/>
        <v>0</v>
      </c>
      <c r="L1353" s="69">
        <f t="shared" si="65"/>
        <v>0</v>
      </c>
    </row>
    <row r="1354" spans="2:12" x14ac:dyDescent="0.85">
      <c r="B1354" s="48">
        <v>1348</v>
      </c>
      <c r="C1354" s="44"/>
      <c r="D1354" s="50"/>
      <c r="E1354" s="44"/>
      <c r="F1354" s="227"/>
      <c r="G1354" s="49">
        <v>1</v>
      </c>
      <c r="H1354" s="73"/>
      <c r="I1354" s="44"/>
      <c r="J1354" s="48">
        <f t="shared" si="63"/>
        <v>1</v>
      </c>
      <c r="K1354" s="48">
        <f t="shared" si="64"/>
        <v>0</v>
      </c>
      <c r="L1354" s="68">
        <f t="shared" si="65"/>
        <v>0</v>
      </c>
    </row>
    <row r="1355" spans="2:12" x14ac:dyDescent="0.85">
      <c r="B1355" s="46">
        <v>1349</v>
      </c>
      <c r="C1355" s="10"/>
      <c r="D1355" s="66"/>
      <c r="E1355" s="10"/>
      <c r="F1355" s="226"/>
      <c r="G1355" s="47">
        <v>1</v>
      </c>
      <c r="H1355" s="72"/>
      <c r="I1355" s="10"/>
      <c r="J1355" s="46">
        <f t="shared" si="63"/>
        <v>1</v>
      </c>
      <c r="K1355" s="46">
        <f t="shared" si="64"/>
        <v>0</v>
      </c>
      <c r="L1355" s="69">
        <f t="shared" si="65"/>
        <v>0</v>
      </c>
    </row>
    <row r="1356" spans="2:12" x14ac:dyDescent="0.85">
      <c r="B1356" s="48">
        <v>1350</v>
      </c>
      <c r="C1356" s="44"/>
      <c r="D1356" s="50"/>
      <c r="E1356" s="44"/>
      <c r="F1356" s="227"/>
      <c r="G1356" s="49">
        <v>1</v>
      </c>
      <c r="H1356" s="73"/>
      <c r="I1356" s="44"/>
      <c r="J1356" s="48">
        <f t="shared" si="63"/>
        <v>1</v>
      </c>
      <c r="K1356" s="48">
        <f t="shared" si="64"/>
        <v>0</v>
      </c>
      <c r="L1356" s="68">
        <f t="shared" si="65"/>
        <v>0</v>
      </c>
    </row>
    <row r="1357" spans="2:12" x14ac:dyDescent="0.85">
      <c r="B1357" s="46">
        <v>1351</v>
      </c>
      <c r="C1357" s="10"/>
      <c r="D1357" s="66"/>
      <c r="E1357" s="10"/>
      <c r="F1357" s="226"/>
      <c r="G1357" s="47">
        <v>1</v>
      </c>
      <c r="H1357" s="72"/>
      <c r="I1357" s="10"/>
      <c r="J1357" s="46">
        <f t="shared" si="63"/>
        <v>1</v>
      </c>
      <c r="K1357" s="46">
        <f t="shared" si="64"/>
        <v>0</v>
      </c>
      <c r="L1357" s="69">
        <f t="shared" si="65"/>
        <v>0</v>
      </c>
    </row>
    <row r="1358" spans="2:12" x14ac:dyDescent="0.85">
      <c r="B1358" s="48">
        <v>1352</v>
      </c>
      <c r="C1358" s="44"/>
      <c r="D1358" s="50"/>
      <c r="E1358" s="44"/>
      <c r="F1358" s="227"/>
      <c r="G1358" s="49">
        <v>1</v>
      </c>
      <c r="H1358" s="73"/>
      <c r="I1358" s="44"/>
      <c r="J1358" s="48">
        <f t="shared" si="63"/>
        <v>1</v>
      </c>
      <c r="K1358" s="48">
        <f t="shared" si="64"/>
        <v>0</v>
      </c>
      <c r="L1358" s="68">
        <f t="shared" si="65"/>
        <v>0</v>
      </c>
    </row>
    <row r="1359" spans="2:12" x14ac:dyDescent="0.85">
      <c r="B1359" s="46">
        <v>1353</v>
      </c>
      <c r="C1359" s="10"/>
      <c r="D1359" s="66"/>
      <c r="E1359" s="10"/>
      <c r="F1359" s="226"/>
      <c r="G1359" s="47">
        <v>1</v>
      </c>
      <c r="H1359" s="72"/>
      <c r="I1359" s="10"/>
      <c r="J1359" s="46">
        <f t="shared" si="63"/>
        <v>1</v>
      </c>
      <c r="K1359" s="46">
        <f t="shared" si="64"/>
        <v>0</v>
      </c>
      <c r="L1359" s="69">
        <f t="shared" si="65"/>
        <v>0</v>
      </c>
    </row>
    <row r="1360" spans="2:12" x14ac:dyDescent="0.85">
      <c r="B1360" s="48">
        <v>1354</v>
      </c>
      <c r="C1360" s="44"/>
      <c r="D1360" s="50"/>
      <c r="E1360" s="44"/>
      <c r="F1360" s="227"/>
      <c r="G1360" s="49">
        <v>1</v>
      </c>
      <c r="H1360" s="73"/>
      <c r="I1360" s="44"/>
      <c r="J1360" s="48">
        <f t="shared" si="63"/>
        <v>1</v>
      </c>
      <c r="K1360" s="48">
        <f t="shared" si="64"/>
        <v>0</v>
      </c>
      <c r="L1360" s="68">
        <f t="shared" si="65"/>
        <v>0</v>
      </c>
    </row>
    <row r="1361" spans="2:12" x14ac:dyDescent="0.85">
      <c r="B1361" s="46">
        <v>1355</v>
      </c>
      <c r="C1361" s="10"/>
      <c r="D1361" s="66"/>
      <c r="E1361" s="10"/>
      <c r="F1361" s="226"/>
      <c r="G1361" s="47">
        <v>1</v>
      </c>
      <c r="H1361" s="72"/>
      <c r="I1361" s="10"/>
      <c r="J1361" s="46">
        <f t="shared" si="63"/>
        <v>1</v>
      </c>
      <c r="K1361" s="46">
        <f t="shared" si="64"/>
        <v>0</v>
      </c>
      <c r="L1361" s="69">
        <f t="shared" si="65"/>
        <v>0</v>
      </c>
    </row>
    <row r="1362" spans="2:12" x14ac:dyDescent="0.85">
      <c r="B1362" s="48">
        <v>1356</v>
      </c>
      <c r="C1362" s="44"/>
      <c r="D1362" s="50"/>
      <c r="E1362" s="44"/>
      <c r="F1362" s="227"/>
      <c r="G1362" s="49">
        <v>1</v>
      </c>
      <c r="H1362" s="73"/>
      <c r="I1362" s="44"/>
      <c r="J1362" s="48">
        <f t="shared" si="63"/>
        <v>1</v>
      </c>
      <c r="K1362" s="48">
        <f t="shared" si="64"/>
        <v>0</v>
      </c>
      <c r="L1362" s="68">
        <f t="shared" si="65"/>
        <v>0</v>
      </c>
    </row>
    <row r="1363" spans="2:12" x14ac:dyDescent="0.85">
      <c r="B1363" s="46">
        <v>1357</v>
      </c>
      <c r="C1363" s="10"/>
      <c r="D1363" s="66"/>
      <c r="E1363" s="10"/>
      <c r="F1363" s="226"/>
      <c r="G1363" s="47">
        <v>1</v>
      </c>
      <c r="H1363" s="72"/>
      <c r="I1363" s="10"/>
      <c r="J1363" s="46">
        <f t="shared" si="63"/>
        <v>1</v>
      </c>
      <c r="K1363" s="46">
        <f t="shared" si="64"/>
        <v>0</v>
      </c>
      <c r="L1363" s="69">
        <f t="shared" si="65"/>
        <v>0</v>
      </c>
    </row>
    <row r="1364" spans="2:12" x14ac:dyDescent="0.85">
      <c r="B1364" s="48">
        <v>1358</v>
      </c>
      <c r="C1364" s="44"/>
      <c r="D1364" s="50"/>
      <c r="E1364" s="44"/>
      <c r="F1364" s="227"/>
      <c r="G1364" s="49">
        <v>1</v>
      </c>
      <c r="H1364" s="73"/>
      <c r="I1364" s="44"/>
      <c r="J1364" s="48">
        <f t="shared" si="63"/>
        <v>1</v>
      </c>
      <c r="K1364" s="48">
        <f t="shared" si="64"/>
        <v>0</v>
      </c>
      <c r="L1364" s="68">
        <f t="shared" si="65"/>
        <v>0</v>
      </c>
    </row>
    <row r="1365" spans="2:12" x14ac:dyDescent="0.85">
      <c r="B1365" s="46">
        <v>1359</v>
      </c>
      <c r="C1365" s="10"/>
      <c r="D1365" s="66"/>
      <c r="E1365" s="10"/>
      <c r="F1365" s="226"/>
      <c r="G1365" s="47">
        <v>1</v>
      </c>
      <c r="H1365" s="72"/>
      <c r="I1365" s="10"/>
      <c r="J1365" s="46">
        <f t="shared" si="63"/>
        <v>1</v>
      </c>
      <c r="K1365" s="46">
        <f t="shared" si="64"/>
        <v>0</v>
      </c>
      <c r="L1365" s="69">
        <f t="shared" si="65"/>
        <v>0</v>
      </c>
    </row>
    <row r="1366" spans="2:12" x14ac:dyDescent="0.85">
      <c r="B1366" s="48">
        <v>1360</v>
      </c>
      <c r="C1366" s="44"/>
      <c r="D1366" s="50"/>
      <c r="E1366" s="44"/>
      <c r="F1366" s="227"/>
      <c r="G1366" s="49">
        <v>1</v>
      </c>
      <c r="H1366" s="73"/>
      <c r="I1366" s="44"/>
      <c r="J1366" s="48">
        <f t="shared" si="63"/>
        <v>1</v>
      </c>
      <c r="K1366" s="48">
        <f t="shared" si="64"/>
        <v>0</v>
      </c>
      <c r="L1366" s="68">
        <f t="shared" si="65"/>
        <v>0</v>
      </c>
    </row>
    <row r="1367" spans="2:12" x14ac:dyDescent="0.85">
      <c r="B1367" s="46">
        <v>1361</v>
      </c>
      <c r="C1367" s="10"/>
      <c r="D1367" s="66"/>
      <c r="E1367" s="10"/>
      <c r="F1367" s="226"/>
      <c r="G1367" s="47">
        <v>1</v>
      </c>
      <c r="H1367" s="72"/>
      <c r="I1367" s="10"/>
      <c r="J1367" s="46">
        <f t="shared" si="63"/>
        <v>1</v>
      </c>
      <c r="K1367" s="46">
        <f t="shared" si="64"/>
        <v>0</v>
      </c>
      <c r="L1367" s="69">
        <f t="shared" si="65"/>
        <v>0</v>
      </c>
    </row>
    <row r="1368" spans="2:12" x14ac:dyDescent="0.85">
      <c r="B1368" s="48">
        <v>1362</v>
      </c>
      <c r="C1368" s="44"/>
      <c r="D1368" s="50"/>
      <c r="E1368" s="44"/>
      <c r="F1368" s="227"/>
      <c r="G1368" s="49">
        <v>1</v>
      </c>
      <c r="H1368" s="73"/>
      <c r="I1368" s="44"/>
      <c r="J1368" s="48">
        <f t="shared" si="63"/>
        <v>1</v>
      </c>
      <c r="K1368" s="48">
        <f t="shared" si="64"/>
        <v>0</v>
      </c>
      <c r="L1368" s="68">
        <f t="shared" si="65"/>
        <v>0</v>
      </c>
    </row>
    <row r="1369" spans="2:12" x14ac:dyDescent="0.85">
      <c r="B1369" s="46">
        <v>1363</v>
      </c>
      <c r="C1369" s="10"/>
      <c r="D1369" s="66"/>
      <c r="E1369" s="10"/>
      <c r="F1369" s="226"/>
      <c r="G1369" s="47">
        <v>1</v>
      </c>
      <c r="H1369" s="72"/>
      <c r="I1369" s="10"/>
      <c r="J1369" s="46">
        <f t="shared" si="63"/>
        <v>1</v>
      </c>
      <c r="K1369" s="46">
        <f t="shared" si="64"/>
        <v>0</v>
      </c>
      <c r="L1369" s="69">
        <f t="shared" si="65"/>
        <v>0</v>
      </c>
    </row>
    <row r="1370" spans="2:12" x14ac:dyDescent="0.85">
      <c r="B1370" s="48">
        <v>1364</v>
      </c>
      <c r="C1370" s="44"/>
      <c r="D1370" s="50"/>
      <c r="E1370" s="44"/>
      <c r="F1370" s="227"/>
      <c r="G1370" s="49">
        <v>1</v>
      </c>
      <c r="H1370" s="73"/>
      <c r="I1370" s="44"/>
      <c r="J1370" s="48">
        <f t="shared" si="63"/>
        <v>1</v>
      </c>
      <c r="K1370" s="48">
        <f t="shared" si="64"/>
        <v>0</v>
      </c>
      <c r="L1370" s="68">
        <f t="shared" si="65"/>
        <v>0</v>
      </c>
    </row>
    <row r="1371" spans="2:12" x14ac:dyDescent="0.85">
      <c r="B1371" s="46">
        <v>1365</v>
      </c>
      <c r="C1371" s="10"/>
      <c r="D1371" s="66"/>
      <c r="E1371" s="10"/>
      <c r="F1371" s="226"/>
      <c r="G1371" s="47">
        <v>1</v>
      </c>
      <c r="H1371" s="72"/>
      <c r="I1371" s="10"/>
      <c r="J1371" s="46">
        <f t="shared" si="63"/>
        <v>1</v>
      </c>
      <c r="K1371" s="46">
        <f t="shared" si="64"/>
        <v>0</v>
      </c>
      <c r="L1371" s="69">
        <f t="shared" si="65"/>
        <v>0</v>
      </c>
    </row>
    <row r="1372" spans="2:12" x14ac:dyDescent="0.85">
      <c r="B1372" s="48">
        <v>1366</v>
      </c>
      <c r="C1372" s="44"/>
      <c r="D1372" s="50"/>
      <c r="E1372" s="44"/>
      <c r="F1372" s="227"/>
      <c r="G1372" s="49">
        <v>1</v>
      </c>
      <c r="H1372" s="73"/>
      <c r="I1372" s="44"/>
      <c r="J1372" s="48">
        <f t="shared" si="63"/>
        <v>1</v>
      </c>
      <c r="K1372" s="48">
        <f t="shared" si="64"/>
        <v>0</v>
      </c>
      <c r="L1372" s="68">
        <f t="shared" si="65"/>
        <v>0</v>
      </c>
    </row>
    <row r="1373" spans="2:12" x14ac:dyDescent="0.85">
      <c r="B1373" s="46">
        <v>1367</v>
      </c>
      <c r="C1373" s="10"/>
      <c r="D1373" s="66"/>
      <c r="E1373" s="10"/>
      <c r="F1373" s="226"/>
      <c r="G1373" s="47">
        <v>1</v>
      </c>
      <c r="H1373" s="72"/>
      <c r="I1373" s="10"/>
      <c r="J1373" s="46">
        <f t="shared" si="63"/>
        <v>1</v>
      </c>
      <c r="K1373" s="46">
        <f t="shared" si="64"/>
        <v>0</v>
      </c>
      <c r="L1373" s="69">
        <f t="shared" si="65"/>
        <v>0</v>
      </c>
    </row>
    <row r="1374" spans="2:12" x14ac:dyDescent="0.85">
      <c r="B1374" s="48">
        <v>1368</v>
      </c>
      <c r="C1374" s="44"/>
      <c r="D1374" s="50"/>
      <c r="E1374" s="44"/>
      <c r="F1374" s="227"/>
      <c r="G1374" s="49">
        <v>1</v>
      </c>
      <c r="H1374" s="73"/>
      <c r="I1374" s="44"/>
      <c r="J1374" s="48">
        <f t="shared" si="63"/>
        <v>1</v>
      </c>
      <c r="K1374" s="48">
        <f t="shared" si="64"/>
        <v>0</v>
      </c>
      <c r="L1374" s="68">
        <f t="shared" si="65"/>
        <v>0</v>
      </c>
    </row>
    <row r="1375" spans="2:12" x14ac:dyDescent="0.85">
      <c r="B1375" s="46">
        <v>1369</v>
      </c>
      <c r="C1375" s="10"/>
      <c r="D1375" s="66"/>
      <c r="E1375" s="10"/>
      <c r="F1375" s="226"/>
      <c r="G1375" s="47">
        <v>1</v>
      </c>
      <c r="H1375" s="72"/>
      <c r="I1375" s="10"/>
      <c r="J1375" s="46">
        <f t="shared" si="63"/>
        <v>1</v>
      </c>
      <c r="K1375" s="46">
        <f t="shared" si="64"/>
        <v>0</v>
      </c>
      <c r="L1375" s="69">
        <f t="shared" si="65"/>
        <v>0</v>
      </c>
    </row>
    <row r="1376" spans="2:12" x14ac:dyDescent="0.85">
      <c r="B1376" s="48">
        <v>1370</v>
      </c>
      <c r="C1376" s="44"/>
      <c r="D1376" s="50"/>
      <c r="E1376" s="44"/>
      <c r="F1376" s="227"/>
      <c r="G1376" s="49">
        <v>1</v>
      </c>
      <c r="H1376" s="73"/>
      <c r="I1376" s="44"/>
      <c r="J1376" s="48">
        <f t="shared" si="63"/>
        <v>1</v>
      </c>
      <c r="K1376" s="48">
        <f t="shared" si="64"/>
        <v>0</v>
      </c>
      <c r="L1376" s="68">
        <f t="shared" si="65"/>
        <v>0</v>
      </c>
    </row>
    <row r="1377" spans="2:12" x14ac:dyDescent="0.85">
      <c r="B1377" s="46">
        <v>1371</v>
      </c>
      <c r="C1377" s="10"/>
      <c r="D1377" s="66"/>
      <c r="E1377" s="10"/>
      <c r="F1377" s="226"/>
      <c r="G1377" s="47">
        <v>1</v>
      </c>
      <c r="H1377" s="72"/>
      <c r="I1377" s="10"/>
      <c r="J1377" s="46">
        <f t="shared" si="63"/>
        <v>1</v>
      </c>
      <c r="K1377" s="46">
        <f t="shared" si="64"/>
        <v>0</v>
      </c>
      <c r="L1377" s="69">
        <f t="shared" si="65"/>
        <v>0</v>
      </c>
    </row>
    <row r="1378" spans="2:12" x14ac:dyDescent="0.85">
      <c r="B1378" s="48">
        <v>1372</v>
      </c>
      <c r="C1378" s="44"/>
      <c r="D1378" s="50"/>
      <c r="E1378" s="44"/>
      <c r="F1378" s="227"/>
      <c r="G1378" s="49">
        <v>1</v>
      </c>
      <c r="H1378" s="73"/>
      <c r="I1378" s="44"/>
      <c r="J1378" s="48">
        <f t="shared" si="63"/>
        <v>1</v>
      </c>
      <c r="K1378" s="48">
        <f t="shared" si="64"/>
        <v>0</v>
      </c>
      <c r="L1378" s="68">
        <f t="shared" si="65"/>
        <v>0</v>
      </c>
    </row>
    <row r="1379" spans="2:12" x14ac:dyDescent="0.85">
      <c r="B1379" s="46">
        <v>1373</v>
      </c>
      <c r="C1379" s="10"/>
      <c r="D1379" s="66"/>
      <c r="E1379" s="10"/>
      <c r="F1379" s="226"/>
      <c r="G1379" s="47">
        <v>1</v>
      </c>
      <c r="H1379" s="72"/>
      <c r="I1379" s="10"/>
      <c r="J1379" s="46">
        <f t="shared" si="63"/>
        <v>1</v>
      </c>
      <c r="K1379" s="46">
        <f t="shared" si="64"/>
        <v>0</v>
      </c>
      <c r="L1379" s="69">
        <f t="shared" si="65"/>
        <v>0</v>
      </c>
    </row>
    <row r="1380" spans="2:12" x14ac:dyDescent="0.85">
      <c r="B1380" s="48">
        <v>1374</v>
      </c>
      <c r="C1380" s="44"/>
      <c r="D1380" s="50"/>
      <c r="E1380" s="44"/>
      <c r="F1380" s="227"/>
      <c r="G1380" s="49">
        <v>1</v>
      </c>
      <c r="H1380" s="73"/>
      <c r="I1380" s="44"/>
      <c r="J1380" s="48">
        <f t="shared" si="63"/>
        <v>1</v>
      </c>
      <c r="K1380" s="48">
        <f t="shared" si="64"/>
        <v>0</v>
      </c>
      <c r="L1380" s="68">
        <f t="shared" si="65"/>
        <v>0</v>
      </c>
    </row>
    <row r="1381" spans="2:12" x14ac:dyDescent="0.85">
      <c r="B1381" s="46">
        <v>1375</v>
      </c>
      <c r="C1381" s="10"/>
      <c r="D1381" s="66"/>
      <c r="E1381" s="10"/>
      <c r="F1381" s="226"/>
      <c r="G1381" s="47">
        <v>1</v>
      </c>
      <c r="H1381" s="72"/>
      <c r="I1381" s="10"/>
      <c r="J1381" s="46">
        <f t="shared" si="63"/>
        <v>1</v>
      </c>
      <c r="K1381" s="46">
        <f t="shared" si="64"/>
        <v>0</v>
      </c>
      <c r="L1381" s="69">
        <f t="shared" si="65"/>
        <v>0</v>
      </c>
    </row>
    <row r="1382" spans="2:12" x14ac:dyDescent="0.85">
      <c r="B1382" s="48">
        <v>1376</v>
      </c>
      <c r="C1382" s="44"/>
      <c r="D1382" s="50"/>
      <c r="E1382" s="44"/>
      <c r="F1382" s="227"/>
      <c r="G1382" s="49">
        <v>1</v>
      </c>
      <c r="H1382" s="73"/>
      <c r="I1382" s="44"/>
      <c r="J1382" s="48">
        <f t="shared" si="63"/>
        <v>1</v>
      </c>
      <c r="K1382" s="48">
        <f t="shared" si="64"/>
        <v>0</v>
      </c>
      <c r="L1382" s="68">
        <f t="shared" si="65"/>
        <v>0</v>
      </c>
    </row>
    <row r="1383" spans="2:12" x14ac:dyDescent="0.85">
      <c r="B1383" s="46">
        <v>1377</v>
      </c>
      <c r="C1383" s="10"/>
      <c r="D1383" s="66"/>
      <c r="E1383" s="10"/>
      <c r="F1383" s="226"/>
      <c r="G1383" s="47">
        <v>1</v>
      </c>
      <c r="H1383" s="72"/>
      <c r="I1383" s="10"/>
      <c r="J1383" s="46">
        <f t="shared" si="63"/>
        <v>1</v>
      </c>
      <c r="K1383" s="46">
        <f t="shared" si="64"/>
        <v>0</v>
      </c>
      <c r="L1383" s="69">
        <f t="shared" si="65"/>
        <v>0</v>
      </c>
    </row>
    <row r="1384" spans="2:12" x14ac:dyDescent="0.85">
      <c r="B1384" s="48">
        <v>1378</v>
      </c>
      <c r="C1384" s="44"/>
      <c r="D1384" s="50"/>
      <c r="E1384" s="44"/>
      <c r="F1384" s="227"/>
      <c r="G1384" s="49">
        <v>1</v>
      </c>
      <c r="H1384" s="73"/>
      <c r="I1384" s="44"/>
      <c r="J1384" s="48">
        <f t="shared" si="63"/>
        <v>1</v>
      </c>
      <c r="K1384" s="48">
        <f t="shared" si="64"/>
        <v>0</v>
      </c>
      <c r="L1384" s="68">
        <f t="shared" si="65"/>
        <v>0</v>
      </c>
    </row>
    <row r="1385" spans="2:12" x14ac:dyDescent="0.85">
      <c r="B1385" s="46">
        <v>1379</v>
      </c>
      <c r="C1385" s="10"/>
      <c r="D1385" s="66"/>
      <c r="E1385" s="10"/>
      <c r="F1385" s="226"/>
      <c r="G1385" s="47">
        <v>1</v>
      </c>
      <c r="H1385" s="72"/>
      <c r="I1385" s="10"/>
      <c r="J1385" s="46">
        <f t="shared" si="63"/>
        <v>1</v>
      </c>
      <c r="K1385" s="46">
        <f t="shared" si="64"/>
        <v>0</v>
      </c>
      <c r="L1385" s="69">
        <f t="shared" si="65"/>
        <v>0</v>
      </c>
    </row>
    <row r="1386" spans="2:12" x14ac:dyDescent="0.85">
      <c r="B1386" s="48">
        <v>1380</v>
      </c>
      <c r="C1386" s="44"/>
      <c r="D1386" s="50"/>
      <c r="E1386" s="44"/>
      <c r="F1386" s="227"/>
      <c r="G1386" s="49">
        <v>1</v>
      </c>
      <c r="H1386" s="73"/>
      <c r="I1386" s="44"/>
      <c r="J1386" s="48">
        <f t="shared" si="63"/>
        <v>1</v>
      </c>
      <c r="K1386" s="48">
        <f t="shared" si="64"/>
        <v>0</v>
      </c>
      <c r="L1386" s="68">
        <f t="shared" si="65"/>
        <v>0</v>
      </c>
    </row>
    <row r="1387" spans="2:12" x14ac:dyDescent="0.85">
      <c r="B1387" s="46">
        <v>1381</v>
      </c>
      <c r="C1387" s="10"/>
      <c r="D1387" s="66"/>
      <c r="E1387" s="10"/>
      <c r="F1387" s="226"/>
      <c r="G1387" s="47">
        <v>1</v>
      </c>
      <c r="H1387" s="72"/>
      <c r="I1387" s="10"/>
      <c r="J1387" s="46">
        <f t="shared" si="63"/>
        <v>1</v>
      </c>
      <c r="K1387" s="46">
        <f t="shared" si="64"/>
        <v>0</v>
      </c>
      <c r="L1387" s="69">
        <f t="shared" si="65"/>
        <v>0</v>
      </c>
    </row>
    <row r="1388" spans="2:12" x14ac:dyDescent="0.85">
      <c r="B1388" s="48">
        <v>1382</v>
      </c>
      <c r="C1388" s="44"/>
      <c r="D1388" s="50"/>
      <c r="E1388" s="44"/>
      <c r="F1388" s="227"/>
      <c r="G1388" s="49">
        <v>1</v>
      </c>
      <c r="H1388" s="73"/>
      <c r="I1388" s="44"/>
      <c r="J1388" s="48">
        <f t="shared" si="63"/>
        <v>1</v>
      </c>
      <c r="K1388" s="48">
        <f t="shared" si="64"/>
        <v>0</v>
      </c>
      <c r="L1388" s="68">
        <f t="shared" si="65"/>
        <v>0</v>
      </c>
    </row>
    <row r="1389" spans="2:12" x14ac:dyDescent="0.85">
      <c r="B1389" s="46">
        <v>1383</v>
      </c>
      <c r="C1389" s="10"/>
      <c r="D1389" s="66"/>
      <c r="E1389" s="10"/>
      <c r="F1389" s="226"/>
      <c r="G1389" s="47">
        <v>1</v>
      </c>
      <c r="H1389" s="72"/>
      <c r="I1389" s="10"/>
      <c r="J1389" s="46">
        <f t="shared" si="63"/>
        <v>1</v>
      </c>
      <c r="K1389" s="46">
        <f t="shared" si="64"/>
        <v>0</v>
      </c>
      <c r="L1389" s="69">
        <f t="shared" si="65"/>
        <v>0</v>
      </c>
    </row>
    <row r="1390" spans="2:12" x14ac:dyDescent="0.85">
      <c r="B1390" s="48">
        <v>1384</v>
      </c>
      <c r="C1390" s="44"/>
      <c r="D1390" s="50"/>
      <c r="E1390" s="44"/>
      <c r="F1390" s="227"/>
      <c r="G1390" s="49">
        <v>1</v>
      </c>
      <c r="H1390" s="73"/>
      <c r="I1390" s="44"/>
      <c r="J1390" s="48">
        <f t="shared" si="63"/>
        <v>1</v>
      </c>
      <c r="K1390" s="48">
        <f t="shared" si="64"/>
        <v>0</v>
      </c>
      <c r="L1390" s="68">
        <f t="shared" si="65"/>
        <v>0</v>
      </c>
    </row>
    <row r="1391" spans="2:12" x14ac:dyDescent="0.85">
      <c r="B1391" s="46">
        <v>1385</v>
      </c>
      <c r="C1391" s="10"/>
      <c r="D1391" s="66"/>
      <c r="E1391" s="10"/>
      <c r="F1391" s="226"/>
      <c r="G1391" s="47">
        <v>1</v>
      </c>
      <c r="H1391" s="72"/>
      <c r="I1391" s="10"/>
      <c r="J1391" s="46">
        <f t="shared" si="63"/>
        <v>1</v>
      </c>
      <c r="K1391" s="46">
        <f t="shared" si="64"/>
        <v>0</v>
      </c>
      <c r="L1391" s="69">
        <f t="shared" si="65"/>
        <v>0</v>
      </c>
    </row>
    <row r="1392" spans="2:12" x14ac:dyDescent="0.85">
      <c r="B1392" s="48">
        <v>1386</v>
      </c>
      <c r="C1392" s="44"/>
      <c r="D1392" s="50"/>
      <c r="E1392" s="44"/>
      <c r="F1392" s="227"/>
      <c r="G1392" s="49">
        <v>1</v>
      </c>
      <c r="H1392" s="73"/>
      <c r="I1392" s="44"/>
      <c r="J1392" s="48">
        <f t="shared" si="63"/>
        <v>1</v>
      </c>
      <c r="K1392" s="48">
        <f t="shared" si="64"/>
        <v>0</v>
      </c>
      <c r="L1392" s="68">
        <f t="shared" si="65"/>
        <v>0</v>
      </c>
    </row>
    <row r="1393" spans="2:12" x14ac:dyDescent="0.85">
      <c r="B1393" s="46">
        <v>1387</v>
      </c>
      <c r="C1393" s="10"/>
      <c r="D1393" s="66"/>
      <c r="E1393" s="10"/>
      <c r="F1393" s="226"/>
      <c r="G1393" s="47">
        <v>1</v>
      </c>
      <c r="H1393" s="72"/>
      <c r="I1393" s="10"/>
      <c r="J1393" s="46">
        <f t="shared" si="63"/>
        <v>1</v>
      </c>
      <c r="K1393" s="46">
        <f t="shared" si="64"/>
        <v>0</v>
      </c>
      <c r="L1393" s="69">
        <f t="shared" si="65"/>
        <v>0</v>
      </c>
    </row>
    <row r="1394" spans="2:12" x14ac:dyDescent="0.85">
      <c r="B1394" s="48">
        <v>1388</v>
      </c>
      <c r="C1394" s="44"/>
      <c r="D1394" s="50"/>
      <c r="E1394" s="44"/>
      <c r="F1394" s="227"/>
      <c r="G1394" s="49">
        <v>1</v>
      </c>
      <c r="H1394" s="73"/>
      <c r="I1394" s="44"/>
      <c r="J1394" s="48">
        <f t="shared" si="63"/>
        <v>1</v>
      </c>
      <c r="K1394" s="48">
        <f t="shared" si="64"/>
        <v>0</v>
      </c>
      <c r="L1394" s="68">
        <f t="shared" si="65"/>
        <v>0</v>
      </c>
    </row>
    <row r="1395" spans="2:12" x14ac:dyDescent="0.85">
      <c r="B1395" s="46">
        <v>1389</v>
      </c>
      <c r="C1395" s="10"/>
      <c r="D1395" s="66"/>
      <c r="E1395" s="10"/>
      <c r="F1395" s="226"/>
      <c r="G1395" s="47">
        <v>1</v>
      </c>
      <c r="H1395" s="72"/>
      <c r="I1395" s="10"/>
      <c r="J1395" s="46">
        <f t="shared" si="63"/>
        <v>1</v>
      </c>
      <c r="K1395" s="46">
        <f t="shared" si="64"/>
        <v>0</v>
      </c>
      <c r="L1395" s="69">
        <f t="shared" si="65"/>
        <v>0</v>
      </c>
    </row>
    <row r="1396" spans="2:12" x14ac:dyDescent="0.85">
      <c r="B1396" s="48">
        <v>1390</v>
      </c>
      <c r="C1396" s="44"/>
      <c r="D1396" s="50"/>
      <c r="E1396" s="44"/>
      <c r="F1396" s="227"/>
      <c r="G1396" s="49">
        <v>1</v>
      </c>
      <c r="H1396" s="73"/>
      <c r="I1396" s="44"/>
      <c r="J1396" s="48">
        <f t="shared" si="63"/>
        <v>1</v>
      </c>
      <c r="K1396" s="48">
        <f t="shared" si="64"/>
        <v>0</v>
      </c>
      <c r="L1396" s="68">
        <f t="shared" si="65"/>
        <v>0</v>
      </c>
    </row>
    <row r="1397" spans="2:12" x14ac:dyDescent="0.85">
      <c r="B1397" s="46">
        <v>1391</v>
      </c>
      <c r="C1397" s="10"/>
      <c r="D1397" s="66"/>
      <c r="E1397" s="10"/>
      <c r="F1397" s="226"/>
      <c r="G1397" s="47">
        <v>1</v>
      </c>
      <c r="H1397" s="72"/>
      <c r="I1397" s="10"/>
      <c r="J1397" s="46">
        <f t="shared" si="63"/>
        <v>1</v>
      </c>
      <c r="K1397" s="46">
        <f t="shared" si="64"/>
        <v>0</v>
      </c>
      <c r="L1397" s="69">
        <f t="shared" si="65"/>
        <v>0</v>
      </c>
    </row>
    <row r="1398" spans="2:12" x14ac:dyDescent="0.85">
      <c r="B1398" s="48">
        <v>1392</v>
      </c>
      <c r="C1398" s="44"/>
      <c r="D1398" s="50"/>
      <c r="E1398" s="44"/>
      <c r="F1398" s="227"/>
      <c r="G1398" s="49">
        <v>1</v>
      </c>
      <c r="H1398" s="73"/>
      <c r="I1398" s="44"/>
      <c r="J1398" s="48">
        <f t="shared" si="63"/>
        <v>1</v>
      </c>
      <c r="K1398" s="48">
        <f t="shared" si="64"/>
        <v>0</v>
      </c>
      <c r="L1398" s="68">
        <f t="shared" si="65"/>
        <v>0</v>
      </c>
    </row>
    <row r="1399" spans="2:12" x14ac:dyDescent="0.85">
      <c r="B1399" s="46">
        <v>1393</v>
      </c>
      <c r="C1399" s="10"/>
      <c r="D1399" s="66"/>
      <c r="E1399" s="10"/>
      <c r="F1399" s="226"/>
      <c r="G1399" s="47">
        <v>1</v>
      </c>
      <c r="H1399" s="72"/>
      <c r="I1399" s="10"/>
      <c r="J1399" s="46">
        <f t="shared" si="63"/>
        <v>1</v>
      </c>
      <c r="K1399" s="46">
        <f t="shared" si="64"/>
        <v>0</v>
      </c>
      <c r="L1399" s="69">
        <f t="shared" si="65"/>
        <v>0</v>
      </c>
    </row>
    <row r="1400" spans="2:12" x14ac:dyDescent="0.85">
      <c r="B1400" s="48">
        <v>1394</v>
      </c>
      <c r="C1400" s="44"/>
      <c r="D1400" s="50"/>
      <c r="E1400" s="44"/>
      <c r="F1400" s="227"/>
      <c r="G1400" s="49">
        <v>1</v>
      </c>
      <c r="H1400" s="73"/>
      <c r="I1400" s="44"/>
      <c r="J1400" s="48">
        <f t="shared" si="63"/>
        <v>1</v>
      </c>
      <c r="K1400" s="48">
        <f t="shared" si="64"/>
        <v>0</v>
      </c>
      <c r="L1400" s="68">
        <f t="shared" si="65"/>
        <v>0</v>
      </c>
    </row>
    <row r="1401" spans="2:12" x14ac:dyDescent="0.85">
      <c r="B1401" s="46">
        <v>1395</v>
      </c>
      <c r="C1401" s="10"/>
      <c r="D1401" s="66"/>
      <c r="E1401" s="10"/>
      <c r="F1401" s="226"/>
      <c r="G1401" s="47">
        <v>1</v>
      </c>
      <c r="H1401" s="72"/>
      <c r="I1401" s="10"/>
      <c r="J1401" s="46">
        <f t="shared" si="63"/>
        <v>1</v>
      </c>
      <c r="K1401" s="46">
        <f t="shared" si="64"/>
        <v>0</v>
      </c>
      <c r="L1401" s="69">
        <f t="shared" si="65"/>
        <v>0</v>
      </c>
    </row>
    <row r="1402" spans="2:12" x14ac:dyDescent="0.85">
      <c r="B1402" s="48">
        <v>1396</v>
      </c>
      <c r="C1402" s="44"/>
      <c r="D1402" s="50"/>
      <c r="E1402" s="44"/>
      <c r="F1402" s="227"/>
      <c r="G1402" s="49">
        <v>1</v>
      </c>
      <c r="H1402" s="73"/>
      <c r="I1402" s="44"/>
      <c r="J1402" s="48">
        <f t="shared" si="63"/>
        <v>1</v>
      </c>
      <c r="K1402" s="48">
        <f t="shared" si="64"/>
        <v>0</v>
      </c>
      <c r="L1402" s="68">
        <f t="shared" si="65"/>
        <v>0</v>
      </c>
    </row>
    <row r="1403" spans="2:12" x14ac:dyDescent="0.85">
      <c r="B1403" s="46">
        <v>1397</v>
      </c>
      <c r="C1403" s="10"/>
      <c r="D1403" s="66"/>
      <c r="E1403" s="10"/>
      <c r="F1403" s="226"/>
      <c r="G1403" s="47">
        <v>1</v>
      </c>
      <c r="H1403" s="72"/>
      <c r="I1403" s="10"/>
      <c r="J1403" s="46">
        <f t="shared" si="63"/>
        <v>1</v>
      </c>
      <c r="K1403" s="46">
        <f t="shared" si="64"/>
        <v>0</v>
      </c>
      <c r="L1403" s="69">
        <f t="shared" si="65"/>
        <v>0</v>
      </c>
    </row>
    <row r="1404" spans="2:12" x14ac:dyDescent="0.85">
      <c r="B1404" s="48">
        <v>1398</v>
      </c>
      <c r="C1404" s="44"/>
      <c r="D1404" s="50"/>
      <c r="E1404" s="44"/>
      <c r="F1404" s="227"/>
      <c r="G1404" s="49">
        <v>1</v>
      </c>
      <c r="H1404" s="73"/>
      <c r="I1404" s="44"/>
      <c r="J1404" s="48">
        <f t="shared" si="63"/>
        <v>1</v>
      </c>
      <c r="K1404" s="48">
        <f t="shared" si="64"/>
        <v>0</v>
      </c>
      <c r="L1404" s="68">
        <f t="shared" si="65"/>
        <v>0</v>
      </c>
    </row>
    <row r="1405" spans="2:12" x14ac:dyDescent="0.85">
      <c r="B1405" s="46">
        <v>1399</v>
      </c>
      <c r="C1405" s="10"/>
      <c r="D1405" s="66"/>
      <c r="E1405" s="10"/>
      <c r="F1405" s="226"/>
      <c r="G1405" s="47">
        <v>1</v>
      </c>
      <c r="H1405" s="72"/>
      <c r="I1405" s="10"/>
      <c r="J1405" s="46">
        <f t="shared" si="63"/>
        <v>1</v>
      </c>
      <c r="K1405" s="46">
        <f t="shared" si="64"/>
        <v>0</v>
      </c>
      <c r="L1405" s="69">
        <f t="shared" si="65"/>
        <v>0</v>
      </c>
    </row>
    <row r="1406" spans="2:12" x14ac:dyDescent="0.85">
      <c r="B1406" s="48">
        <v>1400</v>
      </c>
      <c r="C1406" s="44"/>
      <c r="D1406" s="50"/>
      <c r="E1406" s="44"/>
      <c r="F1406" s="227"/>
      <c r="G1406" s="49">
        <v>1</v>
      </c>
      <c r="H1406" s="73"/>
      <c r="I1406" s="44"/>
      <c r="J1406" s="48">
        <f t="shared" si="63"/>
        <v>1</v>
      </c>
      <c r="K1406" s="48">
        <f t="shared" si="64"/>
        <v>0</v>
      </c>
      <c r="L1406" s="68">
        <f t="shared" si="65"/>
        <v>0</v>
      </c>
    </row>
    <row r="1407" spans="2:12" x14ac:dyDescent="0.85">
      <c r="B1407" s="46">
        <v>1401</v>
      </c>
      <c r="C1407" s="10"/>
      <c r="D1407" s="66"/>
      <c r="E1407" s="10"/>
      <c r="F1407" s="226"/>
      <c r="G1407" s="47">
        <v>1</v>
      </c>
      <c r="H1407" s="72"/>
      <c r="I1407" s="10"/>
      <c r="J1407" s="46">
        <f t="shared" si="63"/>
        <v>1</v>
      </c>
      <c r="K1407" s="46">
        <f t="shared" si="64"/>
        <v>0</v>
      </c>
      <c r="L1407" s="69">
        <f t="shared" si="65"/>
        <v>0</v>
      </c>
    </row>
    <row r="1408" spans="2:12" x14ac:dyDescent="0.85">
      <c r="B1408" s="48">
        <v>1402</v>
      </c>
      <c r="C1408" s="44"/>
      <c r="D1408" s="50"/>
      <c r="E1408" s="44"/>
      <c r="F1408" s="227"/>
      <c r="G1408" s="49">
        <v>1</v>
      </c>
      <c r="H1408" s="73"/>
      <c r="I1408" s="44"/>
      <c r="J1408" s="48">
        <f t="shared" si="63"/>
        <v>1</v>
      </c>
      <c r="K1408" s="48">
        <f t="shared" si="64"/>
        <v>0</v>
      </c>
      <c r="L1408" s="68">
        <f t="shared" si="65"/>
        <v>0</v>
      </c>
    </row>
    <row r="1409" spans="2:12" x14ac:dyDescent="0.85">
      <c r="B1409" s="46">
        <v>1403</v>
      </c>
      <c r="C1409" s="10"/>
      <c r="D1409" s="66"/>
      <c r="E1409" s="10"/>
      <c r="F1409" s="226"/>
      <c r="G1409" s="47">
        <v>1</v>
      </c>
      <c r="H1409" s="72"/>
      <c r="I1409" s="10"/>
      <c r="J1409" s="46">
        <f t="shared" si="63"/>
        <v>1</v>
      </c>
      <c r="K1409" s="46">
        <f t="shared" si="64"/>
        <v>0</v>
      </c>
      <c r="L1409" s="69">
        <f t="shared" si="65"/>
        <v>0</v>
      </c>
    </row>
    <row r="1410" spans="2:12" x14ac:dyDescent="0.85">
      <c r="B1410" s="48">
        <v>1404</v>
      </c>
      <c r="C1410" s="44"/>
      <c r="D1410" s="50"/>
      <c r="E1410" s="44"/>
      <c r="F1410" s="227"/>
      <c r="G1410" s="49">
        <v>1</v>
      </c>
      <c r="H1410" s="73"/>
      <c r="I1410" s="44"/>
      <c r="J1410" s="48">
        <f t="shared" si="63"/>
        <v>1</v>
      </c>
      <c r="K1410" s="48">
        <f t="shared" si="64"/>
        <v>0</v>
      </c>
      <c r="L1410" s="68">
        <f t="shared" si="65"/>
        <v>0</v>
      </c>
    </row>
    <row r="1411" spans="2:12" x14ac:dyDescent="0.85">
      <c r="B1411" s="46">
        <v>1405</v>
      </c>
      <c r="C1411" s="10"/>
      <c r="D1411" s="66"/>
      <c r="E1411" s="10"/>
      <c r="F1411" s="226"/>
      <c r="G1411" s="47">
        <v>1</v>
      </c>
      <c r="H1411" s="72"/>
      <c r="I1411" s="10"/>
      <c r="J1411" s="46">
        <f t="shared" si="63"/>
        <v>1</v>
      </c>
      <c r="K1411" s="46">
        <f t="shared" si="64"/>
        <v>0</v>
      </c>
      <c r="L1411" s="69">
        <f t="shared" si="65"/>
        <v>0</v>
      </c>
    </row>
    <row r="1412" spans="2:12" x14ac:dyDescent="0.85">
      <c r="B1412" s="48">
        <v>1406</v>
      </c>
      <c r="C1412" s="44"/>
      <c r="D1412" s="50"/>
      <c r="E1412" s="44"/>
      <c r="F1412" s="227"/>
      <c r="G1412" s="49">
        <v>1</v>
      </c>
      <c r="H1412" s="73"/>
      <c r="I1412" s="44"/>
      <c r="J1412" s="48">
        <f t="shared" si="63"/>
        <v>1</v>
      </c>
      <c r="K1412" s="48">
        <f t="shared" si="64"/>
        <v>0</v>
      </c>
      <c r="L1412" s="68">
        <f t="shared" si="65"/>
        <v>0</v>
      </c>
    </row>
    <row r="1413" spans="2:12" x14ac:dyDescent="0.85">
      <c r="B1413" s="46">
        <v>1407</v>
      </c>
      <c r="C1413" s="10"/>
      <c r="D1413" s="66"/>
      <c r="E1413" s="10"/>
      <c r="F1413" s="226"/>
      <c r="G1413" s="47">
        <v>1</v>
      </c>
      <c r="H1413" s="72"/>
      <c r="I1413" s="10"/>
      <c r="J1413" s="46">
        <f t="shared" si="63"/>
        <v>1</v>
      </c>
      <c r="K1413" s="46">
        <f t="shared" si="64"/>
        <v>0</v>
      </c>
      <c r="L1413" s="69">
        <f t="shared" si="65"/>
        <v>0</v>
      </c>
    </row>
    <row r="1414" spans="2:12" x14ac:dyDescent="0.85">
      <c r="B1414" s="48">
        <v>1408</v>
      </c>
      <c r="C1414" s="44"/>
      <c r="D1414" s="50"/>
      <c r="E1414" s="44"/>
      <c r="F1414" s="227"/>
      <c r="G1414" s="49">
        <v>1</v>
      </c>
      <c r="H1414" s="73"/>
      <c r="I1414" s="44"/>
      <c r="J1414" s="48">
        <f t="shared" si="63"/>
        <v>1</v>
      </c>
      <c r="K1414" s="48">
        <f t="shared" si="64"/>
        <v>0</v>
      </c>
      <c r="L1414" s="68">
        <f t="shared" si="65"/>
        <v>0</v>
      </c>
    </row>
    <row r="1415" spans="2:12" x14ac:dyDescent="0.85">
      <c r="B1415" s="46">
        <v>1409</v>
      </c>
      <c r="C1415" s="10"/>
      <c r="D1415" s="66"/>
      <c r="E1415" s="10"/>
      <c r="F1415" s="226"/>
      <c r="G1415" s="47">
        <v>1</v>
      </c>
      <c r="H1415" s="72"/>
      <c r="I1415" s="10"/>
      <c r="J1415" s="46">
        <f t="shared" ref="J1415:J1478" si="66">IF(ISBLANK(H1415),1,H1415)</f>
        <v>1</v>
      </c>
      <c r="K1415" s="46">
        <f t="shared" ref="K1415:K1478" si="67">IF(COUNTIF(FreeElements, E1415)&gt;0, F1415, 0)</f>
        <v>0</v>
      </c>
      <c r="L1415" s="69">
        <f t="shared" ref="L1415:L1478" si="68">J1415*K1415</f>
        <v>0</v>
      </c>
    </row>
    <row r="1416" spans="2:12" x14ac:dyDescent="0.85">
      <c r="B1416" s="48">
        <v>1410</v>
      </c>
      <c r="C1416" s="44"/>
      <c r="D1416" s="50"/>
      <c r="E1416" s="44"/>
      <c r="F1416" s="227"/>
      <c r="G1416" s="49">
        <v>1</v>
      </c>
      <c r="H1416" s="73"/>
      <c r="I1416" s="44"/>
      <c r="J1416" s="48">
        <f t="shared" si="66"/>
        <v>1</v>
      </c>
      <c r="K1416" s="48">
        <f t="shared" si="67"/>
        <v>0</v>
      </c>
      <c r="L1416" s="68">
        <f t="shared" si="68"/>
        <v>0</v>
      </c>
    </row>
    <row r="1417" spans="2:12" x14ac:dyDescent="0.85">
      <c r="B1417" s="46">
        <v>1411</v>
      </c>
      <c r="C1417" s="10"/>
      <c r="D1417" s="66"/>
      <c r="E1417" s="10"/>
      <c r="F1417" s="226"/>
      <c r="G1417" s="47">
        <v>1</v>
      </c>
      <c r="H1417" s="72"/>
      <c r="I1417" s="10"/>
      <c r="J1417" s="46">
        <f t="shared" si="66"/>
        <v>1</v>
      </c>
      <c r="K1417" s="46">
        <f t="shared" si="67"/>
        <v>0</v>
      </c>
      <c r="L1417" s="69">
        <f t="shared" si="68"/>
        <v>0</v>
      </c>
    </row>
    <row r="1418" spans="2:12" x14ac:dyDescent="0.85">
      <c r="B1418" s="48">
        <v>1412</v>
      </c>
      <c r="C1418" s="44"/>
      <c r="D1418" s="50"/>
      <c r="E1418" s="44"/>
      <c r="F1418" s="227"/>
      <c r="G1418" s="49">
        <v>1</v>
      </c>
      <c r="H1418" s="73"/>
      <c r="I1418" s="44"/>
      <c r="J1418" s="48">
        <f t="shared" si="66"/>
        <v>1</v>
      </c>
      <c r="K1418" s="48">
        <f t="shared" si="67"/>
        <v>0</v>
      </c>
      <c r="L1418" s="68">
        <f t="shared" si="68"/>
        <v>0</v>
      </c>
    </row>
    <row r="1419" spans="2:12" x14ac:dyDescent="0.85">
      <c r="B1419" s="46">
        <v>1413</v>
      </c>
      <c r="C1419" s="10"/>
      <c r="D1419" s="66"/>
      <c r="E1419" s="10"/>
      <c r="F1419" s="226"/>
      <c r="G1419" s="47">
        <v>1</v>
      </c>
      <c r="H1419" s="72"/>
      <c r="I1419" s="10"/>
      <c r="J1419" s="46">
        <f t="shared" si="66"/>
        <v>1</v>
      </c>
      <c r="K1419" s="46">
        <f t="shared" si="67"/>
        <v>0</v>
      </c>
      <c r="L1419" s="69">
        <f t="shared" si="68"/>
        <v>0</v>
      </c>
    </row>
    <row r="1420" spans="2:12" x14ac:dyDescent="0.85">
      <c r="B1420" s="48">
        <v>1414</v>
      </c>
      <c r="C1420" s="44"/>
      <c r="D1420" s="50"/>
      <c r="E1420" s="44"/>
      <c r="F1420" s="227"/>
      <c r="G1420" s="49">
        <v>1</v>
      </c>
      <c r="H1420" s="73"/>
      <c r="I1420" s="44"/>
      <c r="J1420" s="48">
        <f t="shared" si="66"/>
        <v>1</v>
      </c>
      <c r="K1420" s="48">
        <f t="shared" si="67"/>
        <v>0</v>
      </c>
      <c r="L1420" s="68">
        <f t="shared" si="68"/>
        <v>0</v>
      </c>
    </row>
    <row r="1421" spans="2:12" x14ac:dyDescent="0.85">
      <c r="B1421" s="46">
        <v>1415</v>
      </c>
      <c r="C1421" s="10"/>
      <c r="D1421" s="66"/>
      <c r="E1421" s="10"/>
      <c r="F1421" s="226"/>
      <c r="G1421" s="47">
        <v>1</v>
      </c>
      <c r="H1421" s="72"/>
      <c r="I1421" s="10"/>
      <c r="J1421" s="46">
        <f t="shared" si="66"/>
        <v>1</v>
      </c>
      <c r="K1421" s="46">
        <f t="shared" si="67"/>
        <v>0</v>
      </c>
      <c r="L1421" s="69">
        <f t="shared" si="68"/>
        <v>0</v>
      </c>
    </row>
    <row r="1422" spans="2:12" x14ac:dyDescent="0.85">
      <c r="B1422" s="48">
        <v>1416</v>
      </c>
      <c r="C1422" s="44"/>
      <c r="D1422" s="50"/>
      <c r="E1422" s="44"/>
      <c r="F1422" s="227"/>
      <c r="G1422" s="49">
        <v>1</v>
      </c>
      <c r="H1422" s="73"/>
      <c r="I1422" s="44"/>
      <c r="J1422" s="48">
        <f t="shared" si="66"/>
        <v>1</v>
      </c>
      <c r="K1422" s="48">
        <f t="shared" si="67"/>
        <v>0</v>
      </c>
      <c r="L1422" s="68">
        <f t="shared" si="68"/>
        <v>0</v>
      </c>
    </row>
    <row r="1423" spans="2:12" x14ac:dyDescent="0.85">
      <c r="B1423" s="46">
        <v>1417</v>
      </c>
      <c r="C1423" s="10"/>
      <c r="D1423" s="66"/>
      <c r="E1423" s="10"/>
      <c r="F1423" s="226"/>
      <c r="G1423" s="47">
        <v>1</v>
      </c>
      <c r="H1423" s="72"/>
      <c r="I1423" s="10"/>
      <c r="J1423" s="46">
        <f t="shared" si="66"/>
        <v>1</v>
      </c>
      <c r="K1423" s="46">
        <f t="shared" si="67"/>
        <v>0</v>
      </c>
      <c r="L1423" s="69">
        <f t="shared" si="68"/>
        <v>0</v>
      </c>
    </row>
    <row r="1424" spans="2:12" x14ac:dyDescent="0.85">
      <c r="B1424" s="48">
        <v>1418</v>
      </c>
      <c r="C1424" s="44"/>
      <c r="D1424" s="50"/>
      <c r="E1424" s="44"/>
      <c r="F1424" s="227"/>
      <c r="G1424" s="49">
        <v>1</v>
      </c>
      <c r="H1424" s="73"/>
      <c r="I1424" s="44"/>
      <c r="J1424" s="48">
        <f t="shared" si="66"/>
        <v>1</v>
      </c>
      <c r="K1424" s="48">
        <f t="shared" si="67"/>
        <v>0</v>
      </c>
      <c r="L1424" s="68">
        <f t="shared" si="68"/>
        <v>0</v>
      </c>
    </row>
    <row r="1425" spans="2:12" x14ac:dyDescent="0.85">
      <c r="B1425" s="46">
        <v>1419</v>
      </c>
      <c r="C1425" s="10"/>
      <c r="D1425" s="66"/>
      <c r="E1425" s="10"/>
      <c r="F1425" s="226"/>
      <c r="G1425" s="47">
        <v>1</v>
      </c>
      <c r="H1425" s="72"/>
      <c r="I1425" s="10"/>
      <c r="J1425" s="46">
        <f t="shared" si="66"/>
        <v>1</v>
      </c>
      <c r="K1425" s="46">
        <f t="shared" si="67"/>
        <v>0</v>
      </c>
      <c r="L1425" s="69">
        <f t="shared" si="68"/>
        <v>0</v>
      </c>
    </row>
    <row r="1426" spans="2:12" x14ac:dyDescent="0.85">
      <c r="B1426" s="48">
        <v>1420</v>
      </c>
      <c r="C1426" s="44"/>
      <c r="D1426" s="50"/>
      <c r="E1426" s="44"/>
      <c r="F1426" s="227"/>
      <c r="G1426" s="49">
        <v>1</v>
      </c>
      <c r="H1426" s="73"/>
      <c r="I1426" s="44"/>
      <c r="J1426" s="48">
        <f t="shared" si="66"/>
        <v>1</v>
      </c>
      <c r="K1426" s="48">
        <f t="shared" si="67"/>
        <v>0</v>
      </c>
      <c r="L1426" s="68">
        <f t="shared" si="68"/>
        <v>0</v>
      </c>
    </row>
    <row r="1427" spans="2:12" x14ac:dyDescent="0.85">
      <c r="B1427" s="46">
        <v>1421</v>
      </c>
      <c r="C1427" s="10"/>
      <c r="D1427" s="66"/>
      <c r="E1427" s="10"/>
      <c r="F1427" s="226"/>
      <c r="G1427" s="47">
        <v>1</v>
      </c>
      <c r="H1427" s="72"/>
      <c r="I1427" s="10"/>
      <c r="J1427" s="46">
        <f t="shared" si="66"/>
        <v>1</v>
      </c>
      <c r="K1427" s="46">
        <f t="shared" si="67"/>
        <v>0</v>
      </c>
      <c r="L1427" s="69">
        <f t="shared" si="68"/>
        <v>0</v>
      </c>
    </row>
    <row r="1428" spans="2:12" x14ac:dyDescent="0.85">
      <c r="B1428" s="48">
        <v>1422</v>
      </c>
      <c r="C1428" s="44"/>
      <c r="D1428" s="50"/>
      <c r="E1428" s="44"/>
      <c r="F1428" s="227"/>
      <c r="G1428" s="49">
        <v>1</v>
      </c>
      <c r="H1428" s="73"/>
      <c r="I1428" s="44"/>
      <c r="J1428" s="48">
        <f t="shared" si="66"/>
        <v>1</v>
      </c>
      <c r="K1428" s="48">
        <f t="shared" si="67"/>
        <v>0</v>
      </c>
      <c r="L1428" s="68">
        <f t="shared" si="68"/>
        <v>0</v>
      </c>
    </row>
    <row r="1429" spans="2:12" x14ac:dyDescent="0.85">
      <c r="B1429" s="46">
        <v>1423</v>
      </c>
      <c r="C1429" s="10"/>
      <c r="D1429" s="66"/>
      <c r="E1429" s="10"/>
      <c r="F1429" s="226"/>
      <c r="G1429" s="47">
        <v>1</v>
      </c>
      <c r="H1429" s="72"/>
      <c r="I1429" s="10"/>
      <c r="J1429" s="46">
        <f t="shared" si="66"/>
        <v>1</v>
      </c>
      <c r="K1429" s="46">
        <f t="shared" si="67"/>
        <v>0</v>
      </c>
      <c r="L1429" s="69">
        <f t="shared" si="68"/>
        <v>0</v>
      </c>
    </row>
    <row r="1430" spans="2:12" x14ac:dyDescent="0.85">
      <c r="B1430" s="48">
        <v>1424</v>
      </c>
      <c r="C1430" s="44"/>
      <c r="D1430" s="50"/>
      <c r="E1430" s="44"/>
      <c r="F1430" s="227"/>
      <c r="G1430" s="49">
        <v>1</v>
      </c>
      <c r="H1430" s="73"/>
      <c r="I1430" s="44"/>
      <c r="J1430" s="48">
        <f t="shared" si="66"/>
        <v>1</v>
      </c>
      <c r="K1430" s="48">
        <f t="shared" si="67"/>
        <v>0</v>
      </c>
      <c r="L1430" s="68">
        <f t="shared" si="68"/>
        <v>0</v>
      </c>
    </row>
    <row r="1431" spans="2:12" x14ac:dyDescent="0.85">
      <c r="B1431" s="46">
        <v>1425</v>
      </c>
      <c r="C1431" s="10"/>
      <c r="D1431" s="66"/>
      <c r="E1431" s="10"/>
      <c r="F1431" s="226"/>
      <c r="G1431" s="47">
        <v>1</v>
      </c>
      <c r="H1431" s="72"/>
      <c r="I1431" s="10"/>
      <c r="J1431" s="46">
        <f t="shared" si="66"/>
        <v>1</v>
      </c>
      <c r="K1431" s="46">
        <f t="shared" si="67"/>
        <v>0</v>
      </c>
      <c r="L1431" s="69">
        <f t="shared" si="68"/>
        <v>0</v>
      </c>
    </row>
    <row r="1432" spans="2:12" x14ac:dyDescent="0.85">
      <c r="B1432" s="48">
        <v>1426</v>
      </c>
      <c r="C1432" s="44"/>
      <c r="D1432" s="50"/>
      <c r="E1432" s="44"/>
      <c r="F1432" s="227"/>
      <c r="G1432" s="49">
        <v>1</v>
      </c>
      <c r="H1432" s="73"/>
      <c r="I1432" s="44"/>
      <c r="J1432" s="48">
        <f t="shared" si="66"/>
        <v>1</v>
      </c>
      <c r="K1432" s="48">
        <f t="shared" si="67"/>
        <v>0</v>
      </c>
      <c r="L1432" s="68">
        <f t="shared" si="68"/>
        <v>0</v>
      </c>
    </row>
    <row r="1433" spans="2:12" x14ac:dyDescent="0.85">
      <c r="B1433" s="46">
        <v>1427</v>
      </c>
      <c r="C1433" s="10"/>
      <c r="D1433" s="66"/>
      <c r="E1433" s="10"/>
      <c r="F1433" s="226"/>
      <c r="G1433" s="47">
        <v>1</v>
      </c>
      <c r="H1433" s="72"/>
      <c r="I1433" s="10"/>
      <c r="J1433" s="46">
        <f t="shared" si="66"/>
        <v>1</v>
      </c>
      <c r="K1433" s="46">
        <f t="shared" si="67"/>
        <v>0</v>
      </c>
      <c r="L1433" s="69">
        <f t="shared" si="68"/>
        <v>0</v>
      </c>
    </row>
    <row r="1434" spans="2:12" x14ac:dyDescent="0.85">
      <c r="B1434" s="48">
        <v>1428</v>
      </c>
      <c r="C1434" s="44"/>
      <c r="D1434" s="50"/>
      <c r="E1434" s="44"/>
      <c r="F1434" s="227"/>
      <c r="G1434" s="49">
        <v>1</v>
      </c>
      <c r="H1434" s="73"/>
      <c r="I1434" s="44"/>
      <c r="J1434" s="48">
        <f t="shared" si="66"/>
        <v>1</v>
      </c>
      <c r="K1434" s="48">
        <f t="shared" si="67"/>
        <v>0</v>
      </c>
      <c r="L1434" s="68">
        <f t="shared" si="68"/>
        <v>0</v>
      </c>
    </row>
    <row r="1435" spans="2:12" x14ac:dyDescent="0.85">
      <c r="B1435" s="46">
        <v>1429</v>
      </c>
      <c r="C1435" s="10"/>
      <c r="D1435" s="66"/>
      <c r="E1435" s="10"/>
      <c r="F1435" s="226"/>
      <c r="G1435" s="47">
        <v>1</v>
      </c>
      <c r="H1435" s="72"/>
      <c r="I1435" s="10"/>
      <c r="J1435" s="46">
        <f t="shared" si="66"/>
        <v>1</v>
      </c>
      <c r="K1435" s="46">
        <f t="shared" si="67"/>
        <v>0</v>
      </c>
      <c r="L1435" s="69">
        <f t="shared" si="68"/>
        <v>0</v>
      </c>
    </row>
    <row r="1436" spans="2:12" x14ac:dyDescent="0.85">
      <c r="B1436" s="48">
        <v>1430</v>
      </c>
      <c r="C1436" s="44"/>
      <c r="D1436" s="50"/>
      <c r="E1436" s="44"/>
      <c r="F1436" s="227"/>
      <c r="G1436" s="49">
        <v>1</v>
      </c>
      <c r="H1436" s="73"/>
      <c r="I1436" s="44"/>
      <c r="J1436" s="48">
        <f t="shared" si="66"/>
        <v>1</v>
      </c>
      <c r="K1436" s="48">
        <f t="shared" si="67"/>
        <v>0</v>
      </c>
      <c r="L1436" s="68">
        <f t="shared" si="68"/>
        <v>0</v>
      </c>
    </row>
    <row r="1437" spans="2:12" x14ac:dyDescent="0.85">
      <c r="B1437" s="46">
        <v>1431</v>
      </c>
      <c r="C1437" s="10"/>
      <c r="D1437" s="66"/>
      <c r="E1437" s="10"/>
      <c r="F1437" s="226"/>
      <c r="G1437" s="47">
        <v>1</v>
      </c>
      <c r="H1437" s="72"/>
      <c r="I1437" s="10"/>
      <c r="J1437" s="46">
        <f t="shared" si="66"/>
        <v>1</v>
      </c>
      <c r="K1437" s="46">
        <f t="shared" si="67"/>
        <v>0</v>
      </c>
      <c r="L1437" s="69">
        <f t="shared" si="68"/>
        <v>0</v>
      </c>
    </row>
    <row r="1438" spans="2:12" x14ac:dyDescent="0.85">
      <c r="B1438" s="48">
        <v>1432</v>
      </c>
      <c r="C1438" s="44"/>
      <c r="D1438" s="50"/>
      <c r="E1438" s="44"/>
      <c r="F1438" s="227"/>
      <c r="G1438" s="49">
        <v>1</v>
      </c>
      <c r="H1438" s="73"/>
      <c r="I1438" s="44"/>
      <c r="J1438" s="48">
        <f t="shared" si="66"/>
        <v>1</v>
      </c>
      <c r="K1438" s="48">
        <f t="shared" si="67"/>
        <v>0</v>
      </c>
      <c r="L1438" s="68">
        <f t="shared" si="68"/>
        <v>0</v>
      </c>
    </row>
    <row r="1439" spans="2:12" x14ac:dyDescent="0.85">
      <c r="B1439" s="46">
        <v>1433</v>
      </c>
      <c r="C1439" s="10"/>
      <c r="D1439" s="66"/>
      <c r="E1439" s="10"/>
      <c r="F1439" s="226"/>
      <c r="G1439" s="47">
        <v>1</v>
      </c>
      <c r="H1439" s="72"/>
      <c r="I1439" s="10"/>
      <c r="J1439" s="46">
        <f t="shared" si="66"/>
        <v>1</v>
      </c>
      <c r="K1439" s="46">
        <f t="shared" si="67"/>
        <v>0</v>
      </c>
      <c r="L1439" s="69">
        <f t="shared" si="68"/>
        <v>0</v>
      </c>
    </row>
    <row r="1440" spans="2:12" x14ac:dyDescent="0.85">
      <c r="B1440" s="48">
        <v>1434</v>
      </c>
      <c r="C1440" s="44"/>
      <c r="D1440" s="50"/>
      <c r="E1440" s="44"/>
      <c r="F1440" s="227"/>
      <c r="G1440" s="49">
        <v>1</v>
      </c>
      <c r="H1440" s="73"/>
      <c r="I1440" s="44"/>
      <c r="J1440" s="48">
        <f t="shared" si="66"/>
        <v>1</v>
      </c>
      <c r="K1440" s="48">
        <f t="shared" si="67"/>
        <v>0</v>
      </c>
      <c r="L1440" s="68">
        <f t="shared" si="68"/>
        <v>0</v>
      </c>
    </row>
    <row r="1441" spans="2:12" x14ac:dyDescent="0.85">
      <c r="B1441" s="46">
        <v>1435</v>
      </c>
      <c r="C1441" s="10"/>
      <c r="D1441" s="66"/>
      <c r="E1441" s="10"/>
      <c r="F1441" s="226"/>
      <c r="G1441" s="47">
        <v>1</v>
      </c>
      <c r="H1441" s="72"/>
      <c r="I1441" s="10"/>
      <c r="J1441" s="46">
        <f t="shared" si="66"/>
        <v>1</v>
      </c>
      <c r="K1441" s="46">
        <f t="shared" si="67"/>
        <v>0</v>
      </c>
      <c r="L1441" s="69">
        <f t="shared" si="68"/>
        <v>0</v>
      </c>
    </row>
    <row r="1442" spans="2:12" x14ac:dyDescent="0.85">
      <c r="B1442" s="48">
        <v>1436</v>
      </c>
      <c r="C1442" s="44"/>
      <c r="D1442" s="50"/>
      <c r="E1442" s="44"/>
      <c r="F1442" s="227"/>
      <c r="G1442" s="49">
        <v>1</v>
      </c>
      <c r="H1442" s="73"/>
      <c r="I1442" s="44"/>
      <c r="J1442" s="48">
        <f t="shared" si="66"/>
        <v>1</v>
      </c>
      <c r="K1442" s="48">
        <f t="shared" si="67"/>
        <v>0</v>
      </c>
      <c r="L1442" s="68">
        <f t="shared" si="68"/>
        <v>0</v>
      </c>
    </row>
    <row r="1443" spans="2:12" x14ac:dyDescent="0.85">
      <c r="B1443" s="46">
        <v>1437</v>
      </c>
      <c r="C1443" s="10"/>
      <c r="D1443" s="66"/>
      <c r="E1443" s="10"/>
      <c r="F1443" s="226"/>
      <c r="G1443" s="47">
        <v>1</v>
      </c>
      <c r="H1443" s="72"/>
      <c r="I1443" s="10"/>
      <c r="J1443" s="46">
        <f t="shared" si="66"/>
        <v>1</v>
      </c>
      <c r="K1443" s="46">
        <f t="shared" si="67"/>
        <v>0</v>
      </c>
      <c r="L1443" s="69">
        <f t="shared" si="68"/>
        <v>0</v>
      </c>
    </row>
    <row r="1444" spans="2:12" x14ac:dyDescent="0.85">
      <c r="B1444" s="48">
        <v>1438</v>
      </c>
      <c r="C1444" s="44"/>
      <c r="D1444" s="50"/>
      <c r="E1444" s="44"/>
      <c r="F1444" s="227"/>
      <c r="G1444" s="49">
        <v>1</v>
      </c>
      <c r="H1444" s="73"/>
      <c r="I1444" s="44"/>
      <c r="J1444" s="48">
        <f t="shared" si="66"/>
        <v>1</v>
      </c>
      <c r="K1444" s="48">
        <f t="shared" si="67"/>
        <v>0</v>
      </c>
      <c r="L1444" s="68">
        <f t="shared" si="68"/>
        <v>0</v>
      </c>
    </row>
    <row r="1445" spans="2:12" x14ac:dyDescent="0.85">
      <c r="B1445" s="46">
        <v>1439</v>
      </c>
      <c r="C1445" s="10"/>
      <c r="D1445" s="66"/>
      <c r="E1445" s="10"/>
      <c r="F1445" s="226"/>
      <c r="G1445" s="47">
        <v>1</v>
      </c>
      <c r="H1445" s="72"/>
      <c r="I1445" s="10"/>
      <c r="J1445" s="46">
        <f t="shared" si="66"/>
        <v>1</v>
      </c>
      <c r="K1445" s="46">
        <f t="shared" si="67"/>
        <v>0</v>
      </c>
      <c r="L1445" s="69">
        <f t="shared" si="68"/>
        <v>0</v>
      </c>
    </row>
    <row r="1446" spans="2:12" x14ac:dyDescent="0.85">
      <c r="B1446" s="48">
        <v>1440</v>
      </c>
      <c r="C1446" s="44"/>
      <c r="D1446" s="50"/>
      <c r="E1446" s="44"/>
      <c r="F1446" s="227"/>
      <c r="G1446" s="49">
        <v>1</v>
      </c>
      <c r="H1446" s="73"/>
      <c r="I1446" s="44"/>
      <c r="J1446" s="48">
        <f t="shared" si="66"/>
        <v>1</v>
      </c>
      <c r="K1446" s="48">
        <f t="shared" si="67"/>
        <v>0</v>
      </c>
      <c r="L1446" s="68">
        <f t="shared" si="68"/>
        <v>0</v>
      </c>
    </row>
    <row r="1447" spans="2:12" x14ac:dyDescent="0.85">
      <c r="B1447" s="46">
        <v>1441</v>
      </c>
      <c r="C1447" s="10"/>
      <c r="D1447" s="66"/>
      <c r="E1447" s="10"/>
      <c r="F1447" s="226"/>
      <c r="G1447" s="47">
        <v>1</v>
      </c>
      <c r="H1447" s="72"/>
      <c r="I1447" s="10"/>
      <c r="J1447" s="46">
        <f t="shared" si="66"/>
        <v>1</v>
      </c>
      <c r="K1447" s="46">
        <f t="shared" si="67"/>
        <v>0</v>
      </c>
      <c r="L1447" s="69">
        <f t="shared" si="68"/>
        <v>0</v>
      </c>
    </row>
    <row r="1448" spans="2:12" x14ac:dyDescent="0.85">
      <c r="B1448" s="48">
        <v>1442</v>
      </c>
      <c r="C1448" s="44"/>
      <c r="D1448" s="50"/>
      <c r="E1448" s="44"/>
      <c r="F1448" s="227"/>
      <c r="G1448" s="49">
        <v>1</v>
      </c>
      <c r="H1448" s="73"/>
      <c r="I1448" s="44"/>
      <c r="J1448" s="48">
        <f t="shared" si="66"/>
        <v>1</v>
      </c>
      <c r="K1448" s="48">
        <f t="shared" si="67"/>
        <v>0</v>
      </c>
      <c r="L1448" s="68">
        <f t="shared" si="68"/>
        <v>0</v>
      </c>
    </row>
    <row r="1449" spans="2:12" x14ac:dyDescent="0.85">
      <c r="B1449" s="46">
        <v>1443</v>
      </c>
      <c r="C1449" s="10"/>
      <c r="D1449" s="66"/>
      <c r="E1449" s="10"/>
      <c r="F1449" s="226"/>
      <c r="G1449" s="47">
        <v>1</v>
      </c>
      <c r="H1449" s="72"/>
      <c r="I1449" s="10"/>
      <c r="J1449" s="46">
        <f t="shared" si="66"/>
        <v>1</v>
      </c>
      <c r="K1449" s="46">
        <f t="shared" si="67"/>
        <v>0</v>
      </c>
      <c r="L1449" s="69">
        <f t="shared" si="68"/>
        <v>0</v>
      </c>
    </row>
    <row r="1450" spans="2:12" x14ac:dyDescent="0.85">
      <c r="B1450" s="48">
        <v>1444</v>
      </c>
      <c r="C1450" s="44"/>
      <c r="D1450" s="50"/>
      <c r="E1450" s="44"/>
      <c r="F1450" s="227"/>
      <c r="G1450" s="49">
        <v>1</v>
      </c>
      <c r="H1450" s="73"/>
      <c r="I1450" s="44"/>
      <c r="J1450" s="48">
        <f t="shared" si="66"/>
        <v>1</v>
      </c>
      <c r="K1450" s="48">
        <f t="shared" si="67"/>
        <v>0</v>
      </c>
      <c r="L1450" s="68">
        <f t="shared" si="68"/>
        <v>0</v>
      </c>
    </row>
    <row r="1451" spans="2:12" x14ac:dyDescent="0.85">
      <c r="B1451" s="46">
        <v>1445</v>
      </c>
      <c r="C1451" s="10"/>
      <c r="D1451" s="66"/>
      <c r="E1451" s="10"/>
      <c r="F1451" s="226"/>
      <c r="G1451" s="47">
        <v>1</v>
      </c>
      <c r="H1451" s="72"/>
      <c r="I1451" s="10"/>
      <c r="J1451" s="46">
        <f t="shared" si="66"/>
        <v>1</v>
      </c>
      <c r="K1451" s="46">
        <f t="shared" si="67"/>
        <v>0</v>
      </c>
      <c r="L1451" s="69">
        <f t="shared" si="68"/>
        <v>0</v>
      </c>
    </row>
    <row r="1452" spans="2:12" x14ac:dyDescent="0.85">
      <c r="B1452" s="48">
        <v>1446</v>
      </c>
      <c r="C1452" s="44"/>
      <c r="D1452" s="50"/>
      <c r="E1452" s="44"/>
      <c r="F1452" s="227"/>
      <c r="G1452" s="49">
        <v>1</v>
      </c>
      <c r="H1452" s="73"/>
      <c r="I1452" s="44"/>
      <c r="J1452" s="48">
        <f t="shared" si="66"/>
        <v>1</v>
      </c>
      <c r="K1452" s="48">
        <f t="shared" si="67"/>
        <v>0</v>
      </c>
      <c r="L1452" s="68">
        <f t="shared" si="68"/>
        <v>0</v>
      </c>
    </row>
    <row r="1453" spans="2:12" x14ac:dyDescent="0.85">
      <c r="B1453" s="46">
        <v>1447</v>
      </c>
      <c r="C1453" s="10"/>
      <c r="D1453" s="66"/>
      <c r="E1453" s="10"/>
      <c r="F1453" s="226"/>
      <c r="G1453" s="47">
        <v>1</v>
      </c>
      <c r="H1453" s="72"/>
      <c r="I1453" s="10"/>
      <c r="J1453" s="46">
        <f t="shared" si="66"/>
        <v>1</v>
      </c>
      <c r="K1453" s="46">
        <f t="shared" si="67"/>
        <v>0</v>
      </c>
      <c r="L1453" s="69">
        <f t="shared" si="68"/>
        <v>0</v>
      </c>
    </row>
    <row r="1454" spans="2:12" x14ac:dyDescent="0.85">
      <c r="B1454" s="48">
        <v>1448</v>
      </c>
      <c r="C1454" s="44"/>
      <c r="D1454" s="50"/>
      <c r="E1454" s="44"/>
      <c r="F1454" s="227"/>
      <c r="G1454" s="49">
        <v>1</v>
      </c>
      <c r="H1454" s="73"/>
      <c r="I1454" s="44"/>
      <c r="J1454" s="48">
        <f t="shared" si="66"/>
        <v>1</v>
      </c>
      <c r="K1454" s="48">
        <f t="shared" si="67"/>
        <v>0</v>
      </c>
      <c r="L1454" s="68">
        <f t="shared" si="68"/>
        <v>0</v>
      </c>
    </row>
    <row r="1455" spans="2:12" x14ac:dyDescent="0.85">
      <c r="B1455" s="46">
        <v>1449</v>
      </c>
      <c r="C1455" s="10"/>
      <c r="D1455" s="66"/>
      <c r="E1455" s="10"/>
      <c r="F1455" s="226"/>
      <c r="G1455" s="47">
        <v>1</v>
      </c>
      <c r="H1455" s="72"/>
      <c r="I1455" s="10"/>
      <c r="J1455" s="46">
        <f t="shared" si="66"/>
        <v>1</v>
      </c>
      <c r="K1455" s="46">
        <f t="shared" si="67"/>
        <v>0</v>
      </c>
      <c r="L1455" s="69">
        <f t="shared" si="68"/>
        <v>0</v>
      </c>
    </row>
    <row r="1456" spans="2:12" x14ac:dyDescent="0.85">
      <c r="B1456" s="48">
        <v>1450</v>
      </c>
      <c r="C1456" s="44"/>
      <c r="D1456" s="50"/>
      <c r="E1456" s="44"/>
      <c r="F1456" s="227"/>
      <c r="G1456" s="49">
        <v>1</v>
      </c>
      <c r="H1456" s="73"/>
      <c r="I1456" s="44"/>
      <c r="J1456" s="48">
        <f t="shared" si="66"/>
        <v>1</v>
      </c>
      <c r="K1456" s="48">
        <f t="shared" si="67"/>
        <v>0</v>
      </c>
      <c r="L1456" s="68">
        <f t="shared" si="68"/>
        <v>0</v>
      </c>
    </row>
    <row r="1457" spans="2:12" x14ac:dyDescent="0.85">
      <c r="B1457" s="46">
        <v>1451</v>
      </c>
      <c r="C1457" s="10"/>
      <c r="D1457" s="66"/>
      <c r="E1457" s="10"/>
      <c r="F1457" s="226"/>
      <c r="G1457" s="47">
        <v>1</v>
      </c>
      <c r="H1457" s="72"/>
      <c r="I1457" s="10"/>
      <c r="J1457" s="46">
        <f t="shared" si="66"/>
        <v>1</v>
      </c>
      <c r="K1457" s="46">
        <f t="shared" si="67"/>
        <v>0</v>
      </c>
      <c r="L1457" s="69">
        <f t="shared" si="68"/>
        <v>0</v>
      </c>
    </row>
    <row r="1458" spans="2:12" x14ac:dyDescent="0.85">
      <c r="B1458" s="48">
        <v>1452</v>
      </c>
      <c r="C1458" s="44"/>
      <c r="D1458" s="50"/>
      <c r="E1458" s="44"/>
      <c r="F1458" s="227"/>
      <c r="G1458" s="49">
        <v>1</v>
      </c>
      <c r="H1458" s="73"/>
      <c r="I1458" s="44"/>
      <c r="J1458" s="48">
        <f t="shared" si="66"/>
        <v>1</v>
      </c>
      <c r="K1458" s="48">
        <f t="shared" si="67"/>
        <v>0</v>
      </c>
      <c r="L1458" s="68">
        <f t="shared" si="68"/>
        <v>0</v>
      </c>
    </row>
    <row r="1459" spans="2:12" x14ac:dyDescent="0.85">
      <c r="B1459" s="46">
        <v>1453</v>
      </c>
      <c r="C1459" s="10"/>
      <c r="D1459" s="66"/>
      <c r="E1459" s="10"/>
      <c r="F1459" s="226"/>
      <c r="G1459" s="47">
        <v>1</v>
      </c>
      <c r="H1459" s="72"/>
      <c r="I1459" s="10"/>
      <c r="J1459" s="46">
        <f t="shared" si="66"/>
        <v>1</v>
      </c>
      <c r="K1459" s="46">
        <f t="shared" si="67"/>
        <v>0</v>
      </c>
      <c r="L1459" s="69">
        <f t="shared" si="68"/>
        <v>0</v>
      </c>
    </row>
    <row r="1460" spans="2:12" x14ac:dyDescent="0.85">
      <c r="B1460" s="48">
        <v>1454</v>
      </c>
      <c r="C1460" s="44"/>
      <c r="D1460" s="50"/>
      <c r="E1460" s="44"/>
      <c r="F1460" s="227"/>
      <c r="G1460" s="49">
        <v>1</v>
      </c>
      <c r="H1460" s="73"/>
      <c r="I1460" s="44"/>
      <c r="J1460" s="48">
        <f t="shared" si="66"/>
        <v>1</v>
      </c>
      <c r="K1460" s="48">
        <f t="shared" si="67"/>
        <v>0</v>
      </c>
      <c r="L1460" s="68">
        <f t="shared" si="68"/>
        <v>0</v>
      </c>
    </row>
    <row r="1461" spans="2:12" x14ac:dyDescent="0.85">
      <c r="B1461" s="46">
        <v>1455</v>
      </c>
      <c r="C1461" s="10"/>
      <c r="D1461" s="66"/>
      <c r="E1461" s="10"/>
      <c r="F1461" s="226"/>
      <c r="G1461" s="47">
        <v>1</v>
      </c>
      <c r="H1461" s="72"/>
      <c r="I1461" s="10"/>
      <c r="J1461" s="46">
        <f t="shared" si="66"/>
        <v>1</v>
      </c>
      <c r="K1461" s="46">
        <f t="shared" si="67"/>
        <v>0</v>
      </c>
      <c r="L1461" s="69">
        <f t="shared" si="68"/>
        <v>0</v>
      </c>
    </row>
    <row r="1462" spans="2:12" x14ac:dyDescent="0.85">
      <c r="B1462" s="48">
        <v>1456</v>
      </c>
      <c r="C1462" s="44"/>
      <c r="D1462" s="50"/>
      <c r="E1462" s="44"/>
      <c r="F1462" s="227"/>
      <c r="G1462" s="49">
        <v>1</v>
      </c>
      <c r="H1462" s="73"/>
      <c r="I1462" s="44"/>
      <c r="J1462" s="48">
        <f t="shared" si="66"/>
        <v>1</v>
      </c>
      <c r="K1462" s="48">
        <f t="shared" si="67"/>
        <v>0</v>
      </c>
      <c r="L1462" s="68">
        <f t="shared" si="68"/>
        <v>0</v>
      </c>
    </row>
    <row r="1463" spans="2:12" x14ac:dyDescent="0.85">
      <c r="B1463" s="46">
        <v>1457</v>
      </c>
      <c r="C1463" s="10"/>
      <c r="D1463" s="66"/>
      <c r="E1463" s="10"/>
      <c r="F1463" s="226"/>
      <c r="G1463" s="47">
        <v>1</v>
      </c>
      <c r="H1463" s="72"/>
      <c r="I1463" s="10"/>
      <c r="J1463" s="46">
        <f t="shared" si="66"/>
        <v>1</v>
      </c>
      <c r="K1463" s="46">
        <f t="shared" si="67"/>
        <v>0</v>
      </c>
      <c r="L1463" s="69">
        <f t="shared" si="68"/>
        <v>0</v>
      </c>
    </row>
    <row r="1464" spans="2:12" x14ac:dyDescent="0.85">
      <c r="B1464" s="48">
        <v>1458</v>
      </c>
      <c r="C1464" s="44"/>
      <c r="D1464" s="50"/>
      <c r="E1464" s="44"/>
      <c r="F1464" s="227"/>
      <c r="G1464" s="49">
        <v>1</v>
      </c>
      <c r="H1464" s="73"/>
      <c r="I1464" s="44"/>
      <c r="J1464" s="48">
        <f t="shared" si="66"/>
        <v>1</v>
      </c>
      <c r="K1464" s="48">
        <f t="shared" si="67"/>
        <v>0</v>
      </c>
      <c r="L1464" s="68">
        <f t="shared" si="68"/>
        <v>0</v>
      </c>
    </row>
    <row r="1465" spans="2:12" x14ac:dyDescent="0.85">
      <c r="B1465" s="46">
        <v>1459</v>
      </c>
      <c r="C1465" s="10"/>
      <c r="D1465" s="66"/>
      <c r="E1465" s="10"/>
      <c r="F1465" s="226"/>
      <c r="G1465" s="47">
        <v>1</v>
      </c>
      <c r="H1465" s="72"/>
      <c r="I1465" s="10"/>
      <c r="J1465" s="46">
        <f t="shared" si="66"/>
        <v>1</v>
      </c>
      <c r="K1465" s="46">
        <f t="shared" si="67"/>
        <v>0</v>
      </c>
      <c r="L1465" s="69">
        <f t="shared" si="68"/>
        <v>0</v>
      </c>
    </row>
    <row r="1466" spans="2:12" x14ac:dyDescent="0.85">
      <c r="B1466" s="48">
        <v>1460</v>
      </c>
      <c r="C1466" s="44"/>
      <c r="D1466" s="50"/>
      <c r="E1466" s="44"/>
      <c r="F1466" s="227"/>
      <c r="G1466" s="49">
        <v>1</v>
      </c>
      <c r="H1466" s="73"/>
      <c r="I1466" s="44"/>
      <c r="J1466" s="48">
        <f t="shared" si="66"/>
        <v>1</v>
      </c>
      <c r="K1466" s="48">
        <f t="shared" si="67"/>
        <v>0</v>
      </c>
      <c r="L1466" s="68">
        <f t="shared" si="68"/>
        <v>0</v>
      </c>
    </row>
    <row r="1467" spans="2:12" x14ac:dyDescent="0.85">
      <c r="B1467" s="46">
        <v>1461</v>
      </c>
      <c r="C1467" s="10"/>
      <c r="D1467" s="66"/>
      <c r="E1467" s="10"/>
      <c r="F1467" s="226"/>
      <c r="G1467" s="47">
        <v>1</v>
      </c>
      <c r="H1467" s="72"/>
      <c r="I1467" s="10"/>
      <c r="J1467" s="46">
        <f t="shared" si="66"/>
        <v>1</v>
      </c>
      <c r="K1467" s="46">
        <f t="shared" si="67"/>
        <v>0</v>
      </c>
      <c r="L1467" s="69">
        <f t="shared" si="68"/>
        <v>0</v>
      </c>
    </row>
    <row r="1468" spans="2:12" x14ac:dyDescent="0.85">
      <c r="B1468" s="48">
        <v>1462</v>
      </c>
      <c r="C1468" s="44"/>
      <c r="D1468" s="50"/>
      <c r="E1468" s="44"/>
      <c r="F1468" s="227"/>
      <c r="G1468" s="49">
        <v>1</v>
      </c>
      <c r="H1468" s="73"/>
      <c r="I1468" s="44"/>
      <c r="J1468" s="48">
        <f t="shared" si="66"/>
        <v>1</v>
      </c>
      <c r="K1468" s="48">
        <f t="shared" si="67"/>
        <v>0</v>
      </c>
      <c r="L1468" s="68">
        <f t="shared" si="68"/>
        <v>0</v>
      </c>
    </row>
    <row r="1469" spans="2:12" x14ac:dyDescent="0.85">
      <c r="B1469" s="46">
        <v>1463</v>
      </c>
      <c r="C1469" s="10"/>
      <c r="D1469" s="66"/>
      <c r="E1469" s="10"/>
      <c r="F1469" s="226"/>
      <c r="G1469" s="47">
        <v>1</v>
      </c>
      <c r="H1469" s="72"/>
      <c r="I1469" s="10"/>
      <c r="J1469" s="46">
        <f t="shared" si="66"/>
        <v>1</v>
      </c>
      <c r="K1469" s="46">
        <f t="shared" si="67"/>
        <v>0</v>
      </c>
      <c r="L1469" s="69">
        <f t="shared" si="68"/>
        <v>0</v>
      </c>
    </row>
    <row r="1470" spans="2:12" x14ac:dyDescent="0.85">
      <c r="B1470" s="48">
        <v>1464</v>
      </c>
      <c r="C1470" s="44"/>
      <c r="D1470" s="50"/>
      <c r="E1470" s="44"/>
      <c r="F1470" s="227"/>
      <c r="G1470" s="49">
        <v>1</v>
      </c>
      <c r="H1470" s="73"/>
      <c r="I1470" s="44"/>
      <c r="J1470" s="48">
        <f t="shared" si="66"/>
        <v>1</v>
      </c>
      <c r="K1470" s="48">
        <f t="shared" si="67"/>
        <v>0</v>
      </c>
      <c r="L1470" s="68">
        <f t="shared" si="68"/>
        <v>0</v>
      </c>
    </row>
    <row r="1471" spans="2:12" x14ac:dyDescent="0.85">
      <c r="B1471" s="46">
        <v>1465</v>
      </c>
      <c r="C1471" s="10"/>
      <c r="D1471" s="66"/>
      <c r="E1471" s="10"/>
      <c r="F1471" s="226"/>
      <c r="G1471" s="47">
        <v>1</v>
      </c>
      <c r="H1471" s="72"/>
      <c r="I1471" s="10"/>
      <c r="J1471" s="46">
        <f t="shared" si="66"/>
        <v>1</v>
      </c>
      <c r="K1471" s="46">
        <f t="shared" si="67"/>
        <v>0</v>
      </c>
      <c r="L1471" s="69">
        <f t="shared" si="68"/>
        <v>0</v>
      </c>
    </row>
    <row r="1472" spans="2:12" x14ac:dyDescent="0.85">
      <c r="B1472" s="48">
        <v>1466</v>
      </c>
      <c r="C1472" s="44"/>
      <c r="D1472" s="50"/>
      <c r="E1472" s="44"/>
      <c r="F1472" s="227"/>
      <c r="G1472" s="49">
        <v>1</v>
      </c>
      <c r="H1472" s="73"/>
      <c r="I1472" s="44"/>
      <c r="J1472" s="48">
        <f t="shared" si="66"/>
        <v>1</v>
      </c>
      <c r="K1472" s="48">
        <f t="shared" si="67"/>
        <v>0</v>
      </c>
      <c r="L1472" s="68">
        <f t="shared" si="68"/>
        <v>0</v>
      </c>
    </row>
    <row r="1473" spans="2:12" x14ac:dyDescent="0.85">
      <c r="B1473" s="46">
        <v>1467</v>
      </c>
      <c r="C1473" s="10"/>
      <c r="D1473" s="66"/>
      <c r="E1473" s="10"/>
      <c r="F1473" s="226"/>
      <c r="G1473" s="47">
        <v>1</v>
      </c>
      <c r="H1473" s="72"/>
      <c r="I1473" s="10"/>
      <c r="J1473" s="46">
        <f t="shared" si="66"/>
        <v>1</v>
      </c>
      <c r="K1473" s="46">
        <f t="shared" si="67"/>
        <v>0</v>
      </c>
      <c r="L1473" s="69">
        <f t="shared" si="68"/>
        <v>0</v>
      </c>
    </row>
    <row r="1474" spans="2:12" x14ac:dyDescent="0.85">
      <c r="B1474" s="48">
        <v>1468</v>
      </c>
      <c r="C1474" s="44"/>
      <c r="D1474" s="50"/>
      <c r="E1474" s="44"/>
      <c r="F1474" s="227"/>
      <c r="G1474" s="49">
        <v>1</v>
      </c>
      <c r="H1474" s="73"/>
      <c r="I1474" s="44"/>
      <c r="J1474" s="48">
        <f t="shared" si="66"/>
        <v>1</v>
      </c>
      <c r="K1474" s="48">
        <f t="shared" si="67"/>
        <v>0</v>
      </c>
      <c r="L1474" s="68">
        <f t="shared" si="68"/>
        <v>0</v>
      </c>
    </row>
    <row r="1475" spans="2:12" x14ac:dyDescent="0.85">
      <c r="B1475" s="46">
        <v>1469</v>
      </c>
      <c r="C1475" s="10"/>
      <c r="D1475" s="66"/>
      <c r="E1475" s="10"/>
      <c r="F1475" s="226"/>
      <c r="G1475" s="47">
        <v>1</v>
      </c>
      <c r="H1475" s="72"/>
      <c r="I1475" s="10"/>
      <c r="J1475" s="46">
        <f t="shared" si="66"/>
        <v>1</v>
      </c>
      <c r="K1475" s="46">
        <f t="shared" si="67"/>
        <v>0</v>
      </c>
      <c r="L1475" s="69">
        <f t="shared" si="68"/>
        <v>0</v>
      </c>
    </row>
    <row r="1476" spans="2:12" x14ac:dyDescent="0.85">
      <c r="B1476" s="48">
        <v>1470</v>
      </c>
      <c r="C1476" s="44"/>
      <c r="D1476" s="50"/>
      <c r="E1476" s="44"/>
      <c r="F1476" s="227"/>
      <c r="G1476" s="49">
        <v>1</v>
      </c>
      <c r="H1476" s="73"/>
      <c r="I1476" s="44"/>
      <c r="J1476" s="48">
        <f t="shared" si="66"/>
        <v>1</v>
      </c>
      <c r="K1476" s="48">
        <f t="shared" si="67"/>
        <v>0</v>
      </c>
      <c r="L1476" s="68">
        <f t="shared" si="68"/>
        <v>0</v>
      </c>
    </row>
    <row r="1477" spans="2:12" x14ac:dyDescent="0.85">
      <c r="B1477" s="46">
        <v>1471</v>
      </c>
      <c r="C1477" s="10"/>
      <c r="D1477" s="66"/>
      <c r="E1477" s="10"/>
      <c r="F1477" s="226"/>
      <c r="G1477" s="47">
        <v>1</v>
      </c>
      <c r="H1477" s="72"/>
      <c r="I1477" s="10"/>
      <c r="J1477" s="46">
        <f t="shared" si="66"/>
        <v>1</v>
      </c>
      <c r="K1477" s="46">
        <f t="shared" si="67"/>
        <v>0</v>
      </c>
      <c r="L1477" s="69">
        <f t="shared" si="68"/>
        <v>0</v>
      </c>
    </row>
    <row r="1478" spans="2:12" x14ac:dyDescent="0.85">
      <c r="B1478" s="48">
        <v>1472</v>
      </c>
      <c r="C1478" s="44"/>
      <c r="D1478" s="50"/>
      <c r="E1478" s="44"/>
      <c r="F1478" s="227"/>
      <c r="G1478" s="49">
        <v>1</v>
      </c>
      <c r="H1478" s="73"/>
      <c r="I1478" s="44"/>
      <c r="J1478" s="48">
        <f t="shared" si="66"/>
        <v>1</v>
      </c>
      <c r="K1478" s="48">
        <f t="shared" si="67"/>
        <v>0</v>
      </c>
      <c r="L1478" s="68">
        <f t="shared" si="68"/>
        <v>0</v>
      </c>
    </row>
    <row r="1479" spans="2:12" x14ac:dyDescent="0.85">
      <c r="B1479" s="46">
        <v>1473</v>
      </c>
      <c r="C1479" s="10"/>
      <c r="D1479" s="66"/>
      <c r="E1479" s="10"/>
      <c r="F1479" s="226"/>
      <c r="G1479" s="47">
        <v>1</v>
      </c>
      <c r="H1479" s="72"/>
      <c r="I1479" s="10"/>
      <c r="J1479" s="46">
        <f t="shared" ref="J1479:J1542" si="69">IF(ISBLANK(H1479),1,H1479)</f>
        <v>1</v>
      </c>
      <c r="K1479" s="46">
        <f t="shared" ref="K1479:K1542" si="70">IF(COUNTIF(FreeElements, E1479)&gt;0, F1479, 0)</f>
        <v>0</v>
      </c>
      <c r="L1479" s="69">
        <f t="shared" ref="L1479:L1542" si="71">J1479*K1479</f>
        <v>0</v>
      </c>
    </row>
    <row r="1480" spans="2:12" x14ac:dyDescent="0.85">
      <c r="B1480" s="48">
        <v>1474</v>
      </c>
      <c r="C1480" s="44"/>
      <c r="D1480" s="50"/>
      <c r="E1480" s="44"/>
      <c r="F1480" s="227"/>
      <c r="G1480" s="49">
        <v>1</v>
      </c>
      <c r="H1480" s="73"/>
      <c r="I1480" s="44"/>
      <c r="J1480" s="48">
        <f t="shared" si="69"/>
        <v>1</v>
      </c>
      <c r="K1480" s="48">
        <f t="shared" si="70"/>
        <v>0</v>
      </c>
      <c r="L1480" s="68">
        <f t="shared" si="71"/>
        <v>0</v>
      </c>
    </row>
    <row r="1481" spans="2:12" x14ac:dyDescent="0.85">
      <c r="B1481" s="46">
        <v>1475</v>
      </c>
      <c r="C1481" s="10"/>
      <c r="D1481" s="66"/>
      <c r="E1481" s="10"/>
      <c r="F1481" s="226"/>
      <c r="G1481" s="47">
        <v>1</v>
      </c>
      <c r="H1481" s="72"/>
      <c r="I1481" s="10"/>
      <c r="J1481" s="46">
        <f t="shared" si="69"/>
        <v>1</v>
      </c>
      <c r="K1481" s="46">
        <f t="shared" si="70"/>
        <v>0</v>
      </c>
      <c r="L1481" s="69">
        <f t="shared" si="71"/>
        <v>0</v>
      </c>
    </row>
    <row r="1482" spans="2:12" x14ac:dyDescent="0.85">
      <c r="B1482" s="48">
        <v>1476</v>
      </c>
      <c r="C1482" s="44"/>
      <c r="D1482" s="50"/>
      <c r="E1482" s="44"/>
      <c r="F1482" s="227"/>
      <c r="G1482" s="49">
        <v>1</v>
      </c>
      <c r="H1482" s="73"/>
      <c r="I1482" s="44"/>
      <c r="J1482" s="48">
        <f t="shared" si="69"/>
        <v>1</v>
      </c>
      <c r="K1482" s="48">
        <f t="shared" si="70"/>
        <v>0</v>
      </c>
      <c r="L1482" s="68">
        <f t="shared" si="71"/>
        <v>0</v>
      </c>
    </row>
    <row r="1483" spans="2:12" x14ac:dyDescent="0.85">
      <c r="B1483" s="46">
        <v>1477</v>
      </c>
      <c r="C1483" s="10"/>
      <c r="D1483" s="66"/>
      <c r="E1483" s="10"/>
      <c r="F1483" s="226"/>
      <c r="G1483" s="47">
        <v>1</v>
      </c>
      <c r="H1483" s="72"/>
      <c r="I1483" s="10"/>
      <c r="J1483" s="46">
        <f t="shared" si="69"/>
        <v>1</v>
      </c>
      <c r="K1483" s="46">
        <f t="shared" si="70"/>
        <v>0</v>
      </c>
      <c r="L1483" s="69">
        <f t="shared" si="71"/>
        <v>0</v>
      </c>
    </row>
    <row r="1484" spans="2:12" x14ac:dyDescent="0.85">
      <c r="B1484" s="48">
        <v>1478</v>
      </c>
      <c r="C1484" s="44"/>
      <c r="D1484" s="50"/>
      <c r="E1484" s="44"/>
      <c r="F1484" s="227"/>
      <c r="G1484" s="49">
        <v>1</v>
      </c>
      <c r="H1484" s="73"/>
      <c r="I1484" s="44"/>
      <c r="J1484" s="48">
        <f t="shared" si="69"/>
        <v>1</v>
      </c>
      <c r="K1484" s="48">
        <f t="shared" si="70"/>
        <v>0</v>
      </c>
      <c r="L1484" s="68">
        <f t="shared" si="71"/>
        <v>0</v>
      </c>
    </row>
    <row r="1485" spans="2:12" x14ac:dyDescent="0.85">
      <c r="B1485" s="46">
        <v>1479</v>
      </c>
      <c r="C1485" s="10"/>
      <c r="D1485" s="66"/>
      <c r="E1485" s="10"/>
      <c r="F1485" s="226"/>
      <c r="G1485" s="47">
        <v>1</v>
      </c>
      <c r="H1485" s="72"/>
      <c r="I1485" s="10"/>
      <c r="J1485" s="46">
        <f t="shared" si="69"/>
        <v>1</v>
      </c>
      <c r="K1485" s="46">
        <f t="shared" si="70"/>
        <v>0</v>
      </c>
      <c r="L1485" s="69">
        <f t="shared" si="71"/>
        <v>0</v>
      </c>
    </row>
    <row r="1486" spans="2:12" x14ac:dyDescent="0.85">
      <c r="B1486" s="48">
        <v>1480</v>
      </c>
      <c r="C1486" s="44"/>
      <c r="D1486" s="50"/>
      <c r="E1486" s="44"/>
      <c r="F1486" s="227"/>
      <c r="G1486" s="49">
        <v>1</v>
      </c>
      <c r="H1486" s="73"/>
      <c r="I1486" s="44"/>
      <c r="J1486" s="48">
        <f t="shared" si="69"/>
        <v>1</v>
      </c>
      <c r="K1486" s="48">
        <f t="shared" si="70"/>
        <v>0</v>
      </c>
      <c r="L1486" s="68">
        <f t="shared" si="71"/>
        <v>0</v>
      </c>
    </row>
    <row r="1487" spans="2:12" x14ac:dyDescent="0.85">
      <c r="B1487" s="46">
        <v>1481</v>
      </c>
      <c r="C1487" s="10"/>
      <c r="D1487" s="66"/>
      <c r="E1487" s="10"/>
      <c r="F1487" s="226"/>
      <c r="G1487" s="47">
        <v>1</v>
      </c>
      <c r="H1487" s="72"/>
      <c r="I1487" s="10"/>
      <c r="J1487" s="46">
        <f t="shared" si="69"/>
        <v>1</v>
      </c>
      <c r="K1487" s="46">
        <f t="shared" si="70"/>
        <v>0</v>
      </c>
      <c r="L1487" s="69">
        <f t="shared" si="71"/>
        <v>0</v>
      </c>
    </row>
    <row r="1488" spans="2:12" x14ac:dyDescent="0.85">
      <c r="B1488" s="48">
        <v>1482</v>
      </c>
      <c r="C1488" s="44"/>
      <c r="D1488" s="50"/>
      <c r="E1488" s="44"/>
      <c r="F1488" s="227"/>
      <c r="G1488" s="49">
        <v>1</v>
      </c>
      <c r="H1488" s="73"/>
      <c r="I1488" s="44"/>
      <c r="J1488" s="48">
        <f t="shared" si="69"/>
        <v>1</v>
      </c>
      <c r="K1488" s="48">
        <f t="shared" si="70"/>
        <v>0</v>
      </c>
      <c r="L1488" s="68">
        <f t="shared" si="71"/>
        <v>0</v>
      </c>
    </row>
    <row r="1489" spans="2:12" x14ac:dyDescent="0.85">
      <c r="B1489" s="46">
        <v>1483</v>
      </c>
      <c r="C1489" s="10"/>
      <c r="D1489" s="66"/>
      <c r="E1489" s="10"/>
      <c r="F1489" s="226"/>
      <c r="G1489" s="47">
        <v>1</v>
      </c>
      <c r="H1489" s="72"/>
      <c r="I1489" s="10"/>
      <c r="J1489" s="46">
        <f t="shared" si="69"/>
        <v>1</v>
      </c>
      <c r="K1489" s="46">
        <f t="shared" si="70"/>
        <v>0</v>
      </c>
      <c r="L1489" s="69">
        <f t="shared" si="71"/>
        <v>0</v>
      </c>
    </row>
    <row r="1490" spans="2:12" x14ac:dyDescent="0.85">
      <c r="B1490" s="48">
        <v>1484</v>
      </c>
      <c r="C1490" s="44"/>
      <c r="D1490" s="50"/>
      <c r="E1490" s="44"/>
      <c r="F1490" s="227"/>
      <c r="G1490" s="49">
        <v>1</v>
      </c>
      <c r="H1490" s="73"/>
      <c r="I1490" s="44"/>
      <c r="J1490" s="48">
        <f t="shared" si="69"/>
        <v>1</v>
      </c>
      <c r="K1490" s="48">
        <f t="shared" si="70"/>
        <v>0</v>
      </c>
      <c r="L1490" s="68">
        <f t="shared" si="71"/>
        <v>0</v>
      </c>
    </row>
    <row r="1491" spans="2:12" x14ac:dyDescent="0.85">
      <c r="B1491" s="46">
        <v>1485</v>
      </c>
      <c r="C1491" s="10"/>
      <c r="D1491" s="66"/>
      <c r="E1491" s="10"/>
      <c r="F1491" s="226"/>
      <c r="G1491" s="47">
        <v>1</v>
      </c>
      <c r="H1491" s="72"/>
      <c r="I1491" s="10"/>
      <c r="J1491" s="46">
        <f t="shared" si="69"/>
        <v>1</v>
      </c>
      <c r="K1491" s="46">
        <f t="shared" si="70"/>
        <v>0</v>
      </c>
      <c r="L1491" s="69">
        <f t="shared" si="71"/>
        <v>0</v>
      </c>
    </row>
    <row r="1492" spans="2:12" x14ac:dyDescent="0.85">
      <c r="B1492" s="48">
        <v>1486</v>
      </c>
      <c r="C1492" s="44"/>
      <c r="D1492" s="50"/>
      <c r="E1492" s="44"/>
      <c r="F1492" s="227"/>
      <c r="G1492" s="49">
        <v>1</v>
      </c>
      <c r="H1492" s="73"/>
      <c r="I1492" s="44"/>
      <c r="J1492" s="48">
        <f t="shared" si="69"/>
        <v>1</v>
      </c>
      <c r="K1492" s="48">
        <f t="shared" si="70"/>
        <v>0</v>
      </c>
      <c r="L1492" s="68">
        <f t="shared" si="71"/>
        <v>0</v>
      </c>
    </row>
    <row r="1493" spans="2:12" x14ac:dyDescent="0.85">
      <c r="B1493" s="46">
        <v>1487</v>
      </c>
      <c r="C1493" s="10"/>
      <c r="D1493" s="66"/>
      <c r="E1493" s="10"/>
      <c r="F1493" s="226"/>
      <c r="G1493" s="47">
        <v>1</v>
      </c>
      <c r="H1493" s="72"/>
      <c r="I1493" s="10"/>
      <c r="J1493" s="46">
        <f t="shared" si="69"/>
        <v>1</v>
      </c>
      <c r="K1493" s="46">
        <f t="shared" si="70"/>
        <v>0</v>
      </c>
      <c r="L1493" s="69">
        <f t="shared" si="71"/>
        <v>0</v>
      </c>
    </row>
    <row r="1494" spans="2:12" x14ac:dyDescent="0.85">
      <c r="B1494" s="48">
        <v>1488</v>
      </c>
      <c r="C1494" s="44"/>
      <c r="D1494" s="50"/>
      <c r="E1494" s="44"/>
      <c r="F1494" s="227"/>
      <c r="G1494" s="49">
        <v>1</v>
      </c>
      <c r="H1494" s="73"/>
      <c r="I1494" s="44"/>
      <c r="J1494" s="48">
        <f t="shared" si="69"/>
        <v>1</v>
      </c>
      <c r="K1494" s="48">
        <f t="shared" si="70"/>
        <v>0</v>
      </c>
      <c r="L1494" s="68">
        <f t="shared" si="71"/>
        <v>0</v>
      </c>
    </row>
    <row r="1495" spans="2:12" x14ac:dyDescent="0.85">
      <c r="B1495" s="46">
        <v>1489</v>
      </c>
      <c r="C1495" s="10"/>
      <c r="D1495" s="66"/>
      <c r="E1495" s="10"/>
      <c r="F1495" s="226"/>
      <c r="G1495" s="47">
        <v>1</v>
      </c>
      <c r="H1495" s="72"/>
      <c r="I1495" s="10"/>
      <c r="J1495" s="46">
        <f t="shared" si="69"/>
        <v>1</v>
      </c>
      <c r="K1495" s="46">
        <f t="shared" si="70"/>
        <v>0</v>
      </c>
      <c r="L1495" s="69">
        <f t="shared" si="71"/>
        <v>0</v>
      </c>
    </row>
    <row r="1496" spans="2:12" x14ac:dyDescent="0.85">
      <c r="B1496" s="48">
        <v>1490</v>
      </c>
      <c r="C1496" s="44"/>
      <c r="D1496" s="50"/>
      <c r="E1496" s="44"/>
      <c r="F1496" s="227"/>
      <c r="G1496" s="49">
        <v>1</v>
      </c>
      <c r="H1496" s="73"/>
      <c r="I1496" s="44"/>
      <c r="J1496" s="48">
        <f t="shared" si="69"/>
        <v>1</v>
      </c>
      <c r="K1496" s="48">
        <f t="shared" si="70"/>
        <v>0</v>
      </c>
      <c r="L1496" s="68">
        <f t="shared" si="71"/>
        <v>0</v>
      </c>
    </row>
    <row r="1497" spans="2:12" x14ac:dyDescent="0.85">
      <c r="B1497" s="46">
        <v>1491</v>
      </c>
      <c r="C1497" s="10"/>
      <c r="D1497" s="66"/>
      <c r="E1497" s="10"/>
      <c r="F1497" s="226"/>
      <c r="G1497" s="47">
        <v>1</v>
      </c>
      <c r="H1497" s="72"/>
      <c r="I1497" s="10"/>
      <c r="J1497" s="46">
        <f t="shared" si="69"/>
        <v>1</v>
      </c>
      <c r="K1497" s="46">
        <f t="shared" si="70"/>
        <v>0</v>
      </c>
      <c r="L1497" s="69">
        <f t="shared" si="71"/>
        <v>0</v>
      </c>
    </row>
    <row r="1498" spans="2:12" x14ac:dyDescent="0.85">
      <c r="B1498" s="48">
        <v>1492</v>
      </c>
      <c r="C1498" s="44"/>
      <c r="D1498" s="50"/>
      <c r="E1498" s="44"/>
      <c r="F1498" s="227"/>
      <c r="G1498" s="49">
        <v>1</v>
      </c>
      <c r="H1498" s="73"/>
      <c r="I1498" s="44"/>
      <c r="J1498" s="48">
        <f t="shared" si="69"/>
        <v>1</v>
      </c>
      <c r="K1498" s="48">
        <f t="shared" si="70"/>
        <v>0</v>
      </c>
      <c r="L1498" s="68">
        <f t="shared" si="71"/>
        <v>0</v>
      </c>
    </row>
    <row r="1499" spans="2:12" x14ac:dyDescent="0.85">
      <c r="B1499" s="46">
        <v>1493</v>
      </c>
      <c r="C1499" s="10"/>
      <c r="D1499" s="66"/>
      <c r="E1499" s="10"/>
      <c r="F1499" s="226"/>
      <c r="G1499" s="47">
        <v>1</v>
      </c>
      <c r="H1499" s="72"/>
      <c r="I1499" s="10"/>
      <c r="J1499" s="46">
        <f t="shared" si="69"/>
        <v>1</v>
      </c>
      <c r="K1499" s="46">
        <f t="shared" si="70"/>
        <v>0</v>
      </c>
      <c r="L1499" s="69">
        <f t="shared" si="71"/>
        <v>0</v>
      </c>
    </row>
    <row r="1500" spans="2:12" x14ac:dyDescent="0.85">
      <c r="B1500" s="48">
        <v>1494</v>
      </c>
      <c r="C1500" s="44"/>
      <c r="D1500" s="50"/>
      <c r="E1500" s="44"/>
      <c r="F1500" s="227"/>
      <c r="G1500" s="49">
        <v>1</v>
      </c>
      <c r="H1500" s="73"/>
      <c r="I1500" s="44"/>
      <c r="J1500" s="48">
        <f t="shared" si="69"/>
        <v>1</v>
      </c>
      <c r="K1500" s="48">
        <f t="shared" si="70"/>
        <v>0</v>
      </c>
      <c r="L1500" s="68">
        <f t="shared" si="71"/>
        <v>0</v>
      </c>
    </row>
    <row r="1501" spans="2:12" x14ac:dyDescent="0.85">
      <c r="B1501" s="46">
        <v>1495</v>
      </c>
      <c r="C1501" s="10"/>
      <c r="D1501" s="66"/>
      <c r="E1501" s="10"/>
      <c r="F1501" s="226"/>
      <c r="G1501" s="47">
        <v>1</v>
      </c>
      <c r="H1501" s="72"/>
      <c r="I1501" s="10"/>
      <c r="J1501" s="46">
        <f t="shared" si="69"/>
        <v>1</v>
      </c>
      <c r="K1501" s="46">
        <f t="shared" si="70"/>
        <v>0</v>
      </c>
      <c r="L1501" s="69">
        <f t="shared" si="71"/>
        <v>0</v>
      </c>
    </row>
    <row r="1502" spans="2:12" x14ac:dyDescent="0.85">
      <c r="B1502" s="48">
        <v>1496</v>
      </c>
      <c r="C1502" s="44"/>
      <c r="D1502" s="50"/>
      <c r="E1502" s="44"/>
      <c r="F1502" s="227"/>
      <c r="G1502" s="49">
        <v>1</v>
      </c>
      <c r="H1502" s="73"/>
      <c r="I1502" s="44"/>
      <c r="J1502" s="48">
        <f t="shared" si="69"/>
        <v>1</v>
      </c>
      <c r="K1502" s="48">
        <f t="shared" si="70"/>
        <v>0</v>
      </c>
      <c r="L1502" s="68">
        <f t="shared" si="71"/>
        <v>0</v>
      </c>
    </row>
    <row r="1503" spans="2:12" x14ac:dyDescent="0.85">
      <c r="B1503" s="46">
        <v>1497</v>
      </c>
      <c r="C1503" s="10"/>
      <c r="D1503" s="66"/>
      <c r="E1503" s="10"/>
      <c r="F1503" s="226"/>
      <c r="G1503" s="47">
        <v>1</v>
      </c>
      <c r="H1503" s="72"/>
      <c r="I1503" s="10"/>
      <c r="J1503" s="46">
        <f t="shared" si="69"/>
        <v>1</v>
      </c>
      <c r="K1503" s="46">
        <f t="shared" si="70"/>
        <v>0</v>
      </c>
      <c r="L1503" s="69">
        <f t="shared" si="71"/>
        <v>0</v>
      </c>
    </row>
    <row r="1504" spans="2:12" x14ac:dyDescent="0.85">
      <c r="B1504" s="48">
        <v>1498</v>
      </c>
      <c r="C1504" s="44"/>
      <c r="D1504" s="50"/>
      <c r="E1504" s="44"/>
      <c r="F1504" s="227"/>
      <c r="G1504" s="49">
        <v>1</v>
      </c>
      <c r="H1504" s="73"/>
      <c r="I1504" s="44"/>
      <c r="J1504" s="48">
        <f t="shared" si="69"/>
        <v>1</v>
      </c>
      <c r="K1504" s="48">
        <f t="shared" si="70"/>
        <v>0</v>
      </c>
      <c r="L1504" s="68">
        <f t="shared" si="71"/>
        <v>0</v>
      </c>
    </row>
    <row r="1505" spans="2:12" x14ac:dyDescent="0.85">
      <c r="B1505" s="46">
        <v>1499</v>
      </c>
      <c r="C1505" s="10"/>
      <c r="D1505" s="66"/>
      <c r="E1505" s="10"/>
      <c r="F1505" s="226"/>
      <c r="G1505" s="47">
        <v>1</v>
      </c>
      <c r="H1505" s="72"/>
      <c r="I1505" s="10"/>
      <c r="J1505" s="46">
        <f t="shared" si="69"/>
        <v>1</v>
      </c>
      <c r="K1505" s="46">
        <f t="shared" si="70"/>
        <v>0</v>
      </c>
      <c r="L1505" s="69">
        <f t="shared" si="71"/>
        <v>0</v>
      </c>
    </row>
    <row r="1506" spans="2:12" x14ac:dyDescent="0.85">
      <c r="B1506" s="48">
        <v>1500</v>
      </c>
      <c r="C1506" s="44"/>
      <c r="D1506" s="50"/>
      <c r="E1506" s="44"/>
      <c r="F1506" s="227"/>
      <c r="G1506" s="49">
        <v>1</v>
      </c>
      <c r="H1506" s="73"/>
      <c r="I1506" s="44"/>
      <c r="J1506" s="48">
        <f t="shared" si="69"/>
        <v>1</v>
      </c>
      <c r="K1506" s="48">
        <f t="shared" si="70"/>
        <v>0</v>
      </c>
      <c r="L1506" s="68">
        <f t="shared" si="71"/>
        <v>0</v>
      </c>
    </row>
    <row r="1507" spans="2:12" x14ac:dyDescent="0.85">
      <c r="B1507" s="46">
        <v>1501</v>
      </c>
      <c r="C1507" s="10"/>
      <c r="D1507" s="66"/>
      <c r="E1507" s="10"/>
      <c r="F1507" s="226"/>
      <c r="G1507" s="47">
        <v>1</v>
      </c>
      <c r="H1507" s="72"/>
      <c r="I1507" s="10"/>
      <c r="J1507" s="46">
        <f t="shared" si="69"/>
        <v>1</v>
      </c>
      <c r="K1507" s="46">
        <f t="shared" si="70"/>
        <v>0</v>
      </c>
      <c r="L1507" s="69">
        <f t="shared" si="71"/>
        <v>0</v>
      </c>
    </row>
    <row r="1508" spans="2:12" x14ac:dyDescent="0.85">
      <c r="B1508" s="48">
        <v>1502</v>
      </c>
      <c r="C1508" s="44"/>
      <c r="D1508" s="50"/>
      <c r="E1508" s="44"/>
      <c r="F1508" s="227"/>
      <c r="G1508" s="49">
        <v>1</v>
      </c>
      <c r="H1508" s="73"/>
      <c r="I1508" s="44"/>
      <c r="J1508" s="48">
        <f t="shared" si="69"/>
        <v>1</v>
      </c>
      <c r="K1508" s="48">
        <f t="shared" si="70"/>
        <v>0</v>
      </c>
      <c r="L1508" s="68">
        <f t="shared" si="71"/>
        <v>0</v>
      </c>
    </row>
    <row r="1509" spans="2:12" x14ac:dyDescent="0.85">
      <c r="B1509" s="46">
        <v>1503</v>
      </c>
      <c r="C1509" s="10"/>
      <c r="D1509" s="66"/>
      <c r="E1509" s="10"/>
      <c r="F1509" s="226"/>
      <c r="G1509" s="47">
        <v>1</v>
      </c>
      <c r="H1509" s="72"/>
      <c r="I1509" s="10"/>
      <c r="J1509" s="46">
        <f t="shared" si="69"/>
        <v>1</v>
      </c>
      <c r="K1509" s="46">
        <f t="shared" si="70"/>
        <v>0</v>
      </c>
      <c r="L1509" s="69">
        <f t="shared" si="71"/>
        <v>0</v>
      </c>
    </row>
    <row r="1510" spans="2:12" x14ac:dyDescent="0.85">
      <c r="B1510" s="48">
        <v>1504</v>
      </c>
      <c r="C1510" s="44"/>
      <c r="D1510" s="50"/>
      <c r="E1510" s="44"/>
      <c r="F1510" s="227"/>
      <c r="G1510" s="49">
        <v>1</v>
      </c>
      <c r="H1510" s="73"/>
      <c r="I1510" s="44"/>
      <c r="J1510" s="48">
        <f t="shared" si="69"/>
        <v>1</v>
      </c>
      <c r="K1510" s="48">
        <f t="shared" si="70"/>
        <v>0</v>
      </c>
      <c r="L1510" s="68">
        <f t="shared" si="71"/>
        <v>0</v>
      </c>
    </row>
    <row r="1511" spans="2:12" x14ac:dyDescent="0.85">
      <c r="B1511" s="46">
        <v>1505</v>
      </c>
      <c r="C1511" s="10"/>
      <c r="D1511" s="66"/>
      <c r="E1511" s="10"/>
      <c r="F1511" s="226"/>
      <c r="G1511" s="47">
        <v>1</v>
      </c>
      <c r="H1511" s="72"/>
      <c r="I1511" s="10"/>
      <c r="J1511" s="46">
        <f t="shared" si="69"/>
        <v>1</v>
      </c>
      <c r="K1511" s="46">
        <f t="shared" si="70"/>
        <v>0</v>
      </c>
      <c r="L1511" s="69">
        <f t="shared" si="71"/>
        <v>0</v>
      </c>
    </row>
    <row r="1512" spans="2:12" x14ac:dyDescent="0.85">
      <c r="B1512" s="48">
        <v>1506</v>
      </c>
      <c r="C1512" s="44"/>
      <c r="D1512" s="50"/>
      <c r="E1512" s="44"/>
      <c r="F1512" s="227"/>
      <c r="G1512" s="49">
        <v>1</v>
      </c>
      <c r="H1512" s="73"/>
      <c r="I1512" s="44"/>
      <c r="J1512" s="48">
        <f t="shared" si="69"/>
        <v>1</v>
      </c>
      <c r="K1512" s="48">
        <f t="shared" si="70"/>
        <v>0</v>
      </c>
      <c r="L1512" s="68">
        <f t="shared" si="71"/>
        <v>0</v>
      </c>
    </row>
    <row r="1513" spans="2:12" x14ac:dyDescent="0.85">
      <c r="B1513" s="46">
        <v>1507</v>
      </c>
      <c r="C1513" s="10"/>
      <c r="D1513" s="66"/>
      <c r="E1513" s="10"/>
      <c r="F1513" s="226"/>
      <c r="G1513" s="47">
        <v>1</v>
      </c>
      <c r="H1513" s="72"/>
      <c r="I1513" s="10"/>
      <c r="J1513" s="46">
        <f t="shared" si="69"/>
        <v>1</v>
      </c>
      <c r="K1513" s="46">
        <f t="shared" si="70"/>
        <v>0</v>
      </c>
      <c r="L1513" s="69">
        <f t="shared" si="71"/>
        <v>0</v>
      </c>
    </row>
    <row r="1514" spans="2:12" x14ac:dyDescent="0.85">
      <c r="B1514" s="48">
        <v>1508</v>
      </c>
      <c r="C1514" s="44"/>
      <c r="D1514" s="50"/>
      <c r="E1514" s="44"/>
      <c r="F1514" s="227"/>
      <c r="G1514" s="49">
        <v>1</v>
      </c>
      <c r="H1514" s="73"/>
      <c r="I1514" s="44"/>
      <c r="J1514" s="48">
        <f t="shared" si="69"/>
        <v>1</v>
      </c>
      <c r="K1514" s="48">
        <f t="shared" si="70"/>
        <v>0</v>
      </c>
      <c r="L1514" s="68">
        <f t="shared" si="71"/>
        <v>0</v>
      </c>
    </row>
    <row r="1515" spans="2:12" x14ac:dyDescent="0.85">
      <c r="B1515" s="46">
        <v>1509</v>
      </c>
      <c r="C1515" s="10"/>
      <c r="D1515" s="66"/>
      <c r="E1515" s="10"/>
      <c r="F1515" s="226"/>
      <c r="G1515" s="47">
        <v>1</v>
      </c>
      <c r="H1515" s="72"/>
      <c r="I1515" s="10"/>
      <c r="J1515" s="46">
        <f t="shared" si="69"/>
        <v>1</v>
      </c>
      <c r="K1515" s="46">
        <f t="shared" si="70"/>
        <v>0</v>
      </c>
      <c r="L1515" s="69">
        <f t="shared" si="71"/>
        <v>0</v>
      </c>
    </row>
    <row r="1516" spans="2:12" x14ac:dyDescent="0.85">
      <c r="B1516" s="48">
        <v>1510</v>
      </c>
      <c r="C1516" s="44"/>
      <c r="D1516" s="50"/>
      <c r="E1516" s="44"/>
      <c r="F1516" s="227"/>
      <c r="G1516" s="49">
        <v>1</v>
      </c>
      <c r="H1516" s="73"/>
      <c r="I1516" s="44"/>
      <c r="J1516" s="48">
        <f t="shared" si="69"/>
        <v>1</v>
      </c>
      <c r="K1516" s="48">
        <f t="shared" si="70"/>
        <v>0</v>
      </c>
      <c r="L1516" s="68">
        <f t="shared" si="71"/>
        <v>0</v>
      </c>
    </row>
    <row r="1517" spans="2:12" x14ac:dyDescent="0.85">
      <c r="B1517" s="46">
        <v>1511</v>
      </c>
      <c r="C1517" s="10"/>
      <c r="D1517" s="66"/>
      <c r="E1517" s="10"/>
      <c r="F1517" s="226"/>
      <c r="G1517" s="47">
        <v>1</v>
      </c>
      <c r="H1517" s="72"/>
      <c r="I1517" s="10"/>
      <c r="J1517" s="46">
        <f t="shared" si="69"/>
        <v>1</v>
      </c>
      <c r="K1517" s="46">
        <f t="shared" si="70"/>
        <v>0</v>
      </c>
      <c r="L1517" s="69">
        <f t="shared" si="71"/>
        <v>0</v>
      </c>
    </row>
    <row r="1518" spans="2:12" x14ac:dyDescent="0.85">
      <c r="B1518" s="48">
        <v>1512</v>
      </c>
      <c r="C1518" s="44"/>
      <c r="D1518" s="50"/>
      <c r="E1518" s="44"/>
      <c r="F1518" s="227"/>
      <c r="G1518" s="49">
        <v>1</v>
      </c>
      <c r="H1518" s="73"/>
      <c r="I1518" s="44"/>
      <c r="J1518" s="48">
        <f t="shared" si="69"/>
        <v>1</v>
      </c>
      <c r="K1518" s="48">
        <f t="shared" si="70"/>
        <v>0</v>
      </c>
      <c r="L1518" s="68">
        <f t="shared" si="71"/>
        <v>0</v>
      </c>
    </row>
    <row r="1519" spans="2:12" x14ac:dyDescent="0.85">
      <c r="B1519" s="46">
        <v>1513</v>
      </c>
      <c r="C1519" s="10"/>
      <c r="D1519" s="66"/>
      <c r="E1519" s="10"/>
      <c r="F1519" s="226"/>
      <c r="G1519" s="47">
        <v>1</v>
      </c>
      <c r="H1519" s="72"/>
      <c r="I1519" s="10"/>
      <c r="J1519" s="46">
        <f t="shared" si="69"/>
        <v>1</v>
      </c>
      <c r="K1519" s="46">
        <f t="shared" si="70"/>
        <v>0</v>
      </c>
      <c r="L1519" s="69">
        <f t="shared" si="71"/>
        <v>0</v>
      </c>
    </row>
    <row r="1520" spans="2:12" x14ac:dyDescent="0.85">
      <c r="B1520" s="48">
        <v>1514</v>
      </c>
      <c r="C1520" s="44"/>
      <c r="D1520" s="50"/>
      <c r="E1520" s="44"/>
      <c r="F1520" s="227"/>
      <c r="G1520" s="49">
        <v>1</v>
      </c>
      <c r="H1520" s="73"/>
      <c r="I1520" s="44"/>
      <c r="J1520" s="48">
        <f t="shared" si="69"/>
        <v>1</v>
      </c>
      <c r="K1520" s="48">
        <f t="shared" si="70"/>
        <v>0</v>
      </c>
      <c r="L1520" s="68">
        <f t="shared" si="71"/>
        <v>0</v>
      </c>
    </row>
    <row r="1521" spans="2:12" x14ac:dyDescent="0.85">
      <c r="B1521" s="46">
        <v>1515</v>
      </c>
      <c r="C1521" s="10"/>
      <c r="D1521" s="66"/>
      <c r="E1521" s="10"/>
      <c r="F1521" s="226"/>
      <c r="G1521" s="47">
        <v>1</v>
      </c>
      <c r="H1521" s="72"/>
      <c r="I1521" s="10"/>
      <c r="J1521" s="46">
        <f t="shared" si="69"/>
        <v>1</v>
      </c>
      <c r="K1521" s="46">
        <f t="shared" si="70"/>
        <v>0</v>
      </c>
      <c r="L1521" s="69">
        <f t="shared" si="71"/>
        <v>0</v>
      </c>
    </row>
    <row r="1522" spans="2:12" x14ac:dyDescent="0.85">
      <c r="B1522" s="48">
        <v>1516</v>
      </c>
      <c r="C1522" s="44"/>
      <c r="D1522" s="50"/>
      <c r="E1522" s="44"/>
      <c r="F1522" s="227"/>
      <c r="G1522" s="49">
        <v>1</v>
      </c>
      <c r="H1522" s="73"/>
      <c r="I1522" s="44"/>
      <c r="J1522" s="48">
        <f t="shared" si="69"/>
        <v>1</v>
      </c>
      <c r="K1522" s="48">
        <f t="shared" si="70"/>
        <v>0</v>
      </c>
      <c r="L1522" s="68">
        <f t="shared" si="71"/>
        <v>0</v>
      </c>
    </row>
    <row r="1523" spans="2:12" x14ac:dyDescent="0.85">
      <c r="B1523" s="46">
        <v>1517</v>
      </c>
      <c r="C1523" s="10"/>
      <c r="D1523" s="66"/>
      <c r="E1523" s="10"/>
      <c r="F1523" s="226"/>
      <c r="G1523" s="47">
        <v>1</v>
      </c>
      <c r="H1523" s="72"/>
      <c r="I1523" s="10"/>
      <c r="J1523" s="46">
        <f t="shared" si="69"/>
        <v>1</v>
      </c>
      <c r="K1523" s="46">
        <f t="shared" si="70"/>
        <v>0</v>
      </c>
      <c r="L1523" s="69">
        <f t="shared" si="71"/>
        <v>0</v>
      </c>
    </row>
    <row r="1524" spans="2:12" x14ac:dyDescent="0.85">
      <c r="B1524" s="48">
        <v>1518</v>
      </c>
      <c r="C1524" s="44"/>
      <c r="D1524" s="50"/>
      <c r="E1524" s="44"/>
      <c r="F1524" s="227"/>
      <c r="G1524" s="49">
        <v>1</v>
      </c>
      <c r="H1524" s="73"/>
      <c r="I1524" s="44"/>
      <c r="J1524" s="48">
        <f t="shared" si="69"/>
        <v>1</v>
      </c>
      <c r="K1524" s="48">
        <f t="shared" si="70"/>
        <v>0</v>
      </c>
      <c r="L1524" s="68">
        <f t="shared" si="71"/>
        <v>0</v>
      </c>
    </row>
    <row r="1525" spans="2:12" x14ac:dyDescent="0.85">
      <c r="B1525" s="46">
        <v>1519</v>
      </c>
      <c r="C1525" s="10"/>
      <c r="D1525" s="66"/>
      <c r="E1525" s="10"/>
      <c r="F1525" s="226"/>
      <c r="G1525" s="47">
        <v>1</v>
      </c>
      <c r="H1525" s="72"/>
      <c r="I1525" s="10"/>
      <c r="J1525" s="46">
        <f t="shared" si="69"/>
        <v>1</v>
      </c>
      <c r="K1525" s="46">
        <f t="shared" si="70"/>
        <v>0</v>
      </c>
      <c r="L1525" s="69">
        <f t="shared" si="71"/>
        <v>0</v>
      </c>
    </row>
    <row r="1526" spans="2:12" x14ac:dyDescent="0.85">
      <c r="B1526" s="48">
        <v>1520</v>
      </c>
      <c r="C1526" s="44"/>
      <c r="D1526" s="50"/>
      <c r="E1526" s="44"/>
      <c r="F1526" s="227"/>
      <c r="G1526" s="49">
        <v>1</v>
      </c>
      <c r="H1526" s="73"/>
      <c r="I1526" s="44"/>
      <c r="J1526" s="48">
        <f t="shared" si="69"/>
        <v>1</v>
      </c>
      <c r="K1526" s="48">
        <f t="shared" si="70"/>
        <v>0</v>
      </c>
      <c r="L1526" s="68">
        <f t="shared" si="71"/>
        <v>0</v>
      </c>
    </row>
    <row r="1527" spans="2:12" x14ac:dyDescent="0.85">
      <c r="B1527" s="46">
        <v>1521</v>
      </c>
      <c r="C1527" s="10"/>
      <c r="D1527" s="66"/>
      <c r="E1527" s="10"/>
      <c r="F1527" s="226"/>
      <c r="G1527" s="47">
        <v>1</v>
      </c>
      <c r="H1527" s="72"/>
      <c r="I1527" s="10"/>
      <c r="J1527" s="46">
        <f t="shared" si="69"/>
        <v>1</v>
      </c>
      <c r="K1527" s="46">
        <f t="shared" si="70"/>
        <v>0</v>
      </c>
      <c r="L1527" s="69">
        <f t="shared" si="71"/>
        <v>0</v>
      </c>
    </row>
    <row r="1528" spans="2:12" x14ac:dyDescent="0.85">
      <c r="B1528" s="48">
        <v>1522</v>
      </c>
      <c r="C1528" s="44"/>
      <c r="D1528" s="50"/>
      <c r="E1528" s="44"/>
      <c r="F1528" s="227"/>
      <c r="G1528" s="49">
        <v>1</v>
      </c>
      <c r="H1528" s="73"/>
      <c r="I1528" s="44"/>
      <c r="J1528" s="48">
        <f t="shared" si="69"/>
        <v>1</v>
      </c>
      <c r="K1528" s="48">
        <f t="shared" si="70"/>
        <v>0</v>
      </c>
      <c r="L1528" s="68">
        <f t="shared" si="71"/>
        <v>0</v>
      </c>
    </row>
    <row r="1529" spans="2:12" x14ac:dyDescent="0.85">
      <c r="B1529" s="46">
        <v>1523</v>
      </c>
      <c r="C1529" s="10"/>
      <c r="D1529" s="66"/>
      <c r="E1529" s="10"/>
      <c r="F1529" s="226"/>
      <c r="G1529" s="47">
        <v>1</v>
      </c>
      <c r="H1529" s="72"/>
      <c r="I1529" s="10"/>
      <c r="J1529" s="46">
        <f t="shared" si="69"/>
        <v>1</v>
      </c>
      <c r="K1529" s="46">
        <f t="shared" si="70"/>
        <v>0</v>
      </c>
      <c r="L1529" s="69">
        <f t="shared" si="71"/>
        <v>0</v>
      </c>
    </row>
    <row r="1530" spans="2:12" x14ac:dyDescent="0.85">
      <c r="B1530" s="48">
        <v>1524</v>
      </c>
      <c r="C1530" s="44"/>
      <c r="D1530" s="50"/>
      <c r="E1530" s="44"/>
      <c r="F1530" s="227"/>
      <c r="G1530" s="49">
        <v>1</v>
      </c>
      <c r="H1530" s="73"/>
      <c r="I1530" s="44"/>
      <c r="J1530" s="48">
        <f t="shared" si="69"/>
        <v>1</v>
      </c>
      <c r="K1530" s="48">
        <f t="shared" si="70"/>
        <v>0</v>
      </c>
      <c r="L1530" s="68">
        <f t="shared" si="71"/>
        <v>0</v>
      </c>
    </row>
    <row r="1531" spans="2:12" x14ac:dyDescent="0.85">
      <c r="B1531" s="46">
        <v>1525</v>
      </c>
      <c r="C1531" s="10"/>
      <c r="D1531" s="66"/>
      <c r="E1531" s="10"/>
      <c r="F1531" s="226"/>
      <c r="G1531" s="47">
        <v>1</v>
      </c>
      <c r="H1531" s="72"/>
      <c r="I1531" s="10"/>
      <c r="J1531" s="46">
        <f t="shared" si="69"/>
        <v>1</v>
      </c>
      <c r="K1531" s="46">
        <f t="shared" si="70"/>
        <v>0</v>
      </c>
      <c r="L1531" s="69">
        <f t="shared" si="71"/>
        <v>0</v>
      </c>
    </row>
    <row r="1532" spans="2:12" x14ac:dyDescent="0.85">
      <c r="B1532" s="48">
        <v>1526</v>
      </c>
      <c r="C1532" s="44"/>
      <c r="D1532" s="50"/>
      <c r="E1532" s="44"/>
      <c r="F1532" s="227"/>
      <c r="G1532" s="49">
        <v>1</v>
      </c>
      <c r="H1532" s="73"/>
      <c r="I1532" s="44"/>
      <c r="J1532" s="48">
        <f t="shared" si="69"/>
        <v>1</v>
      </c>
      <c r="K1532" s="48">
        <f t="shared" si="70"/>
        <v>0</v>
      </c>
      <c r="L1532" s="68">
        <f t="shared" si="71"/>
        <v>0</v>
      </c>
    </row>
    <row r="1533" spans="2:12" x14ac:dyDescent="0.85">
      <c r="B1533" s="46">
        <v>1527</v>
      </c>
      <c r="C1533" s="10"/>
      <c r="D1533" s="66"/>
      <c r="E1533" s="10"/>
      <c r="F1533" s="226"/>
      <c r="G1533" s="47">
        <v>1</v>
      </c>
      <c r="H1533" s="72"/>
      <c r="I1533" s="10"/>
      <c r="J1533" s="46">
        <f t="shared" si="69"/>
        <v>1</v>
      </c>
      <c r="K1533" s="46">
        <f t="shared" si="70"/>
        <v>0</v>
      </c>
      <c r="L1533" s="69">
        <f t="shared" si="71"/>
        <v>0</v>
      </c>
    </row>
    <row r="1534" spans="2:12" x14ac:dyDescent="0.85">
      <c r="B1534" s="48">
        <v>1528</v>
      </c>
      <c r="C1534" s="44"/>
      <c r="D1534" s="50"/>
      <c r="E1534" s="44"/>
      <c r="F1534" s="227"/>
      <c r="G1534" s="49">
        <v>1</v>
      </c>
      <c r="H1534" s="73"/>
      <c r="I1534" s="44"/>
      <c r="J1534" s="48">
        <f t="shared" si="69"/>
        <v>1</v>
      </c>
      <c r="K1534" s="48">
        <f t="shared" si="70"/>
        <v>0</v>
      </c>
      <c r="L1534" s="68">
        <f t="shared" si="71"/>
        <v>0</v>
      </c>
    </row>
    <row r="1535" spans="2:12" x14ac:dyDescent="0.85">
      <c r="B1535" s="46">
        <v>1529</v>
      </c>
      <c r="C1535" s="10"/>
      <c r="D1535" s="66"/>
      <c r="E1535" s="10"/>
      <c r="F1535" s="226"/>
      <c r="G1535" s="47">
        <v>1</v>
      </c>
      <c r="H1535" s="72"/>
      <c r="I1535" s="10"/>
      <c r="J1535" s="46">
        <f t="shared" si="69"/>
        <v>1</v>
      </c>
      <c r="K1535" s="46">
        <f t="shared" si="70"/>
        <v>0</v>
      </c>
      <c r="L1535" s="69">
        <f t="shared" si="71"/>
        <v>0</v>
      </c>
    </row>
    <row r="1536" spans="2:12" x14ac:dyDescent="0.85">
      <c r="B1536" s="48">
        <v>1530</v>
      </c>
      <c r="C1536" s="44"/>
      <c r="D1536" s="50"/>
      <c r="E1536" s="44"/>
      <c r="F1536" s="227"/>
      <c r="G1536" s="49">
        <v>1</v>
      </c>
      <c r="H1536" s="73"/>
      <c r="I1536" s="44"/>
      <c r="J1536" s="48">
        <f t="shared" si="69"/>
        <v>1</v>
      </c>
      <c r="K1536" s="48">
        <f t="shared" si="70"/>
        <v>0</v>
      </c>
      <c r="L1536" s="68">
        <f t="shared" si="71"/>
        <v>0</v>
      </c>
    </row>
    <row r="1537" spans="2:12" x14ac:dyDescent="0.85">
      <c r="B1537" s="46">
        <v>1531</v>
      </c>
      <c r="C1537" s="10"/>
      <c r="D1537" s="66"/>
      <c r="E1537" s="10"/>
      <c r="F1537" s="226"/>
      <c r="G1537" s="47">
        <v>1</v>
      </c>
      <c r="H1537" s="72"/>
      <c r="I1537" s="10"/>
      <c r="J1537" s="46">
        <f t="shared" si="69"/>
        <v>1</v>
      </c>
      <c r="K1537" s="46">
        <f t="shared" si="70"/>
        <v>0</v>
      </c>
      <c r="L1537" s="69">
        <f t="shared" si="71"/>
        <v>0</v>
      </c>
    </row>
    <row r="1538" spans="2:12" x14ac:dyDescent="0.85">
      <c r="B1538" s="48">
        <v>1532</v>
      </c>
      <c r="C1538" s="44"/>
      <c r="D1538" s="50"/>
      <c r="E1538" s="44"/>
      <c r="F1538" s="227"/>
      <c r="G1538" s="49">
        <v>1</v>
      </c>
      <c r="H1538" s="73"/>
      <c r="I1538" s="44"/>
      <c r="J1538" s="48">
        <f t="shared" si="69"/>
        <v>1</v>
      </c>
      <c r="K1538" s="48">
        <f t="shared" si="70"/>
        <v>0</v>
      </c>
      <c r="L1538" s="68">
        <f t="shared" si="71"/>
        <v>0</v>
      </c>
    </row>
    <row r="1539" spans="2:12" x14ac:dyDescent="0.85">
      <c r="B1539" s="46">
        <v>1533</v>
      </c>
      <c r="C1539" s="10"/>
      <c r="D1539" s="66"/>
      <c r="E1539" s="10"/>
      <c r="F1539" s="226"/>
      <c r="G1539" s="47">
        <v>1</v>
      </c>
      <c r="H1539" s="72"/>
      <c r="I1539" s="10"/>
      <c r="J1539" s="46">
        <f t="shared" si="69"/>
        <v>1</v>
      </c>
      <c r="K1539" s="46">
        <f t="shared" si="70"/>
        <v>0</v>
      </c>
      <c r="L1539" s="69">
        <f t="shared" si="71"/>
        <v>0</v>
      </c>
    </row>
    <row r="1540" spans="2:12" x14ac:dyDescent="0.85">
      <c r="B1540" s="48">
        <v>1534</v>
      </c>
      <c r="C1540" s="44"/>
      <c r="D1540" s="50"/>
      <c r="E1540" s="44"/>
      <c r="F1540" s="227"/>
      <c r="G1540" s="49">
        <v>1</v>
      </c>
      <c r="H1540" s="73"/>
      <c r="I1540" s="44"/>
      <c r="J1540" s="48">
        <f t="shared" si="69"/>
        <v>1</v>
      </c>
      <c r="K1540" s="48">
        <f t="shared" si="70"/>
        <v>0</v>
      </c>
      <c r="L1540" s="68">
        <f t="shared" si="71"/>
        <v>0</v>
      </c>
    </row>
    <row r="1541" spans="2:12" x14ac:dyDescent="0.85">
      <c r="B1541" s="46">
        <v>1535</v>
      </c>
      <c r="C1541" s="10"/>
      <c r="D1541" s="66"/>
      <c r="E1541" s="10"/>
      <c r="F1541" s="226"/>
      <c r="G1541" s="47">
        <v>1</v>
      </c>
      <c r="H1541" s="72"/>
      <c r="I1541" s="10"/>
      <c r="J1541" s="46">
        <f t="shared" si="69"/>
        <v>1</v>
      </c>
      <c r="K1541" s="46">
        <f t="shared" si="70"/>
        <v>0</v>
      </c>
      <c r="L1541" s="69">
        <f t="shared" si="71"/>
        <v>0</v>
      </c>
    </row>
    <row r="1542" spans="2:12" x14ac:dyDescent="0.85">
      <c r="B1542" s="48">
        <v>1536</v>
      </c>
      <c r="C1542" s="44"/>
      <c r="D1542" s="50"/>
      <c r="E1542" s="44"/>
      <c r="F1542" s="227"/>
      <c r="G1542" s="49">
        <v>1</v>
      </c>
      <c r="H1542" s="73"/>
      <c r="I1542" s="44"/>
      <c r="J1542" s="48">
        <f t="shared" si="69"/>
        <v>1</v>
      </c>
      <c r="K1542" s="48">
        <f t="shared" si="70"/>
        <v>0</v>
      </c>
      <c r="L1542" s="68">
        <f t="shared" si="71"/>
        <v>0</v>
      </c>
    </row>
    <row r="1543" spans="2:12" x14ac:dyDescent="0.85">
      <c r="B1543" s="46">
        <v>1537</v>
      </c>
      <c r="C1543" s="10"/>
      <c r="D1543" s="66"/>
      <c r="E1543" s="10"/>
      <c r="F1543" s="226"/>
      <c r="G1543" s="47">
        <v>1</v>
      </c>
      <c r="H1543" s="72"/>
      <c r="I1543" s="10"/>
      <c r="J1543" s="46">
        <f t="shared" ref="J1543:J1606" si="72">IF(ISBLANK(H1543),1,H1543)</f>
        <v>1</v>
      </c>
      <c r="K1543" s="46">
        <f t="shared" ref="K1543:K1606" si="73">IF(COUNTIF(FreeElements, E1543)&gt;0, F1543, 0)</f>
        <v>0</v>
      </c>
      <c r="L1543" s="69">
        <f t="shared" ref="L1543:L1606" si="74">J1543*K1543</f>
        <v>0</v>
      </c>
    </row>
    <row r="1544" spans="2:12" x14ac:dyDescent="0.85">
      <c r="B1544" s="48">
        <v>1538</v>
      </c>
      <c r="C1544" s="44"/>
      <c r="D1544" s="50"/>
      <c r="E1544" s="44"/>
      <c r="F1544" s="227"/>
      <c r="G1544" s="49">
        <v>1</v>
      </c>
      <c r="H1544" s="73"/>
      <c r="I1544" s="44"/>
      <c r="J1544" s="48">
        <f t="shared" si="72"/>
        <v>1</v>
      </c>
      <c r="K1544" s="48">
        <f t="shared" si="73"/>
        <v>0</v>
      </c>
      <c r="L1544" s="68">
        <f t="shared" si="74"/>
        <v>0</v>
      </c>
    </row>
    <row r="1545" spans="2:12" x14ac:dyDescent="0.85">
      <c r="B1545" s="46">
        <v>1539</v>
      </c>
      <c r="C1545" s="10"/>
      <c r="D1545" s="66"/>
      <c r="E1545" s="10"/>
      <c r="F1545" s="226"/>
      <c r="G1545" s="47">
        <v>1</v>
      </c>
      <c r="H1545" s="72"/>
      <c r="I1545" s="10"/>
      <c r="J1545" s="46">
        <f t="shared" si="72"/>
        <v>1</v>
      </c>
      <c r="K1545" s="46">
        <f t="shared" si="73"/>
        <v>0</v>
      </c>
      <c r="L1545" s="69">
        <f t="shared" si="74"/>
        <v>0</v>
      </c>
    </row>
    <row r="1546" spans="2:12" x14ac:dyDescent="0.85">
      <c r="B1546" s="48">
        <v>1540</v>
      </c>
      <c r="C1546" s="44"/>
      <c r="D1546" s="50"/>
      <c r="E1546" s="44"/>
      <c r="F1546" s="227"/>
      <c r="G1546" s="49">
        <v>1</v>
      </c>
      <c r="H1546" s="73"/>
      <c r="I1546" s="44"/>
      <c r="J1546" s="48">
        <f t="shared" si="72"/>
        <v>1</v>
      </c>
      <c r="K1546" s="48">
        <f t="shared" si="73"/>
        <v>0</v>
      </c>
      <c r="L1546" s="68">
        <f t="shared" si="74"/>
        <v>0</v>
      </c>
    </row>
    <row r="1547" spans="2:12" x14ac:dyDescent="0.85">
      <c r="B1547" s="46">
        <v>1541</v>
      </c>
      <c r="C1547" s="10"/>
      <c r="D1547" s="66"/>
      <c r="E1547" s="10"/>
      <c r="F1547" s="226"/>
      <c r="G1547" s="47">
        <v>1</v>
      </c>
      <c r="H1547" s="72"/>
      <c r="I1547" s="10"/>
      <c r="J1547" s="46">
        <f t="shared" si="72"/>
        <v>1</v>
      </c>
      <c r="K1547" s="46">
        <f t="shared" si="73"/>
        <v>0</v>
      </c>
      <c r="L1547" s="69">
        <f t="shared" si="74"/>
        <v>0</v>
      </c>
    </row>
    <row r="1548" spans="2:12" x14ac:dyDescent="0.85">
      <c r="B1548" s="48">
        <v>1542</v>
      </c>
      <c r="C1548" s="44"/>
      <c r="D1548" s="50"/>
      <c r="E1548" s="44"/>
      <c r="F1548" s="227"/>
      <c r="G1548" s="49">
        <v>1</v>
      </c>
      <c r="H1548" s="73"/>
      <c r="I1548" s="44"/>
      <c r="J1548" s="48">
        <f t="shared" si="72"/>
        <v>1</v>
      </c>
      <c r="K1548" s="48">
        <f t="shared" si="73"/>
        <v>0</v>
      </c>
      <c r="L1548" s="68">
        <f t="shared" si="74"/>
        <v>0</v>
      </c>
    </row>
    <row r="1549" spans="2:12" x14ac:dyDescent="0.85">
      <c r="B1549" s="46">
        <v>1543</v>
      </c>
      <c r="C1549" s="10"/>
      <c r="D1549" s="66"/>
      <c r="E1549" s="10"/>
      <c r="F1549" s="226"/>
      <c r="G1549" s="47">
        <v>1</v>
      </c>
      <c r="H1549" s="72"/>
      <c r="I1549" s="10"/>
      <c r="J1549" s="46">
        <f t="shared" si="72"/>
        <v>1</v>
      </c>
      <c r="K1549" s="46">
        <f t="shared" si="73"/>
        <v>0</v>
      </c>
      <c r="L1549" s="69">
        <f t="shared" si="74"/>
        <v>0</v>
      </c>
    </row>
    <row r="1550" spans="2:12" x14ac:dyDescent="0.85">
      <c r="B1550" s="48">
        <v>1544</v>
      </c>
      <c r="C1550" s="44"/>
      <c r="D1550" s="50"/>
      <c r="E1550" s="44"/>
      <c r="F1550" s="227"/>
      <c r="G1550" s="49">
        <v>1</v>
      </c>
      <c r="H1550" s="73"/>
      <c r="I1550" s="44"/>
      <c r="J1550" s="48">
        <f t="shared" si="72"/>
        <v>1</v>
      </c>
      <c r="K1550" s="48">
        <f t="shared" si="73"/>
        <v>0</v>
      </c>
      <c r="L1550" s="68">
        <f t="shared" si="74"/>
        <v>0</v>
      </c>
    </row>
    <row r="1551" spans="2:12" x14ac:dyDescent="0.85">
      <c r="B1551" s="46">
        <v>1545</v>
      </c>
      <c r="C1551" s="10"/>
      <c r="D1551" s="66"/>
      <c r="E1551" s="10"/>
      <c r="F1551" s="226"/>
      <c r="G1551" s="47">
        <v>1</v>
      </c>
      <c r="H1551" s="72"/>
      <c r="I1551" s="10"/>
      <c r="J1551" s="46">
        <f t="shared" si="72"/>
        <v>1</v>
      </c>
      <c r="K1551" s="46">
        <f t="shared" si="73"/>
        <v>0</v>
      </c>
      <c r="L1551" s="69">
        <f t="shared" si="74"/>
        <v>0</v>
      </c>
    </row>
    <row r="1552" spans="2:12" x14ac:dyDescent="0.85">
      <c r="B1552" s="48">
        <v>1546</v>
      </c>
      <c r="C1552" s="44"/>
      <c r="D1552" s="50"/>
      <c r="E1552" s="44"/>
      <c r="F1552" s="227"/>
      <c r="G1552" s="49">
        <v>1</v>
      </c>
      <c r="H1552" s="73"/>
      <c r="I1552" s="44"/>
      <c r="J1552" s="48">
        <f t="shared" si="72"/>
        <v>1</v>
      </c>
      <c r="K1552" s="48">
        <f t="shared" si="73"/>
        <v>0</v>
      </c>
      <c r="L1552" s="68">
        <f t="shared" si="74"/>
        <v>0</v>
      </c>
    </row>
    <row r="1553" spans="2:12" x14ac:dyDescent="0.85">
      <c r="B1553" s="46">
        <v>1547</v>
      </c>
      <c r="C1553" s="10"/>
      <c r="D1553" s="66"/>
      <c r="E1553" s="10"/>
      <c r="F1553" s="226"/>
      <c r="G1553" s="47">
        <v>1</v>
      </c>
      <c r="H1553" s="72"/>
      <c r="I1553" s="10"/>
      <c r="J1553" s="46">
        <f t="shared" si="72"/>
        <v>1</v>
      </c>
      <c r="K1553" s="46">
        <f t="shared" si="73"/>
        <v>0</v>
      </c>
      <c r="L1553" s="69">
        <f t="shared" si="74"/>
        <v>0</v>
      </c>
    </row>
    <row r="1554" spans="2:12" x14ac:dyDescent="0.85">
      <c r="B1554" s="48">
        <v>1548</v>
      </c>
      <c r="C1554" s="44"/>
      <c r="D1554" s="50"/>
      <c r="E1554" s="44"/>
      <c r="F1554" s="227"/>
      <c r="G1554" s="49">
        <v>1</v>
      </c>
      <c r="H1554" s="73"/>
      <c r="I1554" s="44"/>
      <c r="J1554" s="48">
        <f t="shared" si="72"/>
        <v>1</v>
      </c>
      <c r="K1554" s="48">
        <f t="shared" si="73"/>
        <v>0</v>
      </c>
      <c r="L1554" s="68">
        <f t="shared" si="74"/>
        <v>0</v>
      </c>
    </row>
    <row r="1555" spans="2:12" x14ac:dyDescent="0.85">
      <c r="B1555" s="46">
        <v>1549</v>
      </c>
      <c r="C1555" s="10"/>
      <c r="D1555" s="66"/>
      <c r="E1555" s="10"/>
      <c r="F1555" s="226"/>
      <c r="G1555" s="47">
        <v>1</v>
      </c>
      <c r="H1555" s="72"/>
      <c r="I1555" s="10"/>
      <c r="J1555" s="46">
        <f t="shared" si="72"/>
        <v>1</v>
      </c>
      <c r="K1555" s="46">
        <f t="shared" si="73"/>
        <v>0</v>
      </c>
      <c r="L1555" s="69">
        <f t="shared" si="74"/>
        <v>0</v>
      </c>
    </row>
    <row r="1556" spans="2:12" x14ac:dyDescent="0.85">
      <c r="B1556" s="48">
        <v>1550</v>
      </c>
      <c r="C1556" s="44"/>
      <c r="D1556" s="50"/>
      <c r="E1556" s="44"/>
      <c r="F1556" s="227"/>
      <c r="G1556" s="49">
        <v>1</v>
      </c>
      <c r="H1556" s="73"/>
      <c r="I1556" s="44"/>
      <c r="J1556" s="48">
        <f t="shared" si="72"/>
        <v>1</v>
      </c>
      <c r="K1556" s="48">
        <f t="shared" si="73"/>
        <v>0</v>
      </c>
      <c r="L1556" s="68">
        <f t="shared" si="74"/>
        <v>0</v>
      </c>
    </row>
    <row r="1557" spans="2:12" x14ac:dyDescent="0.85">
      <c r="B1557" s="46">
        <v>1551</v>
      </c>
      <c r="C1557" s="10"/>
      <c r="D1557" s="66"/>
      <c r="E1557" s="10"/>
      <c r="F1557" s="226"/>
      <c r="G1557" s="47">
        <v>1</v>
      </c>
      <c r="H1557" s="72"/>
      <c r="I1557" s="10"/>
      <c r="J1557" s="46">
        <f t="shared" si="72"/>
        <v>1</v>
      </c>
      <c r="K1557" s="46">
        <f t="shared" si="73"/>
        <v>0</v>
      </c>
      <c r="L1557" s="69">
        <f t="shared" si="74"/>
        <v>0</v>
      </c>
    </row>
    <row r="1558" spans="2:12" x14ac:dyDescent="0.85">
      <c r="B1558" s="48">
        <v>1552</v>
      </c>
      <c r="C1558" s="44"/>
      <c r="D1558" s="50"/>
      <c r="E1558" s="44"/>
      <c r="F1558" s="227"/>
      <c r="G1558" s="49">
        <v>1</v>
      </c>
      <c r="H1558" s="73"/>
      <c r="I1558" s="44"/>
      <c r="J1558" s="48">
        <f t="shared" si="72"/>
        <v>1</v>
      </c>
      <c r="K1558" s="48">
        <f t="shared" si="73"/>
        <v>0</v>
      </c>
      <c r="L1558" s="68">
        <f t="shared" si="74"/>
        <v>0</v>
      </c>
    </row>
    <row r="1559" spans="2:12" x14ac:dyDescent="0.85">
      <c r="B1559" s="46">
        <v>1553</v>
      </c>
      <c r="C1559" s="10"/>
      <c r="D1559" s="66"/>
      <c r="E1559" s="10"/>
      <c r="F1559" s="226"/>
      <c r="G1559" s="47">
        <v>1</v>
      </c>
      <c r="H1559" s="72"/>
      <c r="I1559" s="10"/>
      <c r="J1559" s="46">
        <f t="shared" si="72"/>
        <v>1</v>
      </c>
      <c r="K1559" s="46">
        <f t="shared" si="73"/>
        <v>0</v>
      </c>
      <c r="L1559" s="69">
        <f t="shared" si="74"/>
        <v>0</v>
      </c>
    </row>
    <row r="1560" spans="2:12" x14ac:dyDescent="0.85">
      <c r="B1560" s="48">
        <v>1554</v>
      </c>
      <c r="C1560" s="44"/>
      <c r="D1560" s="50"/>
      <c r="E1560" s="44"/>
      <c r="F1560" s="227"/>
      <c r="G1560" s="49">
        <v>1</v>
      </c>
      <c r="H1560" s="73"/>
      <c r="I1560" s="44"/>
      <c r="J1560" s="48">
        <f t="shared" si="72"/>
        <v>1</v>
      </c>
      <c r="K1560" s="48">
        <f t="shared" si="73"/>
        <v>0</v>
      </c>
      <c r="L1560" s="68">
        <f t="shared" si="74"/>
        <v>0</v>
      </c>
    </row>
    <row r="1561" spans="2:12" x14ac:dyDescent="0.85">
      <c r="B1561" s="46">
        <v>1555</v>
      </c>
      <c r="C1561" s="10"/>
      <c r="D1561" s="66"/>
      <c r="E1561" s="10"/>
      <c r="F1561" s="226"/>
      <c r="G1561" s="47">
        <v>1</v>
      </c>
      <c r="H1561" s="72"/>
      <c r="I1561" s="10"/>
      <c r="J1561" s="46">
        <f t="shared" si="72"/>
        <v>1</v>
      </c>
      <c r="K1561" s="46">
        <f t="shared" si="73"/>
        <v>0</v>
      </c>
      <c r="L1561" s="69">
        <f t="shared" si="74"/>
        <v>0</v>
      </c>
    </row>
    <row r="1562" spans="2:12" x14ac:dyDescent="0.85">
      <c r="B1562" s="48">
        <v>1556</v>
      </c>
      <c r="C1562" s="44"/>
      <c r="D1562" s="50"/>
      <c r="E1562" s="44"/>
      <c r="F1562" s="227"/>
      <c r="G1562" s="49">
        <v>1</v>
      </c>
      <c r="H1562" s="73"/>
      <c r="I1562" s="44"/>
      <c r="J1562" s="48">
        <f t="shared" si="72"/>
        <v>1</v>
      </c>
      <c r="K1562" s="48">
        <f t="shared" si="73"/>
        <v>0</v>
      </c>
      <c r="L1562" s="68">
        <f t="shared" si="74"/>
        <v>0</v>
      </c>
    </row>
    <row r="1563" spans="2:12" x14ac:dyDescent="0.85">
      <c r="B1563" s="46">
        <v>1557</v>
      </c>
      <c r="C1563" s="10"/>
      <c r="D1563" s="66"/>
      <c r="E1563" s="10"/>
      <c r="F1563" s="226"/>
      <c r="G1563" s="47">
        <v>1</v>
      </c>
      <c r="H1563" s="72"/>
      <c r="I1563" s="10"/>
      <c r="J1563" s="46">
        <f t="shared" si="72"/>
        <v>1</v>
      </c>
      <c r="K1563" s="46">
        <f t="shared" si="73"/>
        <v>0</v>
      </c>
      <c r="L1563" s="69">
        <f t="shared" si="74"/>
        <v>0</v>
      </c>
    </row>
    <row r="1564" spans="2:12" x14ac:dyDescent="0.85">
      <c r="B1564" s="48">
        <v>1558</v>
      </c>
      <c r="C1564" s="44"/>
      <c r="D1564" s="50"/>
      <c r="E1564" s="44"/>
      <c r="F1564" s="227"/>
      <c r="G1564" s="49">
        <v>1</v>
      </c>
      <c r="H1564" s="73"/>
      <c r="I1564" s="44"/>
      <c r="J1564" s="48">
        <f t="shared" si="72"/>
        <v>1</v>
      </c>
      <c r="K1564" s="48">
        <f t="shared" si="73"/>
        <v>0</v>
      </c>
      <c r="L1564" s="68">
        <f t="shared" si="74"/>
        <v>0</v>
      </c>
    </row>
    <row r="1565" spans="2:12" x14ac:dyDescent="0.85">
      <c r="B1565" s="46">
        <v>1559</v>
      </c>
      <c r="C1565" s="10"/>
      <c r="D1565" s="66"/>
      <c r="E1565" s="10"/>
      <c r="F1565" s="226"/>
      <c r="G1565" s="47">
        <v>1</v>
      </c>
      <c r="H1565" s="72"/>
      <c r="I1565" s="10"/>
      <c r="J1565" s="46">
        <f t="shared" si="72"/>
        <v>1</v>
      </c>
      <c r="K1565" s="46">
        <f t="shared" si="73"/>
        <v>0</v>
      </c>
      <c r="L1565" s="69">
        <f t="shared" si="74"/>
        <v>0</v>
      </c>
    </row>
    <row r="1566" spans="2:12" x14ac:dyDescent="0.85">
      <c r="B1566" s="48">
        <v>1560</v>
      </c>
      <c r="C1566" s="44"/>
      <c r="D1566" s="50"/>
      <c r="E1566" s="44"/>
      <c r="F1566" s="227"/>
      <c r="G1566" s="49">
        <v>1</v>
      </c>
      <c r="H1566" s="73"/>
      <c r="I1566" s="44"/>
      <c r="J1566" s="48">
        <f t="shared" si="72"/>
        <v>1</v>
      </c>
      <c r="K1566" s="48">
        <f t="shared" si="73"/>
        <v>0</v>
      </c>
      <c r="L1566" s="68">
        <f t="shared" si="74"/>
        <v>0</v>
      </c>
    </row>
    <row r="1567" spans="2:12" x14ac:dyDescent="0.85">
      <c r="B1567" s="46">
        <v>1561</v>
      </c>
      <c r="C1567" s="10"/>
      <c r="D1567" s="66"/>
      <c r="E1567" s="10"/>
      <c r="F1567" s="226"/>
      <c r="G1567" s="47">
        <v>1</v>
      </c>
      <c r="H1567" s="72"/>
      <c r="I1567" s="10"/>
      <c r="J1567" s="46">
        <f t="shared" si="72"/>
        <v>1</v>
      </c>
      <c r="K1567" s="46">
        <f t="shared" si="73"/>
        <v>0</v>
      </c>
      <c r="L1567" s="69">
        <f t="shared" si="74"/>
        <v>0</v>
      </c>
    </row>
    <row r="1568" spans="2:12" x14ac:dyDescent="0.85">
      <c r="B1568" s="48">
        <v>1562</v>
      </c>
      <c r="C1568" s="44"/>
      <c r="D1568" s="50"/>
      <c r="E1568" s="44"/>
      <c r="F1568" s="227"/>
      <c r="G1568" s="49">
        <v>1</v>
      </c>
      <c r="H1568" s="73"/>
      <c r="I1568" s="44"/>
      <c r="J1568" s="48">
        <f t="shared" si="72"/>
        <v>1</v>
      </c>
      <c r="K1568" s="48">
        <f t="shared" si="73"/>
        <v>0</v>
      </c>
      <c r="L1568" s="68">
        <f t="shared" si="74"/>
        <v>0</v>
      </c>
    </row>
    <row r="1569" spans="2:12" x14ac:dyDescent="0.85">
      <c r="B1569" s="46">
        <v>1563</v>
      </c>
      <c r="C1569" s="10"/>
      <c r="D1569" s="66"/>
      <c r="E1569" s="10"/>
      <c r="F1569" s="226"/>
      <c r="G1569" s="47">
        <v>1</v>
      </c>
      <c r="H1569" s="72"/>
      <c r="I1569" s="10"/>
      <c r="J1569" s="46">
        <f t="shared" si="72"/>
        <v>1</v>
      </c>
      <c r="K1569" s="46">
        <f t="shared" si="73"/>
        <v>0</v>
      </c>
      <c r="L1569" s="69">
        <f t="shared" si="74"/>
        <v>0</v>
      </c>
    </row>
    <row r="1570" spans="2:12" x14ac:dyDescent="0.85">
      <c r="B1570" s="48">
        <v>1564</v>
      </c>
      <c r="C1570" s="44"/>
      <c r="D1570" s="50"/>
      <c r="E1570" s="44"/>
      <c r="F1570" s="227"/>
      <c r="G1570" s="49">
        <v>1</v>
      </c>
      <c r="H1570" s="73"/>
      <c r="I1570" s="44"/>
      <c r="J1570" s="48">
        <f t="shared" si="72"/>
        <v>1</v>
      </c>
      <c r="K1570" s="48">
        <f t="shared" si="73"/>
        <v>0</v>
      </c>
      <c r="L1570" s="68">
        <f t="shared" si="74"/>
        <v>0</v>
      </c>
    </row>
    <row r="1571" spans="2:12" x14ac:dyDescent="0.85">
      <c r="B1571" s="46">
        <v>1565</v>
      </c>
      <c r="C1571" s="10"/>
      <c r="D1571" s="66"/>
      <c r="E1571" s="10"/>
      <c r="F1571" s="226"/>
      <c r="G1571" s="47">
        <v>1</v>
      </c>
      <c r="H1571" s="72"/>
      <c r="I1571" s="10"/>
      <c r="J1571" s="46">
        <f t="shared" si="72"/>
        <v>1</v>
      </c>
      <c r="K1571" s="46">
        <f t="shared" si="73"/>
        <v>0</v>
      </c>
      <c r="L1571" s="69">
        <f t="shared" si="74"/>
        <v>0</v>
      </c>
    </row>
    <row r="1572" spans="2:12" x14ac:dyDescent="0.85">
      <c r="B1572" s="48">
        <v>1566</v>
      </c>
      <c r="C1572" s="44"/>
      <c r="D1572" s="50"/>
      <c r="E1572" s="44"/>
      <c r="F1572" s="227"/>
      <c r="G1572" s="49">
        <v>1</v>
      </c>
      <c r="H1572" s="73"/>
      <c r="I1572" s="44"/>
      <c r="J1572" s="48">
        <f t="shared" si="72"/>
        <v>1</v>
      </c>
      <c r="K1572" s="48">
        <f t="shared" si="73"/>
        <v>0</v>
      </c>
      <c r="L1572" s="68">
        <f t="shared" si="74"/>
        <v>0</v>
      </c>
    </row>
    <row r="1573" spans="2:12" x14ac:dyDescent="0.85">
      <c r="B1573" s="46">
        <v>1567</v>
      </c>
      <c r="C1573" s="10"/>
      <c r="D1573" s="66"/>
      <c r="E1573" s="10"/>
      <c r="F1573" s="226"/>
      <c r="G1573" s="47">
        <v>1</v>
      </c>
      <c r="H1573" s="72"/>
      <c r="I1573" s="10"/>
      <c r="J1573" s="46">
        <f t="shared" si="72"/>
        <v>1</v>
      </c>
      <c r="K1573" s="46">
        <f t="shared" si="73"/>
        <v>0</v>
      </c>
      <c r="L1573" s="69">
        <f t="shared" si="74"/>
        <v>0</v>
      </c>
    </row>
    <row r="1574" spans="2:12" x14ac:dyDescent="0.85">
      <c r="B1574" s="48">
        <v>1568</v>
      </c>
      <c r="C1574" s="44"/>
      <c r="D1574" s="50"/>
      <c r="E1574" s="44"/>
      <c r="F1574" s="227"/>
      <c r="G1574" s="49">
        <v>1</v>
      </c>
      <c r="H1574" s="73"/>
      <c r="I1574" s="44"/>
      <c r="J1574" s="48">
        <f t="shared" si="72"/>
        <v>1</v>
      </c>
      <c r="K1574" s="48">
        <f t="shared" si="73"/>
        <v>0</v>
      </c>
      <c r="L1574" s="68">
        <f t="shared" si="74"/>
        <v>0</v>
      </c>
    </row>
    <row r="1575" spans="2:12" x14ac:dyDescent="0.85">
      <c r="B1575" s="46">
        <v>1569</v>
      </c>
      <c r="C1575" s="10"/>
      <c r="D1575" s="66"/>
      <c r="E1575" s="10"/>
      <c r="F1575" s="226"/>
      <c r="G1575" s="47">
        <v>1</v>
      </c>
      <c r="H1575" s="72"/>
      <c r="I1575" s="10"/>
      <c r="J1575" s="46">
        <f t="shared" si="72"/>
        <v>1</v>
      </c>
      <c r="K1575" s="46">
        <f t="shared" si="73"/>
        <v>0</v>
      </c>
      <c r="L1575" s="69">
        <f t="shared" si="74"/>
        <v>0</v>
      </c>
    </row>
    <row r="1576" spans="2:12" x14ac:dyDescent="0.85">
      <c r="B1576" s="48">
        <v>1570</v>
      </c>
      <c r="C1576" s="44"/>
      <c r="D1576" s="50"/>
      <c r="E1576" s="44"/>
      <c r="F1576" s="227"/>
      <c r="G1576" s="49">
        <v>1</v>
      </c>
      <c r="H1576" s="73"/>
      <c r="I1576" s="44"/>
      <c r="J1576" s="48">
        <f t="shared" si="72"/>
        <v>1</v>
      </c>
      <c r="K1576" s="48">
        <f t="shared" si="73"/>
        <v>0</v>
      </c>
      <c r="L1576" s="68">
        <f t="shared" si="74"/>
        <v>0</v>
      </c>
    </row>
    <row r="1577" spans="2:12" x14ac:dyDescent="0.85">
      <c r="B1577" s="46">
        <v>1571</v>
      </c>
      <c r="C1577" s="10"/>
      <c r="D1577" s="66"/>
      <c r="E1577" s="10"/>
      <c r="F1577" s="226"/>
      <c r="G1577" s="47">
        <v>1</v>
      </c>
      <c r="H1577" s="72"/>
      <c r="I1577" s="10"/>
      <c r="J1577" s="46">
        <f t="shared" si="72"/>
        <v>1</v>
      </c>
      <c r="K1577" s="46">
        <f t="shared" si="73"/>
        <v>0</v>
      </c>
      <c r="L1577" s="69">
        <f t="shared" si="74"/>
        <v>0</v>
      </c>
    </row>
    <row r="1578" spans="2:12" x14ac:dyDescent="0.85">
      <c r="B1578" s="48">
        <v>1572</v>
      </c>
      <c r="C1578" s="44"/>
      <c r="D1578" s="50"/>
      <c r="E1578" s="44"/>
      <c r="F1578" s="227"/>
      <c r="G1578" s="49">
        <v>1</v>
      </c>
      <c r="H1578" s="73"/>
      <c r="I1578" s="44"/>
      <c r="J1578" s="48">
        <f t="shared" si="72"/>
        <v>1</v>
      </c>
      <c r="K1578" s="48">
        <f t="shared" si="73"/>
        <v>0</v>
      </c>
      <c r="L1578" s="68">
        <f t="shared" si="74"/>
        <v>0</v>
      </c>
    </row>
    <row r="1579" spans="2:12" x14ac:dyDescent="0.85">
      <c r="B1579" s="46">
        <v>1573</v>
      </c>
      <c r="C1579" s="10"/>
      <c r="D1579" s="66"/>
      <c r="E1579" s="10"/>
      <c r="F1579" s="226"/>
      <c r="G1579" s="47">
        <v>1</v>
      </c>
      <c r="H1579" s="72"/>
      <c r="I1579" s="10"/>
      <c r="J1579" s="46">
        <f t="shared" si="72"/>
        <v>1</v>
      </c>
      <c r="K1579" s="46">
        <f t="shared" si="73"/>
        <v>0</v>
      </c>
      <c r="L1579" s="69">
        <f t="shared" si="74"/>
        <v>0</v>
      </c>
    </row>
    <row r="1580" spans="2:12" x14ac:dyDescent="0.85">
      <c r="B1580" s="48">
        <v>1574</v>
      </c>
      <c r="C1580" s="44"/>
      <c r="D1580" s="50"/>
      <c r="E1580" s="44"/>
      <c r="F1580" s="227"/>
      <c r="G1580" s="49">
        <v>1</v>
      </c>
      <c r="H1580" s="73"/>
      <c r="I1580" s="44"/>
      <c r="J1580" s="48">
        <f t="shared" si="72"/>
        <v>1</v>
      </c>
      <c r="K1580" s="48">
        <f t="shared" si="73"/>
        <v>0</v>
      </c>
      <c r="L1580" s="68">
        <f t="shared" si="74"/>
        <v>0</v>
      </c>
    </row>
    <row r="1581" spans="2:12" x14ac:dyDescent="0.85">
      <c r="B1581" s="46">
        <v>1575</v>
      </c>
      <c r="C1581" s="10"/>
      <c r="D1581" s="66"/>
      <c r="E1581" s="10"/>
      <c r="F1581" s="226"/>
      <c r="G1581" s="47">
        <v>1</v>
      </c>
      <c r="H1581" s="72"/>
      <c r="I1581" s="10"/>
      <c r="J1581" s="46">
        <f t="shared" si="72"/>
        <v>1</v>
      </c>
      <c r="K1581" s="46">
        <f t="shared" si="73"/>
        <v>0</v>
      </c>
      <c r="L1581" s="69">
        <f t="shared" si="74"/>
        <v>0</v>
      </c>
    </row>
    <row r="1582" spans="2:12" x14ac:dyDescent="0.85">
      <c r="B1582" s="48">
        <v>1576</v>
      </c>
      <c r="C1582" s="44"/>
      <c r="D1582" s="50"/>
      <c r="E1582" s="44"/>
      <c r="F1582" s="227"/>
      <c r="G1582" s="49">
        <v>1</v>
      </c>
      <c r="H1582" s="73"/>
      <c r="I1582" s="44"/>
      <c r="J1582" s="48">
        <f t="shared" si="72"/>
        <v>1</v>
      </c>
      <c r="K1582" s="48">
        <f t="shared" si="73"/>
        <v>0</v>
      </c>
      <c r="L1582" s="68">
        <f t="shared" si="74"/>
        <v>0</v>
      </c>
    </row>
    <row r="1583" spans="2:12" x14ac:dyDescent="0.85">
      <c r="B1583" s="46">
        <v>1577</v>
      </c>
      <c r="C1583" s="10"/>
      <c r="D1583" s="66"/>
      <c r="E1583" s="10"/>
      <c r="F1583" s="226"/>
      <c r="G1583" s="47">
        <v>1</v>
      </c>
      <c r="H1583" s="72"/>
      <c r="I1583" s="10"/>
      <c r="J1583" s="46">
        <f t="shared" si="72"/>
        <v>1</v>
      </c>
      <c r="K1583" s="46">
        <f t="shared" si="73"/>
        <v>0</v>
      </c>
      <c r="L1583" s="69">
        <f t="shared" si="74"/>
        <v>0</v>
      </c>
    </row>
    <row r="1584" spans="2:12" x14ac:dyDescent="0.85">
      <c r="B1584" s="48">
        <v>1578</v>
      </c>
      <c r="C1584" s="44"/>
      <c r="D1584" s="50"/>
      <c r="E1584" s="44"/>
      <c r="F1584" s="227"/>
      <c r="G1584" s="49">
        <v>1</v>
      </c>
      <c r="H1584" s="73"/>
      <c r="I1584" s="44"/>
      <c r="J1584" s="48">
        <f t="shared" si="72"/>
        <v>1</v>
      </c>
      <c r="K1584" s="48">
        <f t="shared" si="73"/>
        <v>0</v>
      </c>
      <c r="L1584" s="68">
        <f t="shared" si="74"/>
        <v>0</v>
      </c>
    </row>
    <row r="1585" spans="2:12" x14ac:dyDescent="0.85">
      <c r="B1585" s="46">
        <v>1579</v>
      </c>
      <c r="C1585" s="10"/>
      <c r="D1585" s="66"/>
      <c r="E1585" s="10"/>
      <c r="F1585" s="226"/>
      <c r="G1585" s="47">
        <v>1</v>
      </c>
      <c r="H1585" s="72"/>
      <c r="I1585" s="10"/>
      <c r="J1585" s="46">
        <f t="shared" si="72"/>
        <v>1</v>
      </c>
      <c r="K1585" s="46">
        <f t="shared" si="73"/>
        <v>0</v>
      </c>
      <c r="L1585" s="69">
        <f t="shared" si="74"/>
        <v>0</v>
      </c>
    </row>
    <row r="1586" spans="2:12" x14ac:dyDescent="0.85">
      <c r="B1586" s="48">
        <v>1580</v>
      </c>
      <c r="C1586" s="44"/>
      <c r="D1586" s="50"/>
      <c r="E1586" s="44"/>
      <c r="F1586" s="227"/>
      <c r="G1586" s="49">
        <v>1</v>
      </c>
      <c r="H1586" s="73"/>
      <c r="I1586" s="44"/>
      <c r="J1586" s="48">
        <f t="shared" si="72"/>
        <v>1</v>
      </c>
      <c r="K1586" s="48">
        <f t="shared" si="73"/>
        <v>0</v>
      </c>
      <c r="L1586" s="68">
        <f t="shared" si="74"/>
        <v>0</v>
      </c>
    </row>
    <row r="1587" spans="2:12" x14ac:dyDescent="0.85">
      <c r="B1587" s="46">
        <v>1581</v>
      </c>
      <c r="C1587" s="10"/>
      <c r="D1587" s="66"/>
      <c r="E1587" s="10"/>
      <c r="F1587" s="226"/>
      <c r="G1587" s="47">
        <v>1</v>
      </c>
      <c r="H1587" s="72"/>
      <c r="I1587" s="10"/>
      <c r="J1587" s="46">
        <f t="shared" si="72"/>
        <v>1</v>
      </c>
      <c r="K1587" s="46">
        <f t="shared" si="73"/>
        <v>0</v>
      </c>
      <c r="L1587" s="69">
        <f t="shared" si="74"/>
        <v>0</v>
      </c>
    </row>
    <row r="1588" spans="2:12" x14ac:dyDescent="0.85">
      <c r="B1588" s="48">
        <v>1582</v>
      </c>
      <c r="C1588" s="44"/>
      <c r="D1588" s="50"/>
      <c r="E1588" s="44"/>
      <c r="F1588" s="227"/>
      <c r="G1588" s="49">
        <v>1</v>
      </c>
      <c r="H1588" s="73"/>
      <c r="I1588" s="44"/>
      <c r="J1588" s="48">
        <f t="shared" si="72"/>
        <v>1</v>
      </c>
      <c r="K1588" s="48">
        <f t="shared" si="73"/>
        <v>0</v>
      </c>
      <c r="L1588" s="68">
        <f t="shared" si="74"/>
        <v>0</v>
      </c>
    </row>
    <row r="1589" spans="2:12" x14ac:dyDescent="0.85">
      <c r="B1589" s="46">
        <v>1583</v>
      </c>
      <c r="C1589" s="10"/>
      <c r="D1589" s="66"/>
      <c r="E1589" s="10"/>
      <c r="F1589" s="226"/>
      <c r="G1589" s="47">
        <v>1</v>
      </c>
      <c r="H1589" s="72"/>
      <c r="I1589" s="10"/>
      <c r="J1589" s="46">
        <f t="shared" si="72"/>
        <v>1</v>
      </c>
      <c r="K1589" s="46">
        <f t="shared" si="73"/>
        <v>0</v>
      </c>
      <c r="L1589" s="69">
        <f t="shared" si="74"/>
        <v>0</v>
      </c>
    </row>
    <row r="1590" spans="2:12" x14ac:dyDescent="0.85">
      <c r="B1590" s="48">
        <v>1584</v>
      </c>
      <c r="C1590" s="44"/>
      <c r="D1590" s="50"/>
      <c r="E1590" s="44"/>
      <c r="F1590" s="227"/>
      <c r="G1590" s="49">
        <v>1</v>
      </c>
      <c r="H1590" s="73"/>
      <c r="I1590" s="44"/>
      <c r="J1590" s="48">
        <f t="shared" si="72"/>
        <v>1</v>
      </c>
      <c r="K1590" s="48">
        <f t="shared" si="73"/>
        <v>0</v>
      </c>
      <c r="L1590" s="68">
        <f t="shared" si="74"/>
        <v>0</v>
      </c>
    </row>
    <row r="1591" spans="2:12" x14ac:dyDescent="0.85">
      <c r="B1591" s="46">
        <v>1585</v>
      </c>
      <c r="C1591" s="10"/>
      <c r="D1591" s="66"/>
      <c r="E1591" s="10"/>
      <c r="F1591" s="226"/>
      <c r="G1591" s="47">
        <v>1</v>
      </c>
      <c r="H1591" s="72"/>
      <c r="I1591" s="10"/>
      <c r="J1591" s="46">
        <f t="shared" si="72"/>
        <v>1</v>
      </c>
      <c r="K1591" s="46">
        <f t="shared" si="73"/>
        <v>0</v>
      </c>
      <c r="L1591" s="69">
        <f t="shared" si="74"/>
        <v>0</v>
      </c>
    </row>
    <row r="1592" spans="2:12" x14ac:dyDescent="0.85">
      <c r="B1592" s="48">
        <v>1586</v>
      </c>
      <c r="C1592" s="44"/>
      <c r="D1592" s="50"/>
      <c r="E1592" s="44"/>
      <c r="F1592" s="227"/>
      <c r="G1592" s="49">
        <v>1</v>
      </c>
      <c r="H1592" s="73"/>
      <c r="I1592" s="44"/>
      <c r="J1592" s="48">
        <f t="shared" si="72"/>
        <v>1</v>
      </c>
      <c r="K1592" s="48">
        <f t="shared" si="73"/>
        <v>0</v>
      </c>
      <c r="L1592" s="68">
        <f t="shared" si="74"/>
        <v>0</v>
      </c>
    </row>
    <row r="1593" spans="2:12" x14ac:dyDescent="0.85">
      <c r="B1593" s="46">
        <v>1587</v>
      </c>
      <c r="C1593" s="10"/>
      <c r="D1593" s="66"/>
      <c r="E1593" s="10"/>
      <c r="F1593" s="226"/>
      <c r="G1593" s="47">
        <v>1</v>
      </c>
      <c r="H1593" s="72"/>
      <c r="I1593" s="10"/>
      <c r="J1593" s="46">
        <f t="shared" si="72"/>
        <v>1</v>
      </c>
      <c r="K1593" s="46">
        <f t="shared" si="73"/>
        <v>0</v>
      </c>
      <c r="L1593" s="69">
        <f t="shared" si="74"/>
        <v>0</v>
      </c>
    </row>
    <row r="1594" spans="2:12" x14ac:dyDescent="0.85">
      <c r="B1594" s="48">
        <v>1588</v>
      </c>
      <c r="C1594" s="44"/>
      <c r="D1594" s="50"/>
      <c r="E1594" s="44"/>
      <c r="F1594" s="227"/>
      <c r="G1594" s="49">
        <v>1</v>
      </c>
      <c r="H1594" s="73"/>
      <c r="I1594" s="44"/>
      <c r="J1594" s="48">
        <f t="shared" si="72"/>
        <v>1</v>
      </c>
      <c r="K1594" s="48">
        <f t="shared" si="73"/>
        <v>0</v>
      </c>
      <c r="L1594" s="68">
        <f t="shared" si="74"/>
        <v>0</v>
      </c>
    </row>
    <row r="1595" spans="2:12" x14ac:dyDescent="0.85">
      <c r="B1595" s="46">
        <v>1589</v>
      </c>
      <c r="C1595" s="10"/>
      <c r="D1595" s="66"/>
      <c r="E1595" s="10"/>
      <c r="F1595" s="226"/>
      <c r="G1595" s="47">
        <v>1</v>
      </c>
      <c r="H1595" s="72"/>
      <c r="I1595" s="10"/>
      <c r="J1595" s="46">
        <f t="shared" si="72"/>
        <v>1</v>
      </c>
      <c r="K1595" s="46">
        <f t="shared" si="73"/>
        <v>0</v>
      </c>
      <c r="L1595" s="69">
        <f t="shared" si="74"/>
        <v>0</v>
      </c>
    </row>
    <row r="1596" spans="2:12" x14ac:dyDescent="0.85">
      <c r="B1596" s="48">
        <v>1590</v>
      </c>
      <c r="C1596" s="44"/>
      <c r="D1596" s="50"/>
      <c r="E1596" s="44"/>
      <c r="F1596" s="227"/>
      <c r="G1596" s="49">
        <v>1</v>
      </c>
      <c r="H1596" s="73"/>
      <c r="I1596" s="44"/>
      <c r="J1596" s="48">
        <f t="shared" si="72"/>
        <v>1</v>
      </c>
      <c r="K1596" s="48">
        <f t="shared" si="73"/>
        <v>0</v>
      </c>
      <c r="L1596" s="68">
        <f t="shared" si="74"/>
        <v>0</v>
      </c>
    </row>
    <row r="1597" spans="2:12" x14ac:dyDescent="0.85">
      <c r="B1597" s="46">
        <v>1591</v>
      </c>
      <c r="C1597" s="10"/>
      <c r="D1597" s="66"/>
      <c r="E1597" s="10"/>
      <c r="F1597" s="226"/>
      <c r="G1597" s="47">
        <v>1</v>
      </c>
      <c r="H1597" s="72"/>
      <c r="I1597" s="10"/>
      <c r="J1597" s="46">
        <f t="shared" si="72"/>
        <v>1</v>
      </c>
      <c r="K1597" s="46">
        <f t="shared" si="73"/>
        <v>0</v>
      </c>
      <c r="L1597" s="69">
        <f t="shared" si="74"/>
        <v>0</v>
      </c>
    </row>
    <row r="1598" spans="2:12" x14ac:dyDescent="0.85">
      <c r="B1598" s="48">
        <v>1592</v>
      </c>
      <c r="C1598" s="44"/>
      <c r="D1598" s="50"/>
      <c r="E1598" s="44"/>
      <c r="F1598" s="227"/>
      <c r="G1598" s="49">
        <v>1</v>
      </c>
      <c r="H1598" s="73"/>
      <c r="I1598" s="44"/>
      <c r="J1598" s="48">
        <f t="shared" si="72"/>
        <v>1</v>
      </c>
      <c r="K1598" s="48">
        <f t="shared" si="73"/>
        <v>0</v>
      </c>
      <c r="L1598" s="68">
        <f t="shared" si="74"/>
        <v>0</v>
      </c>
    </row>
    <row r="1599" spans="2:12" x14ac:dyDescent="0.85">
      <c r="B1599" s="46">
        <v>1593</v>
      </c>
      <c r="C1599" s="10"/>
      <c r="D1599" s="66"/>
      <c r="E1599" s="10"/>
      <c r="F1599" s="226"/>
      <c r="G1599" s="47">
        <v>1</v>
      </c>
      <c r="H1599" s="72"/>
      <c r="I1599" s="10"/>
      <c r="J1599" s="46">
        <f t="shared" si="72"/>
        <v>1</v>
      </c>
      <c r="K1599" s="46">
        <f t="shared" si="73"/>
        <v>0</v>
      </c>
      <c r="L1599" s="69">
        <f t="shared" si="74"/>
        <v>0</v>
      </c>
    </row>
    <row r="1600" spans="2:12" x14ac:dyDescent="0.85">
      <c r="B1600" s="48">
        <v>1594</v>
      </c>
      <c r="C1600" s="44"/>
      <c r="D1600" s="50"/>
      <c r="E1600" s="44"/>
      <c r="F1600" s="227"/>
      <c r="G1600" s="49">
        <v>1</v>
      </c>
      <c r="H1600" s="73"/>
      <c r="I1600" s="44"/>
      <c r="J1600" s="48">
        <f t="shared" si="72"/>
        <v>1</v>
      </c>
      <c r="K1600" s="48">
        <f t="shared" si="73"/>
        <v>0</v>
      </c>
      <c r="L1600" s="68">
        <f t="shared" si="74"/>
        <v>0</v>
      </c>
    </row>
    <row r="1601" spans="2:12" x14ac:dyDescent="0.85">
      <c r="B1601" s="46">
        <v>1595</v>
      </c>
      <c r="C1601" s="10"/>
      <c r="D1601" s="66"/>
      <c r="E1601" s="10"/>
      <c r="F1601" s="226"/>
      <c r="G1601" s="47">
        <v>1</v>
      </c>
      <c r="H1601" s="72"/>
      <c r="I1601" s="10"/>
      <c r="J1601" s="46">
        <f t="shared" si="72"/>
        <v>1</v>
      </c>
      <c r="K1601" s="46">
        <f t="shared" si="73"/>
        <v>0</v>
      </c>
      <c r="L1601" s="69">
        <f t="shared" si="74"/>
        <v>0</v>
      </c>
    </row>
    <row r="1602" spans="2:12" x14ac:dyDescent="0.85">
      <c r="B1602" s="48">
        <v>1596</v>
      </c>
      <c r="C1602" s="44"/>
      <c r="D1602" s="50"/>
      <c r="E1602" s="44"/>
      <c r="F1602" s="227"/>
      <c r="G1602" s="49">
        <v>1</v>
      </c>
      <c r="H1602" s="73"/>
      <c r="I1602" s="44"/>
      <c r="J1602" s="48">
        <f t="shared" si="72"/>
        <v>1</v>
      </c>
      <c r="K1602" s="48">
        <f t="shared" si="73"/>
        <v>0</v>
      </c>
      <c r="L1602" s="68">
        <f t="shared" si="74"/>
        <v>0</v>
      </c>
    </row>
    <row r="1603" spans="2:12" x14ac:dyDescent="0.85">
      <c r="B1603" s="46">
        <v>1597</v>
      </c>
      <c r="C1603" s="10"/>
      <c r="D1603" s="66"/>
      <c r="E1603" s="10"/>
      <c r="F1603" s="226"/>
      <c r="G1603" s="47">
        <v>1</v>
      </c>
      <c r="H1603" s="72"/>
      <c r="I1603" s="10"/>
      <c r="J1603" s="46">
        <f t="shared" si="72"/>
        <v>1</v>
      </c>
      <c r="K1603" s="46">
        <f t="shared" si="73"/>
        <v>0</v>
      </c>
      <c r="L1603" s="69">
        <f t="shared" si="74"/>
        <v>0</v>
      </c>
    </row>
    <row r="1604" spans="2:12" x14ac:dyDescent="0.85">
      <c r="B1604" s="48">
        <v>1598</v>
      </c>
      <c r="C1604" s="44"/>
      <c r="D1604" s="50"/>
      <c r="E1604" s="44"/>
      <c r="F1604" s="227"/>
      <c r="G1604" s="49">
        <v>1</v>
      </c>
      <c r="H1604" s="73"/>
      <c r="I1604" s="44"/>
      <c r="J1604" s="48">
        <f t="shared" si="72"/>
        <v>1</v>
      </c>
      <c r="K1604" s="48">
        <f t="shared" si="73"/>
        <v>0</v>
      </c>
      <c r="L1604" s="68">
        <f t="shared" si="74"/>
        <v>0</v>
      </c>
    </row>
    <row r="1605" spans="2:12" x14ac:dyDescent="0.85">
      <c r="B1605" s="46">
        <v>1599</v>
      </c>
      <c r="C1605" s="10"/>
      <c r="D1605" s="66"/>
      <c r="E1605" s="10"/>
      <c r="F1605" s="226"/>
      <c r="G1605" s="47">
        <v>1</v>
      </c>
      <c r="H1605" s="72"/>
      <c r="I1605" s="10"/>
      <c r="J1605" s="46">
        <f t="shared" si="72"/>
        <v>1</v>
      </c>
      <c r="K1605" s="46">
        <f t="shared" si="73"/>
        <v>0</v>
      </c>
      <c r="L1605" s="69">
        <f t="shared" si="74"/>
        <v>0</v>
      </c>
    </row>
    <row r="1606" spans="2:12" x14ac:dyDescent="0.85">
      <c r="B1606" s="48">
        <v>1600</v>
      </c>
      <c r="C1606" s="44"/>
      <c r="D1606" s="50"/>
      <c r="E1606" s="44"/>
      <c r="F1606" s="227"/>
      <c r="G1606" s="49">
        <v>1</v>
      </c>
      <c r="H1606" s="73"/>
      <c r="I1606" s="44"/>
      <c r="J1606" s="48">
        <f t="shared" si="72"/>
        <v>1</v>
      </c>
      <c r="K1606" s="48">
        <f t="shared" si="73"/>
        <v>0</v>
      </c>
      <c r="L1606" s="68">
        <f t="shared" si="74"/>
        <v>0</v>
      </c>
    </row>
    <row r="1607" spans="2:12" x14ac:dyDescent="0.85">
      <c r="B1607" s="46">
        <v>1601</v>
      </c>
      <c r="C1607" s="10"/>
      <c r="D1607" s="66"/>
      <c r="E1607" s="10"/>
      <c r="F1607" s="226"/>
      <c r="G1607" s="47">
        <v>1</v>
      </c>
      <c r="H1607" s="72"/>
      <c r="I1607" s="10"/>
      <c r="J1607" s="46">
        <f t="shared" ref="J1607:J1670" si="75">IF(ISBLANK(H1607),1,H1607)</f>
        <v>1</v>
      </c>
      <c r="K1607" s="46">
        <f t="shared" ref="K1607:K1670" si="76">IF(COUNTIF(FreeElements, E1607)&gt;0, F1607, 0)</f>
        <v>0</v>
      </c>
      <c r="L1607" s="69">
        <f t="shared" ref="L1607:L1670" si="77">J1607*K1607</f>
        <v>0</v>
      </c>
    </row>
    <row r="1608" spans="2:12" x14ac:dyDescent="0.85">
      <c r="B1608" s="48">
        <v>1602</v>
      </c>
      <c r="C1608" s="44"/>
      <c r="D1608" s="50"/>
      <c r="E1608" s="44"/>
      <c r="F1608" s="227"/>
      <c r="G1608" s="49">
        <v>1</v>
      </c>
      <c r="H1608" s="73"/>
      <c r="I1608" s="44"/>
      <c r="J1608" s="48">
        <f t="shared" si="75"/>
        <v>1</v>
      </c>
      <c r="K1608" s="48">
        <f t="shared" si="76"/>
        <v>0</v>
      </c>
      <c r="L1608" s="68">
        <f t="shared" si="77"/>
        <v>0</v>
      </c>
    </row>
    <row r="1609" spans="2:12" x14ac:dyDescent="0.85">
      <c r="B1609" s="46">
        <v>1603</v>
      </c>
      <c r="C1609" s="10"/>
      <c r="D1609" s="66"/>
      <c r="E1609" s="10"/>
      <c r="F1609" s="226"/>
      <c r="G1609" s="47">
        <v>1</v>
      </c>
      <c r="H1609" s="72"/>
      <c r="I1609" s="10"/>
      <c r="J1609" s="46">
        <f t="shared" si="75"/>
        <v>1</v>
      </c>
      <c r="K1609" s="46">
        <f t="shared" si="76"/>
        <v>0</v>
      </c>
      <c r="L1609" s="69">
        <f t="shared" si="77"/>
        <v>0</v>
      </c>
    </row>
    <row r="1610" spans="2:12" x14ac:dyDescent="0.85">
      <c r="B1610" s="48">
        <v>1604</v>
      </c>
      <c r="C1610" s="44"/>
      <c r="D1610" s="50"/>
      <c r="E1610" s="44"/>
      <c r="F1610" s="227"/>
      <c r="G1610" s="49">
        <v>1</v>
      </c>
      <c r="H1610" s="73"/>
      <c r="I1610" s="44"/>
      <c r="J1610" s="48">
        <f t="shared" si="75"/>
        <v>1</v>
      </c>
      <c r="K1610" s="48">
        <f t="shared" si="76"/>
        <v>0</v>
      </c>
      <c r="L1610" s="68">
        <f t="shared" si="77"/>
        <v>0</v>
      </c>
    </row>
    <row r="1611" spans="2:12" x14ac:dyDescent="0.85">
      <c r="B1611" s="46">
        <v>1605</v>
      </c>
      <c r="C1611" s="10"/>
      <c r="D1611" s="66"/>
      <c r="E1611" s="10"/>
      <c r="F1611" s="226"/>
      <c r="G1611" s="47">
        <v>1</v>
      </c>
      <c r="H1611" s="72"/>
      <c r="I1611" s="10"/>
      <c r="J1611" s="46">
        <f t="shared" si="75"/>
        <v>1</v>
      </c>
      <c r="K1611" s="46">
        <f t="shared" si="76"/>
        <v>0</v>
      </c>
      <c r="L1611" s="69">
        <f t="shared" si="77"/>
        <v>0</v>
      </c>
    </row>
    <row r="1612" spans="2:12" x14ac:dyDescent="0.85">
      <c r="B1612" s="48">
        <v>1606</v>
      </c>
      <c r="C1612" s="44"/>
      <c r="D1612" s="50"/>
      <c r="E1612" s="44"/>
      <c r="F1612" s="227"/>
      <c r="G1612" s="49">
        <v>1</v>
      </c>
      <c r="H1612" s="73"/>
      <c r="I1612" s="44"/>
      <c r="J1612" s="48">
        <f t="shared" si="75"/>
        <v>1</v>
      </c>
      <c r="K1612" s="48">
        <f t="shared" si="76"/>
        <v>0</v>
      </c>
      <c r="L1612" s="68">
        <f t="shared" si="77"/>
        <v>0</v>
      </c>
    </row>
    <row r="1613" spans="2:12" x14ac:dyDescent="0.85">
      <c r="B1613" s="46">
        <v>1607</v>
      </c>
      <c r="C1613" s="10"/>
      <c r="D1613" s="66"/>
      <c r="E1613" s="10"/>
      <c r="F1613" s="226"/>
      <c r="G1613" s="47">
        <v>1</v>
      </c>
      <c r="H1613" s="72"/>
      <c r="I1613" s="10"/>
      <c r="J1613" s="46">
        <f t="shared" si="75"/>
        <v>1</v>
      </c>
      <c r="K1613" s="46">
        <f t="shared" si="76"/>
        <v>0</v>
      </c>
      <c r="L1613" s="69">
        <f t="shared" si="77"/>
        <v>0</v>
      </c>
    </row>
    <row r="1614" spans="2:12" x14ac:dyDescent="0.85">
      <c r="B1614" s="48">
        <v>1608</v>
      </c>
      <c r="C1614" s="44"/>
      <c r="D1614" s="50"/>
      <c r="E1614" s="44"/>
      <c r="F1614" s="227"/>
      <c r="G1614" s="49">
        <v>1</v>
      </c>
      <c r="H1614" s="73"/>
      <c r="I1614" s="44"/>
      <c r="J1614" s="48">
        <f t="shared" si="75"/>
        <v>1</v>
      </c>
      <c r="K1614" s="48">
        <f t="shared" si="76"/>
        <v>0</v>
      </c>
      <c r="L1614" s="68">
        <f t="shared" si="77"/>
        <v>0</v>
      </c>
    </row>
    <row r="1615" spans="2:12" x14ac:dyDescent="0.85">
      <c r="B1615" s="46">
        <v>1609</v>
      </c>
      <c r="C1615" s="10"/>
      <c r="D1615" s="66"/>
      <c r="E1615" s="10"/>
      <c r="F1615" s="226"/>
      <c r="G1615" s="47">
        <v>1</v>
      </c>
      <c r="H1615" s="72"/>
      <c r="I1615" s="10"/>
      <c r="J1615" s="46">
        <f t="shared" si="75"/>
        <v>1</v>
      </c>
      <c r="K1615" s="46">
        <f t="shared" si="76"/>
        <v>0</v>
      </c>
      <c r="L1615" s="69">
        <f t="shared" si="77"/>
        <v>0</v>
      </c>
    </row>
    <row r="1616" spans="2:12" x14ac:dyDescent="0.85">
      <c r="B1616" s="48">
        <v>1610</v>
      </c>
      <c r="C1616" s="44"/>
      <c r="D1616" s="50"/>
      <c r="E1616" s="44"/>
      <c r="F1616" s="227"/>
      <c r="G1616" s="49">
        <v>1</v>
      </c>
      <c r="H1616" s="73"/>
      <c r="I1616" s="44"/>
      <c r="J1616" s="48">
        <f t="shared" si="75"/>
        <v>1</v>
      </c>
      <c r="K1616" s="48">
        <f t="shared" si="76"/>
        <v>0</v>
      </c>
      <c r="L1616" s="68">
        <f t="shared" si="77"/>
        <v>0</v>
      </c>
    </row>
    <row r="1617" spans="2:12" x14ac:dyDescent="0.85">
      <c r="B1617" s="46">
        <v>1611</v>
      </c>
      <c r="C1617" s="10"/>
      <c r="D1617" s="66"/>
      <c r="E1617" s="10"/>
      <c r="F1617" s="226"/>
      <c r="G1617" s="47">
        <v>1</v>
      </c>
      <c r="H1617" s="72"/>
      <c r="I1617" s="10"/>
      <c r="J1617" s="46">
        <f t="shared" si="75"/>
        <v>1</v>
      </c>
      <c r="K1617" s="46">
        <f t="shared" si="76"/>
        <v>0</v>
      </c>
      <c r="L1617" s="69">
        <f t="shared" si="77"/>
        <v>0</v>
      </c>
    </row>
    <row r="1618" spans="2:12" x14ac:dyDescent="0.85">
      <c r="B1618" s="48">
        <v>1612</v>
      </c>
      <c r="C1618" s="44"/>
      <c r="D1618" s="50"/>
      <c r="E1618" s="44"/>
      <c r="F1618" s="227"/>
      <c r="G1618" s="49">
        <v>1</v>
      </c>
      <c r="H1618" s="73"/>
      <c r="I1618" s="44"/>
      <c r="J1618" s="48">
        <f t="shared" si="75"/>
        <v>1</v>
      </c>
      <c r="K1618" s="48">
        <f t="shared" si="76"/>
        <v>0</v>
      </c>
      <c r="L1618" s="68">
        <f t="shared" si="77"/>
        <v>0</v>
      </c>
    </row>
    <row r="1619" spans="2:12" x14ac:dyDescent="0.85">
      <c r="B1619" s="46">
        <v>1613</v>
      </c>
      <c r="C1619" s="10"/>
      <c r="D1619" s="66"/>
      <c r="E1619" s="10"/>
      <c r="F1619" s="226"/>
      <c r="G1619" s="47">
        <v>1</v>
      </c>
      <c r="H1619" s="72"/>
      <c r="I1619" s="10"/>
      <c r="J1619" s="46">
        <f t="shared" si="75"/>
        <v>1</v>
      </c>
      <c r="K1619" s="46">
        <f t="shared" si="76"/>
        <v>0</v>
      </c>
      <c r="L1619" s="69">
        <f t="shared" si="77"/>
        <v>0</v>
      </c>
    </row>
    <row r="1620" spans="2:12" x14ac:dyDescent="0.85">
      <c r="B1620" s="48">
        <v>1614</v>
      </c>
      <c r="C1620" s="44"/>
      <c r="D1620" s="50"/>
      <c r="E1620" s="44"/>
      <c r="F1620" s="227"/>
      <c r="G1620" s="49">
        <v>1</v>
      </c>
      <c r="H1620" s="73"/>
      <c r="I1620" s="44"/>
      <c r="J1620" s="48">
        <f t="shared" si="75"/>
        <v>1</v>
      </c>
      <c r="K1620" s="48">
        <f t="shared" si="76"/>
        <v>0</v>
      </c>
      <c r="L1620" s="68">
        <f t="shared" si="77"/>
        <v>0</v>
      </c>
    </row>
    <row r="1621" spans="2:12" x14ac:dyDescent="0.85">
      <c r="B1621" s="46">
        <v>1615</v>
      </c>
      <c r="C1621" s="10"/>
      <c r="D1621" s="66"/>
      <c r="E1621" s="10"/>
      <c r="F1621" s="226"/>
      <c r="G1621" s="47">
        <v>1</v>
      </c>
      <c r="H1621" s="72"/>
      <c r="I1621" s="10"/>
      <c r="J1621" s="46">
        <f t="shared" si="75"/>
        <v>1</v>
      </c>
      <c r="K1621" s="46">
        <f t="shared" si="76"/>
        <v>0</v>
      </c>
      <c r="L1621" s="69">
        <f t="shared" si="77"/>
        <v>0</v>
      </c>
    </row>
    <row r="1622" spans="2:12" x14ac:dyDescent="0.85">
      <c r="B1622" s="48">
        <v>1616</v>
      </c>
      <c r="C1622" s="44"/>
      <c r="D1622" s="50"/>
      <c r="E1622" s="44"/>
      <c r="F1622" s="227"/>
      <c r="G1622" s="49">
        <v>1</v>
      </c>
      <c r="H1622" s="73"/>
      <c r="I1622" s="44"/>
      <c r="J1622" s="48">
        <f t="shared" si="75"/>
        <v>1</v>
      </c>
      <c r="K1622" s="48">
        <f t="shared" si="76"/>
        <v>0</v>
      </c>
      <c r="L1622" s="68">
        <f t="shared" si="77"/>
        <v>0</v>
      </c>
    </row>
    <row r="1623" spans="2:12" x14ac:dyDescent="0.85">
      <c r="B1623" s="46">
        <v>1617</v>
      </c>
      <c r="C1623" s="10"/>
      <c r="D1623" s="66"/>
      <c r="E1623" s="10"/>
      <c r="F1623" s="226"/>
      <c r="G1623" s="47">
        <v>1</v>
      </c>
      <c r="H1623" s="72"/>
      <c r="I1623" s="10"/>
      <c r="J1623" s="46">
        <f t="shared" si="75"/>
        <v>1</v>
      </c>
      <c r="K1623" s="46">
        <f t="shared" si="76"/>
        <v>0</v>
      </c>
      <c r="L1623" s="69">
        <f t="shared" si="77"/>
        <v>0</v>
      </c>
    </row>
    <row r="1624" spans="2:12" x14ac:dyDescent="0.85">
      <c r="B1624" s="48">
        <v>1618</v>
      </c>
      <c r="C1624" s="44"/>
      <c r="D1624" s="50"/>
      <c r="E1624" s="44"/>
      <c r="F1624" s="227"/>
      <c r="G1624" s="49">
        <v>1</v>
      </c>
      <c r="H1624" s="73"/>
      <c r="I1624" s="44"/>
      <c r="J1624" s="48">
        <f t="shared" si="75"/>
        <v>1</v>
      </c>
      <c r="K1624" s="48">
        <f t="shared" si="76"/>
        <v>0</v>
      </c>
      <c r="L1624" s="68">
        <f t="shared" si="77"/>
        <v>0</v>
      </c>
    </row>
    <row r="1625" spans="2:12" x14ac:dyDescent="0.85">
      <c r="B1625" s="46">
        <v>1619</v>
      </c>
      <c r="C1625" s="10"/>
      <c r="D1625" s="66"/>
      <c r="E1625" s="10"/>
      <c r="F1625" s="226"/>
      <c r="G1625" s="47">
        <v>1</v>
      </c>
      <c r="H1625" s="72"/>
      <c r="I1625" s="10"/>
      <c r="J1625" s="46">
        <f t="shared" si="75"/>
        <v>1</v>
      </c>
      <c r="K1625" s="46">
        <f t="shared" si="76"/>
        <v>0</v>
      </c>
      <c r="L1625" s="69">
        <f t="shared" si="77"/>
        <v>0</v>
      </c>
    </row>
    <row r="1626" spans="2:12" x14ac:dyDescent="0.85">
      <c r="B1626" s="48">
        <v>1620</v>
      </c>
      <c r="C1626" s="44"/>
      <c r="D1626" s="50"/>
      <c r="E1626" s="44"/>
      <c r="F1626" s="227"/>
      <c r="G1626" s="49">
        <v>1</v>
      </c>
      <c r="H1626" s="73"/>
      <c r="I1626" s="44"/>
      <c r="J1626" s="48">
        <f t="shared" si="75"/>
        <v>1</v>
      </c>
      <c r="K1626" s="48">
        <f t="shared" si="76"/>
        <v>0</v>
      </c>
      <c r="L1626" s="68">
        <f t="shared" si="77"/>
        <v>0</v>
      </c>
    </row>
    <row r="1627" spans="2:12" x14ac:dyDescent="0.85">
      <c r="B1627" s="46">
        <v>1621</v>
      </c>
      <c r="C1627" s="10"/>
      <c r="D1627" s="66"/>
      <c r="E1627" s="10"/>
      <c r="F1627" s="226"/>
      <c r="G1627" s="47">
        <v>1</v>
      </c>
      <c r="H1627" s="72"/>
      <c r="I1627" s="10"/>
      <c r="J1627" s="46">
        <f t="shared" si="75"/>
        <v>1</v>
      </c>
      <c r="K1627" s="46">
        <f t="shared" si="76"/>
        <v>0</v>
      </c>
      <c r="L1627" s="69">
        <f t="shared" si="77"/>
        <v>0</v>
      </c>
    </row>
    <row r="1628" spans="2:12" x14ac:dyDescent="0.85">
      <c r="B1628" s="48">
        <v>1622</v>
      </c>
      <c r="C1628" s="44"/>
      <c r="D1628" s="50"/>
      <c r="E1628" s="44"/>
      <c r="F1628" s="227"/>
      <c r="G1628" s="49">
        <v>1</v>
      </c>
      <c r="H1628" s="73"/>
      <c r="I1628" s="44"/>
      <c r="J1628" s="48">
        <f t="shared" si="75"/>
        <v>1</v>
      </c>
      <c r="K1628" s="48">
        <f t="shared" si="76"/>
        <v>0</v>
      </c>
      <c r="L1628" s="68">
        <f t="shared" si="77"/>
        <v>0</v>
      </c>
    </row>
    <row r="1629" spans="2:12" x14ac:dyDescent="0.85">
      <c r="B1629" s="46">
        <v>1623</v>
      </c>
      <c r="C1629" s="10"/>
      <c r="D1629" s="66"/>
      <c r="E1629" s="10"/>
      <c r="F1629" s="226"/>
      <c r="G1629" s="47">
        <v>1</v>
      </c>
      <c r="H1629" s="72"/>
      <c r="I1629" s="10"/>
      <c r="J1629" s="46">
        <f t="shared" si="75"/>
        <v>1</v>
      </c>
      <c r="K1629" s="46">
        <f t="shared" si="76"/>
        <v>0</v>
      </c>
      <c r="L1629" s="69">
        <f t="shared" si="77"/>
        <v>0</v>
      </c>
    </row>
    <row r="1630" spans="2:12" x14ac:dyDescent="0.85">
      <c r="B1630" s="48">
        <v>1624</v>
      </c>
      <c r="C1630" s="44"/>
      <c r="D1630" s="50"/>
      <c r="E1630" s="44"/>
      <c r="F1630" s="227"/>
      <c r="G1630" s="49">
        <v>1</v>
      </c>
      <c r="H1630" s="73"/>
      <c r="I1630" s="44"/>
      <c r="J1630" s="48">
        <f t="shared" si="75"/>
        <v>1</v>
      </c>
      <c r="K1630" s="48">
        <f t="shared" si="76"/>
        <v>0</v>
      </c>
      <c r="L1630" s="68">
        <f t="shared" si="77"/>
        <v>0</v>
      </c>
    </row>
    <row r="1631" spans="2:12" x14ac:dyDescent="0.85">
      <c r="B1631" s="46">
        <v>1625</v>
      </c>
      <c r="C1631" s="10"/>
      <c r="D1631" s="66"/>
      <c r="E1631" s="10"/>
      <c r="F1631" s="226"/>
      <c r="G1631" s="47">
        <v>1</v>
      </c>
      <c r="H1631" s="72"/>
      <c r="I1631" s="10"/>
      <c r="J1631" s="46">
        <f t="shared" si="75"/>
        <v>1</v>
      </c>
      <c r="K1631" s="46">
        <f t="shared" si="76"/>
        <v>0</v>
      </c>
      <c r="L1631" s="69">
        <f t="shared" si="77"/>
        <v>0</v>
      </c>
    </row>
    <row r="1632" spans="2:12" x14ac:dyDescent="0.85">
      <c r="B1632" s="48">
        <v>1626</v>
      </c>
      <c r="C1632" s="44"/>
      <c r="D1632" s="50"/>
      <c r="E1632" s="44"/>
      <c r="F1632" s="227"/>
      <c r="G1632" s="49">
        <v>1</v>
      </c>
      <c r="H1632" s="73"/>
      <c r="I1632" s="44"/>
      <c r="J1632" s="48">
        <f t="shared" si="75"/>
        <v>1</v>
      </c>
      <c r="K1632" s="48">
        <f t="shared" si="76"/>
        <v>0</v>
      </c>
      <c r="L1632" s="68">
        <f t="shared" si="77"/>
        <v>0</v>
      </c>
    </row>
    <row r="1633" spans="2:12" x14ac:dyDescent="0.85">
      <c r="B1633" s="46">
        <v>1627</v>
      </c>
      <c r="C1633" s="10"/>
      <c r="D1633" s="66"/>
      <c r="E1633" s="10"/>
      <c r="F1633" s="226"/>
      <c r="G1633" s="47">
        <v>1</v>
      </c>
      <c r="H1633" s="72"/>
      <c r="I1633" s="10"/>
      <c r="J1633" s="46">
        <f t="shared" si="75"/>
        <v>1</v>
      </c>
      <c r="K1633" s="46">
        <f t="shared" si="76"/>
        <v>0</v>
      </c>
      <c r="L1633" s="69">
        <f t="shared" si="77"/>
        <v>0</v>
      </c>
    </row>
    <row r="1634" spans="2:12" x14ac:dyDescent="0.85">
      <c r="B1634" s="48">
        <v>1628</v>
      </c>
      <c r="C1634" s="44"/>
      <c r="D1634" s="50"/>
      <c r="E1634" s="44"/>
      <c r="F1634" s="227"/>
      <c r="G1634" s="49">
        <v>1</v>
      </c>
      <c r="H1634" s="73"/>
      <c r="I1634" s="44"/>
      <c r="J1634" s="48">
        <f t="shared" si="75"/>
        <v>1</v>
      </c>
      <c r="K1634" s="48">
        <f t="shared" si="76"/>
        <v>0</v>
      </c>
      <c r="L1634" s="68">
        <f t="shared" si="77"/>
        <v>0</v>
      </c>
    </row>
    <row r="1635" spans="2:12" x14ac:dyDescent="0.85">
      <c r="B1635" s="46">
        <v>1629</v>
      </c>
      <c r="C1635" s="10"/>
      <c r="D1635" s="66"/>
      <c r="E1635" s="10"/>
      <c r="F1635" s="226"/>
      <c r="G1635" s="47">
        <v>1</v>
      </c>
      <c r="H1635" s="72"/>
      <c r="I1635" s="10"/>
      <c r="J1635" s="46">
        <f t="shared" si="75"/>
        <v>1</v>
      </c>
      <c r="K1635" s="46">
        <f t="shared" si="76"/>
        <v>0</v>
      </c>
      <c r="L1635" s="69">
        <f t="shared" si="77"/>
        <v>0</v>
      </c>
    </row>
    <row r="1636" spans="2:12" x14ac:dyDescent="0.85">
      <c r="B1636" s="48">
        <v>1630</v>
      </c>
      <c r="C1636" s="44"/>
      <c r="D1636" s="50"/>
      <c r="E1636" s="44"/>
      <c r="F1636" s="227"/>
      <c r="G1636" s="49">
        <v>1</v>
      </c>
      <c r="H1636" s="73"/>
      <c r="I1636" s="44"/>
      <c r="J1636" s="48">
        <f t="shared" si="75"/>
        <v>1</v>
      </c>
      <c r="K1636" s="48">
        <f t="shared" si="76"/>
        <v>0</v>
      </c>
      <c r="L1636" s="68">
        <f t="shared" si="77"/>
        <v>0</v>
      </c>
    </row>
    <row r="1637" spans="2:12" x14ac:dyDescent="0.85">
      <c r="B1637" s="46">
        <v>1631</v>
      </c>
      <c r="C1637" s="10"/>
      <c r="D1637" s="66"/>
      <c r="E1637" s="10"/>
      <c r="F1637" s="226"/>
      <c r="G1637" s="47">
        <v>1</v>
      </c>
      <c r="H1637" s="72"/>
      <c r="I1637" s="10"/>
      <c r="J1637" s="46">
        <f t="shared" si="75"/>
        <v>1</v>
      </c>
      <c r="K1637" s="46">
        <f t="shared" si="76"/>
        <v>0</v>
      </c>
      <c r="L1637" s="69">
        <f t="shared" si="77"/>
        <v>0</v>
      </c>
    </row>
    <row r="1638" spans="2:12" x14ac:dyDescent="0.85">
      <c r="B1638" s="48">
        <v>1632</v>
      </c>
      <c r="C1638" s="44"/>
      <c r="D1638" s="50"/>
      <c r="E1638" s="44"/>
      <c r="F1638" s="227"/>
      <c r="G1638" s="49">
        <v>1</v>
      </c>
      <c r="H1638" s="73"/>
      <c r="I1638" s="44"/>
      <c r="J1638" s="48">
        <f t="shared" si="75"/>
        <v>1</v>
      </c>
      <c r="K1638" s="48">
        <f t="shared" si="76"/>
        <v>0</v>
      </c>
      <c r="L1638" s="68">
        <f t="shared" si="77"/>
        <v>0</v>
      </c>
    </row>
    <row r="1639" spans="2:12" x14ac:dyDescent="0.85">
      <c r="B1639" s="46">
        <v>1633</v>
      </c>
      <c r="C1639" s="10"/>
      <c r="D1639" s="66"/>
      <c r="E1639" s="10"/>
      <c r="F1639" s="226"/>
      <c r="G1639" s="47">
        <v>1</v>
      </c>
      <c r="H1639" s="72"/>
      <c r="I1639" s="10"/>
      <c r="J1639" s="46">
        <f t="shared" si="75"/>
        <v>1</v>
      </c>
      <c r="K1639" s="46">
        <f t="shared" si="76"/>
        <v>0</v>
      </c>
      <c r="L1639" s="69">
        <f t="shared" si="77"/>
        <v>0</v>
      </c>
    </row>
    <row r="1640" spans="2:12" x14ac:dyDescent="0.85">
      <c r="B1640" s="48">
        <v>1634</v>
      </c>
      <c r="C1640" s="44"/>
      <c r="D1640" s="50"/>
      <c r="E1640" s="44"/>
      <c r="F1640" s="227"/>
      <c r="G1640" s="49">
        <v>1</v>
      </c>
      <c r="H1640" s="73"/>
      <c r="I1640" s="44"/>
      <c r="J1640" s="48">
        <f t="shared" si="75"/>
        <v>1</v>
      </c>
      <c r="K1640" s="48">
        <f t="shared" si="76"/>
        <v>0</v>
      </c>
      <c r="L1640" s="68">
        <f t="shared" si="77"/>
        <v>0</v>
      </c>
    </row>
    <row r="1641" spans="2:12" x14ac:dyDescent="0.85">
      <c r="B1641" s="46">
        <v>1635</v>
      </c>
      <c r="C1641" s="10"/>
      <c r="D1641" s="66"/>
      <c r="E1641" s="10"/>
      <c r="F1641" s="226"/>
      <c r="G1641" s="47">
        <v>1</v>
      </c>
      <c r="H1641" s="72"/>
      <c r="I1641" s="10"/>
      <c r="J1641" s="46">
        <f t="shared" si="75"/>
        <v>1</v>
      </c>
      <c r="K1641" s="46">
        <f t="shared" si="76"/>
        <v>0</v>
      </c>
      <c r="L1641" s="69">
        <f t="shared" si="77"/>
        <v>0</v>
      </c>
    </row>
    <row r="1642" spans="2:12" x14ac:dyDescent="0.85">
      <c r="B1642" s="48">
        <v>1636</v>
      </c>
      <c r="C1642" s="44"/>
      <c r="D1642" s="50"/>
      <c r="E1642" s="44"/>
      <c r="F1642" s="227"/>
      <c r="G1642" s="49">
        <v>1</v>
      </c>
      <c r="H1642" s="73"/>
      <c r="I1642" s="44"/>
      <c r="J1642" s="48">
        <f t="shared" si="75"/>
        <v>1</v>
      </c>
      <c r="K1642" s="48">
        <f t="shared" si="76"/>
        <v>0</v>
      </c>
      <c r="L1642" s="68">
        <f t="shared" si="77"/>
        <v>0</v>
      </c>
    </row>
    <row r="1643" spans="2:12" x14ac:dyDescent="0.85">
      <c r="B1643" s="46">
        <v>1637</v>
      </c>
      <c r="C1643" s="10"/>
      <c r="D1643" s="66"/>
      <c r="E1643" s="10"/>
      <c r="F1643" s="226"/>
      <c r="G1643" s="47">
        <v>1</v>
      </c>
      <c r="H1643" s="72"/>
      <c r="I1643" s="10"/>
      <c r="J1643" s="46">
        <f t="shared" si="75"/>
        <v>1</v>
      </c>
      <c r="K1643" s="46">
        <f t="shared" si="76"/>
        <v>0</v>
      </c>
      <c r="L1643" s="69">
        <f t="shared" si="77"/>
        <v>0</v>
      </c>
    </row>
    <row r="1644" spans="2:12" x14ac:dyDescent="0.85">
      <c r="B1644" s="48">
        <v>1638</v>
      </c>
      <c r="C1644" s="44"/>
      <c r="D1644" s="50"/>
      <c r="E1644" s="44"/>
      <c r="F1644" s="227"/>
      <c r="G1644" s="49">
        <v>1</v>
      </c>
      <c r="H1644" s="73"/>
      <c r="I1644" s="44"/>
      <c r="J1644" s="48">
        <f t="shared" si="75"/>
        <v>1</v>
      </c>
      <c r="K1644" s="48">
        <f t="shared" si="76"/>
        <v>0</v>
      </c>
      <c r="L1644" s="68">
        <f t="shared" si="77"/>
        <v>0</v>
      </c>
    </row>
    <row r="1645" spans="2:12" x14ac:dyDescent="0.85">
      <c r="B1645" s="46">
        <v>1639</v>
      </c>
      <c r="C1645" s="10"/>
      <c r="D1645" s="66"/>
      <c r="E1645" s="10"/>
      <c r="F1645" s="226"/>
      <c r="G1645" s="47">
        <v>1</v>
      </c>
      <c r="H1645" s="72"/>
      <c r="I1645" s="10"/>
      <c r="J1645" s="46">
        <f t="shared" si="75"/>
        <v>1</v>
      </c>
      <c r="K1645" s="46">
        <f t="shared" si="76"/>
        <v>0</v>
      </c>
      <c r="L1645" s="69">
        <f t="shared" si="77"/>
        <v>0</v>
      </c>
    </row>
    <row r="1646" spans="2:12" x14ac:dyDescent="0.85">
      <c r="B1646" s="48">
        <v>1640</v>
      </c>
      <c r="C1646" s="44"/>
      <c r="D1646" s="50"/>
      <c r="E1646" s="44"/>
      <c r="F1646" s="227"/>
      <c r="G1646" s="49">
        <v>1</v>
      </c>
      <c r="H1646" s="73"/>
      <c r="I1646" s="44"/>
      <c r="J1646" s="48">
        <f t="shared" si="75"/>
        <v>1</v>
      </c>
      <c r="K1646" s="48">
        <f t="shared" si="76"/>
        <v>0</v>
      </c>
      <c r="L1646" s="68">
        <f t="shared" si="77"/>
        <v>0</v>
      </c>
    </row>
    <row r="1647" spans="2:12" x14ac:dyDescent="0.85">
      <c r="B1647" s="46">
        <v>1641</v>
      </c>
      <c r="C1647" s="10"/>
      <c r="D1647" s="66"/>
      <c r="E1647" s="10"/>
      <c r="F1647" s="226"/>
      <c r="G1647" s="47">
        <v>1</v>
      </c>
      <c r="H1647" s="72"/>
      <c r="I1647" s="10"/>
      <c r="J1647" s="46">
        <f t="shared" si="75"/>
        <v>1</v>
      </c>
      <c r="K1647" s="46">
        <f t="shared" si="76"/>
        <v>0</v>
      </c>
      <c r="L1647" s="69">
        <f t="shared" si="77"/>
        <v>0</v>
      </c>
    </row>
    <row r="1648" spans="2:12" x14ac:dyDescent="0.85">
      <c r="B1648" s="48">
        <v>1642</v>
      </c>
      <c r="C1648" s="44"/>
      <c r="D1648" s="50"/>
      <c r="E1648" s="44"/>
      <c r="F1648" s="227"/>
      <c r="G1648" s="49">
        <v>1</v>
      </c>
      <c r="H1648" s="73"/>
      <c r="I1648" s="44"/>
      <c r="J1648" s="48">
        <f t="shared" si="75"/>
        <v>1</v>
      </c>
      <c r="K1648" s="48">
        <f t="shared" si="76"/>
        <v>0</v>
      </c>
      <c r="L1648" s="68">
        <f t="shared" si="77"/>
        <v>0</v>
      </c>
    </row>
    <row r="1649" spans="2:12" x14ac:dyDescent="0.85">
      <c r="B1649" s="46">
        <v>1643</v>
      </c>
      <c r="C1649" s="10"/>
      <c r="D1649" s="66"/>
      <c r="E1649" s="10"/>
      <c r="F1649" s="226"/>
      <c r="G1649" s="47">
        <v>1</v>
      </c>
      <c r="H1649" s="72"/>
      <c r="I1649" s="10"/>
      <c r="J1649" s="46">
        <f t="shared" si="75"/>
        <v>1</v>
      </c>
      <c r="K1649" s="46">
        <f t="shared" si="76"/>
        <v>0</v>
      </c>
      <c r="L1649" s="69">
        <f t="shared" si="77"/>
        <v>0</v>
      </c>
    </row>
    <row r="1650" spans="2:12" x14ac:dyDescent="0.85">
      <c r="B1650" s="48">
        <v>1644</v>
      </c>
      <c r="C1650" s="44"/>
      <c r="D1650" s="50"/>
      <c r="E1650" s="44"/>
      <c r="F1650" s="227"/>
      <c r="G1650" s="49">
        <v>1</v>
      </c>
      <c r="H1650" s="73"/>
      <c r="I1650" s="44"/>
      <c r="J1650" s="48">
        <f t="shared" si="75"/>
        <v>1</v>
      </c>
      <c r="K1650" s="48">
        <f t="shared" si="76"/>
        <v>0</v>
      </c>
      <c r="L1650" s="68">
        <f t="shared" si="77"/>
        <v>0</v>
      </c>
    </row>
    <row r="1651" spans="2:12" x14ac:dyDescent="0.85">
      <c r="B1651" s="46">
        <v>1645</v>
      </c>
      <c r="C1651" s="10"/>
      <c r="D1651" s="66"/>
      <c r="E1651" s="10"/>
      <c r="F1651" s="226"/>
      <c r="G1651" s="47">
        <v>1</v>
      </c>
      <c r="H1651" s="72"/>
      <c r="I1651" s="10"/>
      <c r="J1651" s="46">
        <f t="shared" si="75"/>
        <v>1</v>
      </c>
      <c r="K1651" s="46">
        <f t="shared" si="76"/>
        <v>0</v>
      </c>
      <c r="L1651" s="69">
        <f t="shared" si="77"/>
        <v>0</v>
      </c>
    </row>
    <row r="1652" spans="2:12" x14ac:dyDescent="0.85">
      <c r="B1652" s="48">
        <v>1646</v>
      </c>
      <c r="C1652" s="44"/>
      <c r="D1652" s="50"/>
      <c r="E1652" s="44"/>
      <c r="F1652" s="227"/>
      <c r="G1652" s="49">
        <v>1</v>
      </c>
      <c r="H1652" s="73"/>
      <c r="I1652" s="44"/>
      <c r="J1652" s="48">
        <f t="shared" si="75"/>
        <v>1</v>
      </c>
      <c r="K1652" s="48">
        <f t="shared" si="76"/>
        <v>0</v>
      </c>
      <c r="L1652" s="68">
        <f t="shared" si="77"/>
        <v>0</v>
      </c>
    </row>
    <row r="1653" spans="2:12" x14ac:dyDescent="0.85">
      <c r="B1653" s="46">
        <v>1647</v>
      </c>
      <c r="C1653" s="10"/>
      <c r="D1653" s="66"/>
      <c r="E1653" s="10"/>
      <c r="F1653" s="226"/>
      <c r="G1653" s="47">
        <v>1</v>
      </c>
      <c r="H1653" s="72"/>
      <c r="I1653" s="10"/>
      <c r="J1653" s="46">
        <f t="shared" si="75"/>
        <v>1</v>
      </c>
      <c r="K1653" s="46">
        <f t="shared" si="76"/>
        <v>0</v>
      </c>
      <c r="L1653" s="69">
        <f t="shared" si="77"/>
        <v>0</v>
      </c>
    </row>
    <row r="1654" spans="2:12" x14ac:dyDescent="0.85">
      <c r="B1654" s="48">
        <v>1648</v>
      </c>
      <c r="C1654" s="44"/>
      <c r="D1654" s="50"/>
      <c r="E1654" s="44"/>
      <c r="F1654" s="227"/>
      <c r="G1654" s="49">
        <v>1</v>
      </c>
      <c r="H1654" s="73"/>
      <c r="I1654" s="44"/>
      <c r="J1654" s="48">
        <f t="shared" si="75"/>
        <v>1</v>
      </c>
      <c r="K1654" s="48">
        <f t="shared" si="76"/>
        <v>0</v>
      </c>
      <c r="L1654" s="68">
        <f t="shared" si="77"/>
        <v>0</v>
      </c>
    </row>
    <row r="1655" spans="2:12" x14ac:dyDescent="0.85">
      <c r="B1655" s="46">
        <v>1649</v>
      </c>
      <c r="C1655" s="10"/>
      <c r="D1655" s="66"/>
      <c r="E1655" s="10"/>
      <c r="F1655" s="226"/>
      <c r="G1655" s="47">
        <v>1</v>
      </c>
      <c r="H1655" s="72"/>
      <c r="I1655" s="10"/>
      <c r="J1655" s="46">
        <f t="shared" si="75"/>
        <v>1</v>
      </c>
      <c r="K1655" s="46">
        <f t="shared" si="76"/>
        <v>0</v>
      </c>
      <c r="L1655" s="69">
        <f t="shared" si="77"/>
        <v>0</v>
      </c>
    </row>
    <row r="1656" spans="2:12" x14ac:dyDescent="0.85">
      <c r="B1656" s="48">
        <v>1650</v>
      </c>
      <c r="C1656" s="44"/>
      <c r="D1656" s="50"/>
      <c r="E1656" s="44"/>
      <c r="F1656" s="227"/>
      <c r="G1656" s="49">
        <v>1</v>
      </c>
      <c r="H1656" s="73"/>
      <c r="I1656" s="44"/>
      <c r="J1656" s="48">
        <f t="shared" si="75"/>
        <v>1</v>
      </c>
      <c r="K1656" s="48">
        <f t="shared" si="76"/>
        <v>0</v>
      </c>
      <c r="L1656" s="68">
        <f t="shared" si="77"/>
        <v>0</v>
      </c>
    </row>
    <row r="1657" spans="2:12" x14ac:dyDescent="0.85">
      <c r="B1657" s="46">
        <v>1651</v>
      </c>
      <c r="C1657" s="10"/>
      <c r="D1657" s="66"/>
      <c r="E1657" s="10"/>
      <c r="F1657" s="226"/>
      <c r="G1657" s="47">
        <v>1</v>
      </c>
      <c r="H1657" s="72"/>
      <c r="I1657" s="10"/>
      <c r="J1657" s="46">
        <f t="shared" si="75"/>
        <v>1</v>
      </c>
      <c r="K1657" s="46">
        <f t="shared" si="76"/>
        <v>0</v>
      </c>
      <c r="L1657" s="69">
        <f t="shared" si="77"/>
        <v>0</v>
      </c>
    </row>
    <row r="1658" spans="2:12" x14ac:dyDescent="0.85">
      <c r="B1658" s="48">
        <v>1652</v>
      </c>
      <c r="C1658" s="44"/>
      <c r="D1658" s="50"/>
      <c r="E1658" s="44"/>
      <c r="F1658" s="227"/>
      <c r="G1658" s="49">
        <v>1</v>
      </c>
      <c r="H1658" s="73"/>
      <c r="I1658" s="44"/>
      <c r="J1658" s="48">
        <f t="shared" si="75"/>
        <v>1</v>
      </c>
      <c r="K1658" s="48">
        <f t="shared" si="76"/>
        <v>0</v>
      </c>
      <c r="L1658" s="68">
        <f t="shared" si="77"/>
        <v>0</v>
      </c>
    </row>
    <row r="1659" spans="2:12" x14ac:dyDescent="0.85">
      <c r="B1659" s="46">
        <v>1653</v>
      </c>
      <c r="C1659" s="10"/>
      <c r="D1659" s="66"/>
      <c r="E1659" s="10"/>
      <c r="F1659" s="226"/>
      <c r="G1659" s="47">
        <v>1</v>
      </c>
      <c r="H1659" s="72"/>
      <c r="I1659" s="10"/>
      <c r="J1659" s="46">
        <f t="shared" si="75"/>
        <v>1</v>
      </c>
      <c r="K1659" s="46">
        <f t="shared" si="76"/>
        <v>0</v>
      </c>
      <c r="L1659" s="69">
        <f t="shared" si="77"/>
        <v>0</v>
      </c>
    </row>
    <row r="1660" spans="2:12" x14ac:dyDescent="0.85">
      <c r="B1660" s="48">
        <v>1654</v>
      </c>
      <c r="C1660" s="44"/>
      <c r="D1660" s="50"/>
      <c r="E1660" s="44"/>
      <c r="F1660" s="227"/>
      <c r="G1660" s="49">
        <v>1</v>
      </c>
      <c r="H1660" s="73"/>
      <c r="I1660" s="44"/>
      <c r="J1660" s="48">
        <f t="shared" si="75"/>
        <v>1</v>
      </c>
      <c r="K1660" s="48">
        <f t="shared" si="76"/>
        <v>0</v>
      </c>
      <c r="L1660" s="68">
        <f t="shared" si="77"/>
        <v>0</v>
      </c>
    </row>
    <row r="1661" spans="2:12" x14ac:dyDescent="0.85">
      <c r="B1661" s="46">
        <v>1655</v>
      </c>
      <c r="C1661" s="10"/>
      <c r="D1661" s="66"/>
      <c r="E1661" s="10"/>
      <c r="F1661" s="226"/>
      <c r="G1661" s="47">
        <v>1</v>
      </c>
      <c r="H1661" s="72"/>
      <c r="I1661" s="10"/>
      <c r="J1661" s="46">
        <f t="shared" si="75"/>
        <v>1</v>
      </c>
      <c r="K1661" s="46">
        <f t="shared" si="76"/>
        <v>0</v>
      </c>
      <c r="L1661" s="69">
        <f t="shared" si="77"/>
        <v>0</v>
      </c>
    </row>
    <row r="1662" spans="2:12" x14ac:dyDescent="0.85">
      <c r="B1662" s="48">
        <v>1656</v>
      </c>
      <c r="C1662" s="44"/>
      <c r="D1662" s="50"/>
      <c r="E1662" s="44"/>
      <c r="F1662" s="227"/>
      <c r="G1662" s="49">
        <v>1</v>
      </c>
      <c r="H1662" s="73"/>
      <c r="I1662" s="44"/>
      <c r="J1662" s="48">
        <f t="shared" si="75"/>
        <v>1</v>
      </c>
      <c r="K1662" s="48">
        <f t="shared" si="76"/>
        <v>0</v>
      </c>
      <c r="L1662" s="68">
        <f t="shared" si="77"/>
        <v>0</v>
      </c>
    </row>
    <row r="1663" spans="2:12" x14ac:dyDescent="0.85">
      <c r="B1663" s="46">
        <v>1657</v>
      </c>
      <c r="C1663" s="10"/>
      <c r="D1663" s="66"/>
      <c r="E1663" s="10"/>
      <c r="F1663" s="226"/>
      <c r="G1663" s="47">
        <v>1</v>
      </c>
      <c r="H1663" s="72"/>
      <c r="I1663" s="10"/>
      <c r="J1663" s="46">
        <f t="shared" si="75"/>
        <v>1</v>
      </c>
      <c r="K1663" s="46">
        <f t="shared" si="76"/>
        <v>0</v>
      </c>
      <c r="L1663" s="69">
        <f t="shared" si="77"/>
        <v>0</v>
      </c>
    </row>
    <row r="1664" spans="2:12" x14ac:dyDescent="0.85">
      <c r="B1664" s="48">
        <v>1658</v>
      </c>
      <c r="C1664" s="44"/>
      <c r="D1664" s="50"/>
      <c r="E1664" s="44"/>
      <c r="F1664" s="227"/>
      <c r="G1664" s="49">
        <v>1</v>
      </c>
      <c r="H1664" s="73"/>
      <c r="I1664" s="44"/>
      <c r="J1664" s="48">
        <f t="shared" si="75"/>
        <v>1</v>
      </c>
      <c r="K1664" s="48">
        <f t="shared" si="76"/>
        <v>0</v>
      </c>
      <c r="L1664" s="68">
        <f t="shared" si="77"/>
        <v>0</v>
      </c>
    </row>
    <row r="1665" spans="2:12" x14ac:dyDescent="0.85">
      <c r="B1665" s="46">
        <v>1659</v>
      </c>
      <c r="C1665" s="10"/>
      <c r="D1665" s="66"/>
      <c r="E1665" s="10"/>
      <c r="F1665" s="226"/>
      <c r="G1665" s="47">
        <v>1</v>
      </c>
      <c r="H1665" s="72"/>
      <c r="I1665" s="10"/>
      <c r="J1665" s="46">
        <f t="shared" si="75"/>
        <v>1</v>
      </c>
      <c r="K1665" s="46">
        <f t="shared" si="76"/>
        <v>0</v>
      </c>
      <c r="L1665" s="69">
        <f t="shared" si="77"/>
        <v>0</v>
      </c>
    </row>
    <row r="1666" spans="2:12" x14ac:dyDescent="0.85">
      <c r="B1666" s="48">
        <v>1660</v>
      </c>
      <c r="C1666" s="44"/>
      <c r="D1666" s="50"/>
      <c r="E1666" s="44"/>
      <c r="F1666" s="227"/>
      <c r="G1666" s="49">
        <v>1</v>
      </c>
      <c r="H1666" s="73"/>
      <c r="I1666" s="44"/>
      <c r="J1666" s="48">
        <f t="shared" si="75"/>
        <v>1</v>
      </c>
      <c r="K1666" s="48">
        <f t="shared" si="76"/>
        <v>0</v>
      </c>
      <c r="L1666" s="68">
        <f t="shared" si="77"/>
        <v>0</v>
      </c>
    </row>
    <row r="1667" spans="2:12" x14ac:dyDescent="0.85">
      <c r="B1667" s="46">
        <v>1661</v>
      </c>
      <c r="C1667" s="10"/>
      <c r="D1667" s="66"/>
      <c r="E1667" s="10"/>
      <c r="F1667" s="226"/>
      <c r="G1667" s="47">
        <v>1</v>
      </c>
      <c r="H1667" s="72"/>
      <c r="I1667" s="10"/>
      <c r="J1667" s="46">
        <f t="shared" si="75"/>
        <v>1</v>
      </c>
      <c r="K1667" s="46">
        <f t="shared" si="76"/>
        <v>0</v>
      </c>
      <c r="L1667" s="69">
        <f t="shared" si="77"/>
        <v>0</v>
      </c>
    </row>
    <row r="1668" spans="2:12" x14ac:dyDescent="0.85">
      <c r="B1668" s="48">
        <v>1662</v>
      </c>
      <c r="C1668" s="44"/>
      <c r="D1668" s="50"/>
      <c r="E1668" s="44"/>
      <c r="F1668" s="227"/>
      <c r="G1668" s="49">
        <v>1</v>
      </c>
      <c r="H1668" s="73"/>
      <c r="I1668" s="44"/>
      <c r="J1668" s="48">
        <f t="shared" si="75"/>
        <v>1</v>
      </c>
      <c r="K1668" s="48">
        <f t="shared" si="76"/>
        <v>0</v>
      </c>
      <c r="L1668" s="68">
        <f t="shared" si="77"/>
        <v>0</v>
      </c>
    </row>
    <row r="1669" spans="2:12" x14ac:dyDescent="0.85">
      <c r="B1669" s="46">
        <v>1663</v>
      </c>
      <c r="C1669" s="10"/>
      <c r="D1669" s="66"/>
      <c r="E1669" s="10"/>
      <c r="F1669" s="226"/>
      <c r="G1669" s="47">
        <v>1</v>
      </c>
      <c r="H1669" s="72"/>
      <c r="I1669" s="10"/>
      <c r="J1669" s="46">
        <f t="shared" si="75"/>
        <v>1</v>
      </c>
      <c r="K1669" s="46">
        <f t="shared" si="76"/>
        <v>0</v>
      </c>
      <c r="L1669" s="69">
        <f t="shared" si="77"/>
        <v>0</v>
      </c>
    </row>
    <row r="1670" spans="2:12" x14ac:dyDescent="0.85">
      <c r="B1670" s="48">
        <v>1664</v>
      </c>
      <c r="C1670" s="44"/>
      <c r="D1670" s="50"/>
      <c r="E1670" s="44"/>
      <c r="F1670" s="227"/>
      <c r="G1670" s="49">
        <v>1</v>
      </c>
      <c r="H1670" s="73"/>
      <c r="I1670" s="44"/>
      <c r="J1670" s="48">
        <f t="shared" si="75"/>
        <v>1</v>
      </c>
      <c r="K1670" s="48">
        <f t="shared" si="76"/>
        <v>0</v>
      </c>
      <c r="L1670" s="68">
        <f t="shared" si="77"/>
        <v>0</v>
      </c>
    </row>
    <row r="1671" spans="2:12" x14ac:dyDescent="0.85">
      <c r="B1671" s="46">
        <v>1665</v>
      </c>
      <c r="C1671" s="10"/>
      <c r="D1671" s="66"/>
      <c r="E1671" s="10"/>
      <c r="F1671" s="226"/>
      <c r="G1671" s="47">
        <v>1</v>
      </c>
      <c r="H1671" s="72"/>
      <c r="I1671" s="10"/>
      <c r="J1671" s="46">
        <f t="shared" ref="J1671:J1734" si="78">IF(ISBLANK(H1671),1,H1671)</f>
        <v>1</v>
      </c>
      <c r="K1671" s="46">
        <f t="shared" ref="K1671:K1734" si="79">IF(COUNTIF(FreeElements, E1671)&gt;0, F1671, 0)</f>
        <v>0</v>
      </c>
      <c r="L1671" s="69">
        <f t="shared" ref="L1671:L1734" si="80">J1671*K1671</f>
        <v>0</v>
      </c>
    </row>
    <row r="1672" spans="2:12" x14ac:dyDescent="0.85">
      <c r="B1672" s="48">
        <v>1666</v>
      </c>
      <c r="C1672" s="44"/>
      <c r="D1672" s="50"/>
      <c r="E1672" s="44"/>
      <c r="F1672" s="227"/>
      <c r="G1672" s="49">
        <v>1</v>
      </c>
      <c r="H1672" s="73"/>
      <c r="I1672" s="44"/>
      <c r="J1672" s="48">
        <f t="shared" si="78"/>
        <v>1</v>
      </c>
      <c r="K1672" s="48">
        <f t="shared" si="79"/>
        <v>0</v>
      </c>
      <c r="L1672" s="68">
        <f t="shared" si="80"/>
        <v>0</v>
      </c>
    </row>
    <row r="1673" spans="2:12" x14ac:dyDescent="0.85">
      <c r="B1673" s="46">
        <v>1667</v>
      </c>
      <c r="C1673" s="10"/>
      <c r="D1673" s="66"/>
      <c r="E1673" s="10"/>
      <c r="F1673" s="226"/>
      <c r="G1673" s="47">
        <v>1</v>
      </c>
      <c r="H1673" s="72"/>
      <c r="I1673" s="10"/>
      <c r="J1673" s="46">
        <f t="shared" si="78"/>
        <v>1</v>
      </c>
      <c r="K1673" s="46">
        <f t="shared" si="79"/>
        <v>0</v>
      </c>
      <c r="L1673" s="69">
        <f t="shared" si="80"/>
        <v>0</v>
      </c>
    </row>
    <row r="1674" spans="2:12" x14ac:dyDescent="0.85">
      <c r="B1674" s="48">
        <v>1668</v>
      </c>
      <c r="C1674" s="44"/>
      <c r="D1674" s="50"/>
      <c r="E1674" s="44"/>
      <c r="F1674" s="227"/>
      <c r="G1674" s="49">
        <v>1</v>
      </c>
      <c r="H1674" s="73"/>
      <c r="I1674" s="44"/>
      <c r="J1674" s="48">
        <f t="shared" si="78"/>
        <v>1</v>
      </c>
      <c r="K1674" s="48">
        <f t="shared" si="79"/>
        <v>0</v>
      </c>
      <c r="L1674" s="68">
        <f t="shared" si="80"/>
        <v>0</v>
      </c>
    </row>
    <row r="1675" spans="2:12" x14ac:dyDescent="0.85">
      <c r="B1675" s="46">
        <v>1669</v>
      </c>
      <c r="C1675" s="10"/>
      <c r="D1675" s="66"/>
      <c r="E1675" s="10"/>
      <c r="F1675" s="226"/>
      <c r="G1675" s="47">
        <v>1</v>
      </c>
      <c r="H1675" s="72"/>
      <c r="I1675" s="10"/>
      <c r="J1675" s="46">
        <f t="shared" si="78"/>
        <v>1</v>
      </c>
      <c r="K1675" s="46">
        <f t="shared" si="79"/>
        <v>0</v>
      </c>
      <c r="L1675" s="69">
        <f t="shared" si="80"/>
        <v>0</v>
      </c>
    </row>
    <row r="1676" spans="2:12" x14ac:dyDescent="0.85">
      <c r="B1676" s="48">
        <v>1670</v>
      </c>
      <c r="C1676" s="44"/>
      <c r="D1676" s="50"/>
      <c r="E1676" s="44"/>
      <c r="F1676" s="227"/>
      <c r="G1676" s="49">
        <v>1</v>
      </c>
      <c r="H1676" s="73"/>
      <c r="I1676" s="44"/>
      <c r="J1676" s="48">
        <f t="shared" si="78"/>
        <v>1</v>
      </c>
      <c r="K1676" s="48">
        <f t="shared" si="79"/>
        <v>0</v>
      </c>
      <c r="L1676" s="68">
        <f t="shared" si="80"/>
        <v>0</v>
      </c>
    </row>
    <row r="1677" spans="2:12" x14ac:dyDescent="0.85">
      <c r="B1677" s="46">
        <v>1671</v>
      </c>
      <c r="C1677" s="10"/>
      <c r="D1677" s="66"/>
      <c r="E1677" s="10"/>
      <c r="F1677" s="226"/>
      <c r="G1677" s="47">
        <v>1</v>
      </c>
      <c r="H1677" s="72"/>
      <c r="I1677" s="10"/>
      <c r="J1677" s="46">
        <f t="shared" si="78"/>
        <v>1</v>
      </c>
      <c r="K1677" s="46">
        <f t="shared" si="79"/>
        <v>0</v>
      </c>
      <c r="L1677" s="69">
        <f t="shared" si="80"/>
        <v>0</v>
      </c>
    </row>
    <row r="1678" spans="2:12" x14ac:dyDescent="0.85">
      <c r="B1678" s="48">
        <v>1672</v>
      </c>
      <c r="C1678" s="44"/>
      <c r="D1678" s="50"/>
      <c r="E1678" s="44"/>
      <c r="F1678" s="227"/>
      <c r="G1678" s="49">
        <v>1</v>
      </c>
      <c r="H1678" s="73"/>
      <c r="I1678" s="44"/>
      <c r="J1678" s="48">
        <f t="shared" si="78"/>
        <v>1</v>
      </c>
      <c r="K1678" s="48">
        <f t="shared" si="79"/>
        <v>0</v>
      </c>
      <c r="L1678" s="68">
        <f t="shared" si="80"/>
        <v>0</v>
      </c>
    </row>
    <row r="1679" spans="2:12" x14ac:dyDescent="0.85">
      <c r="B1679" s="46">
        <v>1673</v>
      </c>
      <c r="C1679" s="10"/>
      <c r="D1679" s="66"/>
      <c r="E1679" s="10"/>
      <c r="F1679" s="226"/>
      <c r="G1679" s="47">
        <v>1</v>
      </c>
      <c r="H1679" s="72"/>
      <c r="I1679" s="10"/>
      <c r="J1679" s="46">
        <f t="shared" si="78"/>
        <v>1</v>
      </c>
      <c r="K1679" s="46">
        <f t="shared" si="79"/>
        <v>0</v>
      </c>
      <c r="L1679" s="69">
        <f t="shared" si="80"/>
        <v>0</v>
      </c>
    </row>
    <row r="1680" spans="2:12" x14ac:dyDescent="0.85">
      <c r="B1680" s="48">
        <v>1674</v>
      </c>
      <c r="C1680" s="44"/>
      <c r="D1680" s="50"/>
      <c r="E1680" s="44"/>
      <c r="F1680" s="227"/>
      <c r="G1680" s="49">
        <v>1</v>
      </c>
      <c r="H1680" s="73"/>
      <c r="I1680" s="44"/>
      <c r="J1680" s="48">
        <f t="shared" si="78"/>
        <v>1</v>
      </c>
      <c r="K1680" s="48">
        <f t="shared" si="79"/>
        <v>0</v>
      </c>
      <c r="L1680" s="68">
        <f t="shared" si="80"/>
        <v>0</v>
      </c>
    </row>
    <row r="1681" spans="2:12" x14ac:dyDescent="0.85">
      <c r="B1681" s="46">
        <v>1675</v>
      </c>
      <c r="C1681" s="10"/>
      <c r="D1681" s="66"/>
      <c r="E1681" s="10"/>
      <c r="F1681" s="226"/>
      <c r="G1681" s="47">
        <v>1</v>
      </c>
      <c r="H1681" s="72"/>
      <c r="I1681" s="10"/>
      <c r="J1681" s="46">
        <f t="shared" si="78"/>
        <v>1</v>
      </c>
      <c r="K1681" s="46">
        <f t="shared" si="79"/>
        <v>0</v>
      </c>
      <c r="L1681" s="69">
        <f t="shared" si="80"/>
        <v>0</v>
      </c>
    </row>
    <row r="1682" spans="2:12" x14ac:dyDescent="0.85">
      <c r="B1682" s="48">
        <v>1676</v>
      </c>
      <c r="C1682" s="44"/>
      <c r="D1682" s="50"/>
      <c r="E1682" s="44"/>
      <c r="F1682" s="227"/>
      <c r="G1682" s="49">
        <v>1</v>
      </c>
      <c r="H1682" s="73"/>
      <c r="I1682" s="44"/>
      <c r="J1682" s="48">
        <f t="shared" si="78"/>
        <v>1</v>
      </c>
      <c r="K1682" s="48">
        <f t="shared" si="79"/>
        <v>0</v>
      </c>
      <c r="L1682" s="68">
        <f t="shared" si="80"/>
        <v>0</v>
      </c>
    </row>
    <row r="1683" spans="2:12" x14ac:dyDescent="0.85">
      <c r="B1683" s="46">
        <v>1677</v>
      </c>
      <c r="C1683" s="10"/>
      <c r="D1683" s="66"/>
      <c r="E1683" s="10"/>
      <c r="F1683" s="226"/>
      <c r="G1683" s="47">
        <v>1</v>
      </c>
      <c r="H1683" s="72"/>
      <c r="I1683" s="10"/>
      <c r="J1683" s="46">
        <f t="shared" si="78"/>
        <v>1</v>
      </c>
      <c r="K1683" s="46">
        <f t="shared" si="79"/>
        <v>0</v>
      </c>
      <c r="L1683" s="69">
        <f t="shared" si="80"/>
        <v>0</v>
      </c>
    </row>
    <row r="1684" spans="2:12" x14ac:dyDescent="0.85">
      <c r="B1684" s="48">
        <v>1678</v>
      </c>
      <c r="C1684" s="44"/>
      <c r="D1684" s="50"/>
      <c r="E1684" s="44"/>
      <c r="F1684" s="227"/>
      <c r="G1684" s="49">
        <v>1</v>
      </c>
      <c r="H1684" s="73"/>
      <c r="I1684" s="44"/>
      <c r="J1684" s="48">
        <f t="shared" si="78"/>
        <v>1</v>
      </c>
      <c r="K1684" s="48">
        <f t="shared" si="79"/>
        <v>0</v>
      </c>
      <c r="L1684" s="68">
        <f t="shared" si="80"/>
        <v>0</v>
      </c>
    </row>
    <row r="1685" spans="2:12" x14ac:dyDescent="0.85">
      <c r="B1685" s="46">
        <v>1679</v>
      </c>
      <c r="C1685" s="10"/>
      <c r="D1685" s="66"/>
      <c r="E1685" s="10"/>
      <c r="F1685" s="226"/>
      <c r="G1685" s="47">
        <v>1</v>
      </c>
      <c r="H1685" s="72"/>
      <c r="I1685" s="10"/>
      <c r="J1685" s="46">
        <f t="shared" si="78"/>
        <v>1</v>
      </c>
      <c r="K1685" s="46">
        <f t="shared" si="79"/>
        <v>0</v>
      </c>
      <c r="L1685" s="69">
        <f t="shared" si="80"/>
        <v>0</v>
      </c>
    </row>
    <row r="1686" spans="2:12" x14ac:dyDescent="0.85">
      <c r="B1686" s="48">
        <v>1680</v>
      </c>
      <c r="C1686" s="44"/>
      <c r="D1686" s="50"/>
      <c r="E1686" s="44"/>
      <c r="F1686" s="227"/>
      <c r="G1686" s="49">
        <v>1</v>
      </c>
      <c r="H1686" s="73"/>
      <c r="I1686" s="44"/>
      <c r="J1686" s="48">
        <f t="shared" si="78"/>
        <v>1</v>
      </c>
      <c r="K1686" s="48">
        <f t="shared" si="79"/>
        <v>0</v>
      </c>
      <c r="L1686" s="68">
        <f t="shared" si="80"/>
        <v>0</v>
      </c>
    </row>
    <row r="1687" spans="2:12" x14ac:dyDescent="0.85">
      <c r="B1687" s="46">
        <v>1681</v>
      </c>
      <c r="C1687" s="10"/>
      <c r="D1687" s="66"/>
      <c r="E1687" s="10"/>
      <c r="F1687" s="226"/>
      <c r="G1687" s="47">
        <v>1</v>
      </c>
      <c r="H1687" s="72"/>
      <c r="I1687" s="10"/>
      <c r="J1687" s="46">
        <f t="shared" si="78"/>
        <v>1</v>
      </c>
      <c r="K1687" s="46">
        <f t="shared" si="79"/>
        <v>0</v>
      </c>
      <c r="L1687" s="69">
        <f t="shared" si="80"/>
        <v>0</v>
      </c>
    </row>
    <row r="1688" spans="2:12" x14ac:dyDescent="0.85">
      <c r="B1688" s="48">
        <v>1682</v>
      </c>
      <c r="C1688" s="44"/>
      <c r="D1688" s="50"/>
      <c r="E1688" s="44"/>
      <c r="F1688" s="227"/>
      <c r="G1688" s="49">
        <v>1</v>
      </c>
      <c r="H1688" s="73"/>
      <c r="I1688" s="44"/>
      <c r="J1688" s="48">
        <f t="shared" si="78"/>
        <v>1</v>
      </c>
      <c r="K1688" s="48">
        <f t="shared" si="79"/>
        <v>0</v>
      </c>
      <c r="L1688" s="68">
        <f t="shared" si="80"/>
        <v>0</v>
      </c>
    </row>
    <row r="1689" spans="2:12" x14ac:dyDescent="0.85">
      <c r="B1689" s="46">
        <v>1683</v>
      </c>
      <c r="C1689" s="10"/>
      <c r="D1689" s="66"/>
      <c r="E1689" s="10"/>
      <c r="F1689" s="226"/>
      <c r="G1689" s="47">
        <v>1</v>
      </c>
      <c r="H1689" s="72"/>
      <c r="I1689" s="10"/>
      <c r="J1689" s="46">
        <f t="shared" si="78"/>
        <v>1</v>
      </c>
      <c r="K1689" s="46">
        <f t="shared" si="79"/>
        <v>0</v>
      </c>
      <c r="L1689" s="69">
        <f t="shared" si="80"/>
        <v>0</v>
      </c>
    </row>
    <row r="1690" spans="2:12" x14ac:dyDescent="0.85">
      <c r="B1690" s="48">
        <v>1684</v>
      </c>
      <c r="C1690" s="44"/>
      <c r="D1690" s="50"/>
      <c r="E1690" s="44"/>
      <c r="F1690" s="227"/>
      <c r="G1690" s="49">
        <v>1</v>
      </c>
      <c r="H1690" s="73"/>
      <c r="I1690" s="44"/>
      <c r="J1690" s="48">
        <f t="shared" si="78"/>
        <v>1</v>
      </c>
      <c r="K1690" s="48">
        <f t="shared" si="79"/>
        <v>0</v>
      </c>
      <c r="L1690" s="68">
        <f t="shared" si="80"/>
        <v>0</v>
      </c>
    </row>
    <row r="1691" spans="2:12" x14ac:dyDescent="0.85">
      <c r="B1691" s="46">
        <v>1685</v>
      </c>
      <c r="C1691" s="10"/>
      <c r="D1691" s="66"/>
      <c r="E1691" s="10"/>
      <c r="F1691" s="226"/>
      <c r="G1691" s="47">
        <v>1</v>
      </c>
      <c r="H1691" s="72"/>
      <c r="I1691" s="10"/>
      <c r="J1691" s="46">
        <f t="shared" si="78"/>
        <v>1</v>
      </c>
      <c r="K1691" s="46">
        <f t="shared" si="79"/>
        <v>0</v>
      </c>
      <c r="L1691" s="69">
        <f t="shared" si="80"/>
        <v>0</v>
      </c>
    </row>
    <row r="1692" spans="2:12" x14ac:dyDescent="0.85">
      <c r="B1692" s="48">
        <v>1686</v>
      </c>
      <c r="C1692" s="44"/>
      <c r="D1692" s="50"/>
      <c r="E1692" s="44"/>
      <c r="F1692" s="227"/>
      <c r="G1692" s="49">
        <v>1</v>
      </c>
      <c r="H1692" s="73"/>
      <c r="I1692" s="44"/>
      <c r="J1692" s="48">
        <f t="shared" si="78"/>
        <v>1</v>
      </c>
      <c r="K1692" s="48">
        <f t="shared" si="79"/>
        <v>0</v>
      </c>
      <c r="L1692" s="68">
        <f t="shared" si="80"/>
        <v>0</v>
      </c>
    </row>
    <row r="1693" spans="2:12" x14ac:dyDescent="0.85">
      <c r="B1693" s="46">
        <v>1687</v>
      </c>
      <c r="C1693" s="10"/>
      <c r="D1693" s="66"/>
      <c r="E1693" s="10"/>
      <c r="F1693" s="226"/>
      <c r="G1693" s="47">
        <v>1</v>
      </c>
      <c r="H1693" s="72"/>
      <c r="I1693" s="10"/>
      <c r="J1693" s="46">
        <f t="shared" si="78"/>
        <v>1</v>
      </c>
      <c r="K1693" s="46">
        <f t="shared" si="79"/>
        <v>0</v>
      </c>
      <c r="L1693" s="69">
        <f t="shared" si="80"/>
        <v>0</v>
      </c>
    </row>
    <row r="1694" spans="2:12" x14ac:dyDescent="0.85">
      <c r="B1694" s="48">
        <v>1688</v>
      </c>
      <c r="C1694" s="44"/>
      <c r="D1694" s="50"/>
      <c r="E1694" s="44"/>
      <c r="F1694" s="227"/>
      <c r="G1694" s="49">
        <v>1</v>
      </c>
      <c r="H1694" s="73"/>
      <c r="I1694" s="44"/>
      <c r="J1694" s="48">
        <f t="shared" si="78"/>
        <v>1</v>
      </c>
      <c r="K1694" s="48">
        <f t="shared" si="79"/>
        <v>0</v>
      </c>
      <c r="L1694" s="68">
        <f t="shared" si="80"/>
        <v>0</v>
      </c>
    </row>
    <row r="1695" spans="2:12" x14ac:dyDescent="0.85">
      <c r="B1695" s="46">
        <v>1689</v>
      </c>
      <c r="C1695" s="10"/>
      <c r="D1695" s="66"/>
      <c r="E1695" s="10"/>
      <c r="F1695" s="226"/>
      <c r="G1695" s="47">
        <v>1</v>
      </c>
      <c r="H1695" s="72"/>
      <c r="I1695" s="10"/>
      <c r="J1695" s="46">
        <f t="shared" si="78"/>
        <v>1</v>
      </c>
      <c r="K1695" s="46">
        <f t="shared" si="79"/>
        <v>0</v>
      </c>
      <c r="L1695" s="69">
        <f t="shared" si="80"/>
        <v>0</v>
      </c>
    </row>
    <row r="1696" spans="2:12" x14ac:dyDescent="0.85">
      <c r="B1696" s="48">
        <v>1690</v>
      </c>
      <c r="C1696" s="44"/>
      <c r="D1696" s="50"/>
      <c r="E1696" s="44"/>
      <c r="F1696" s="227"/>
      <c r="G1696" s="49">
        <v>1</v>
      </c>
      <c r="H1696" s="73"/>
      <c r="I1696" s="44"/>
      <c r="J1696" s="48">
        <f t="shared" si="78"/>
        <v>1</v>
      </c>
      <c r="K1696" s="48">
        <f t="shared" si="79"/>
        <v>0</v>
      </c>
      <c r="L1696" s="68">
        <f t="shared" si="80"/>
        <v>0</v>
      </c>
    </row>
    <row r="1697" spans="2:12" x14ac:dyDescent="0.85">
      <c r="B1697" s="46">
        <v>1691</v>
      </c>
      <c r="C1697" s="10"/>
      <c r="D1697" s="66"/>
      <c r="E1697" s="10"/>
      <c r="F1697" s="226"/>
      <c r="G1697" s="47">
        <v>1</v>
      </c>
      <c r="H1697" s="72"/>
      <c r="I1697" s="10"/>
      <c r="J1697" s="46">
        <f t="shared" si="78"/>
        <v>1</v>
      </c>
      <c r="K1697" s="46">
        <f t="shared" si="79"/>
        <v>0</v>
      </c>
      <c r="L1697" s="69">
        <f t="shared" si="80"/>
        <v>0</v>
      </c>
    </row>
    <row r="1698" spans="2:12" x14ac:dyDescent="0.85">
      <c r="B1698" s="48">
        <v>1692</v>
      </c>
      <c r="C1698" s="44"/>
      <c r="D1698" s="50"/>
      <c r="E1698" s="44"/>
      <c r="F1698" s="227"/>
      <c r="G1698" s="49">
        <v>1</v>
      </c>
      <c r="H1698" s="73"/>
      <c r="I1698" s="44"/>
      <c r="J1698" s="48">
        <f t="shared" si="78"/>
        <v>1</v>
      </c>
      <c r="K1698" s="48">
        <f t="shared" si="79"/>
        <v>0</v>
      </c>
      <c r="L1698" s="68">
        <f t="shared" si="80"/>
        <v>0</v>
      </c>
    </row>
    <row r="1699" spans="2:12" x14ac:dyDescent="0.85">
      <c r="B1699" s="46">
        <v>1693</v>
      </c>
      <c r="C1699" s="10"/>
      <c r="D1699" s="66"/>
      <c r="E1699" s="10"/>
      <c r="F1699" s="226"/>
      <c r="G1699" s="47">
        <v>1</v>
      </c>
      <c r="H1699" s="72"/>
      <c r="I1699" s="10"/>
      <c r="J1699" s="46">
        <f t="shared" si="78"/>
        <v>1</v>
      </c>
      <c r="K1699" s="46">
        <f t="shared" si="79"/>
        <v>0</v>
      </c>
      <c r="L1699" s="69">
        <f t="shared" si="80"/>
        <v>0</v>
      </c>
    </row>
    <row r="1700" spans="2:12" x14ac:dyDescent="0.85">
      <c r="B1700" s="48">
        <v>1694</v>
      </c>
      <c r="C1700" s="44"/>
      <c r="D1700" s="50"/>
      <c r="E1700" s="44"/>
      <c r="F1700" s="227"/>
      <c r="G1700" s="49">
        <v>1</v>
      </c>
      <c r="H1700" s="73"/>
      <c r="I1700" s="44"/>
      <c r="J1700" s="48">
        <f t="shared" si="78"/>
        <v>1</v>
      </c>
      <c r="K1700" s="48">
        <f t="shared" si="79"/>
        <v>0</v>
      </c>
      <c r="L1700" s="68">
        <f t="shared" si="80"/>
        <v>0</v>
      </c>
    </row>
    <row r="1701" spans="2:12" x14ac:dyDescent="0.85">
      <c r="B1701" s="46">
        <v>1695</v>
      </c>
      <c r="C1701" s="10"/>
      <c r="D1701" s="66"/>
      <c r="E1701" s="10"/>
      <c r="F1701" s="226"/>
      <c r="G1701" s="47">
        <v>1</v>
      </c>
      <c r="H1701" s="72"/>
      <c r="I1701" s="10"/>
      <c r="J1701" s="46">
        <f t="shared" si="78"/>
        <v>1</v>
      </c>
      <c r="K1701" s="46">
        <f t="shared" si="79"/>
        <v>0</v>
      </c>
      <c r="L1701" s="69">
        <f t="shared" si="80"/>
        <v>0</v>
      </c>
    </row>
    <row r="1702" spans="2:12" x14ac:dyDescent="0.85">
      <c r="B1702" s="48">
        <v>1696</v>
      </c>
      <c r="C1702" s="44"/>
      <c r="D1702" s="50"/>
      <c r="E1702" s="44"/>
      <c r="F1702" s="227"/>
      <c r="G1702" s="49">
        <v>1</v>
      </c>
      <c r="H1702" s="73"/>
      <c r="I1702" s="44"/>
      <c r="J1702" s="48">
        <f t="shared" si="78"/>
        <v>1</v>
      </c>
      <c r="K1702" s="48">
        <f t="shared" si="79"/>
        <v>0</v>
      </c>
      <c r="L1702" s="68">
        <f t="shared" si="80"/>
        <v>0</v>
      </c>
    </row>
    <row r="1703" spans="2:12" x14ac:dyDescent="0.85">
      <c r="B1703" s="46">
        <v>1697</v>
      </c>
      <c r="C1703" s="10"/>
      <c r="D1703" s="66"/>
      <c r="E1703" s="10"/>
      <c r="F1703" s="226"/>
      <c r="G1703" s="47">
        <v>1</v>
      </c>
      <c r="H1703" s="72"/>
      <c r="I1703" s="10"/>
      <c r="J1703" s="46">
        <f t="shared" si="78"/>
        <v>1</v>
      </c>
      <c r="K1703" s="46">
        <f t="shared" si="79"/>
        <v>0</v>
      </c>
      <c r="L1703" s="69">
        <f t="shared" si="80"/>
        <v>0</v>
      </c>
    </row>
    <row r="1704" spans="2:12" x14ac:dyDescent="0.85">
      <c r="B1704" s="48">
        <v>1698</v>
      </c>
      <c r="C1704" s="44"/>
      <c r="D1704" s="50"/>
      <c r="E1704" s="44"/>
      <c r="F1704" s="227"/>
      <c r="G1704" s="49">
        <v>1</v>
      </c>
      <c r="H1704" s="73"/>
      <c r="I1704" s="44"/>
      <c r="J1704" s="48">
        <f t="shared" si="78"/>
        <v>1</v>
      </c>
      <c r="K1704" s="48">
        <f t="shared" si="79"/>
        <v>0</v>
      </c>
      <c r="L1704" s="68">
        <f t="shared" si="80"/>
        <v>0</v>
      </c>
    </row>
    <row r="1705" spans="2:12" x14ac:dyDescent="0.85">
      <c r="B1705" s="46">
        <v>1699</v>
      </c>
      <c r="C1705" s="10"/>
      <c r="D1705" s="66"/>
      <c r="E1705" s="10"/>
      <c r="F1705" s="226"/>
      <c r="G1705" s="47">
        <v>1</v>
      </c>
      <c r="H1705" s="72"/>
      <c r="I1705" s="10"/>
      <c r="J1705" s="46">
        <f t="shared" si="78"/>
        <v>1</v>
      </c>
      <c r="K1705" s="46">
        <f t="shared" si="79"/>
        <v>0</v>
      </c>
      <c r="L1705" s="69">
        <f t="shared" si="80"/>
        <v>0</v>
      </c>
    </row>
    <row r="1706" spans="2:12" x14ac:dyDescent="0.85">
      <c r="B1706" s="48">
        <v>1700</v>
      </c>
      <c r="C1706" s="44"/>
      <c r="D1706" s="50"/>
      <c r="E1706" s="44"/>
      <c r="F1706" s="227"/>
      <c r="G1706" s="49">
        <v>1</v>
      </c>
      <c r="H1706" s="73"/>
      <c r="I1706" s="44"/>
      <c r="J1706" s="48">
        <f t="shared" si="78"/>
        <v>1</v>
      </c>
      <c r="K1706" s="48">
        <f t="shared" si="79"/>
        <v>0</v>
      </c>
      <c r="L1706" s="68">
        <f t="shared" si="80"/>
        <v>0</v>
      </c>
    </row>
    <row r="1707" spans="2:12" x14ac:dyDescent="0.85">
      <c r="B1707" s="46">
        <v>1701</v>
      </c>
      <c r="C1707" s="10"/>
      <c r="D1707" s="66"/>
      <c r="E1707" s="10"/>
      <c r="F1707" s="226"/>
      <c r="G1707" s="47">
        <v>1</v>
      </c>
      <c r="H1707" s="72"/>
      <c r="I1707" s="10"/>
      <c r="J1707" s="46">
        <f t="shared" si="78"/>
        <v>1</v>
      </c>
      <c r="K1707" s="46">
        <f t="shared" si="79"/>
        <v>0</v>
      </c>
      <c r="L1707" s="69">
        <f t="shared" si="80"/>
        <v>0</v>
      </c>
    </row>
    <row r="1708" spans="2:12" x14ac:dyDescent="0.85">
      <c r="B1708" s="48">
        <v>1702</v>
      </c>
      <c r="C1708" s="44"/>
      <c r="D1708" s="50"/>
      <c r="E1708" s="44"/>
      <c r="F1708" s="227"/>
      <c r="G1708" s="49">
        <v>1</v>
      </c>
      <c r="H1708" s="73"/>
      <c r="I1708" s="44"/>
      <c r="J1708" s="48">
        <f t="shared" si="78"/>
        <v>1</v>
      </c>
      <c r="K1708" s="48">
        <f t="shared" si="79"/>
        <v>0</v>
      </c>
      <c r="L1708" s="68">
        <f t="shared" si="80"/>
        <v>0</v>
      </c>
    </row>
    <row r="1709" spans="2:12" x14ac:dyDescent="0.85">
      <c r="B1709" s="46">
        <v>1703</v>
      </c>
      <c r="C1709" s="10"/>
      <c r="D1709" s="66"/>
      <c r="E1709" s="10"/>
      <c r="F1709" s="226"/>
      <c r="G1709" s="47">
        <v>1</v>
      </c>
      <c r="H1709" s="72"/>
      <c r="I1709" s="10"/>
      <c r="J1709" s="46">
        <f t="shared" si="78"/>
        <v>1</v>
      </c>
      <c r="K1709" s="46">
        <f t="shared" si="79"/>
        <v>0</v>
      </c>
      <c r="L1709" s="69">
        <f t="shared" si="80"/>
        <v>0</v>
      </c>
    </row>
    <row r="1710" spans="2:12" x14ac:dyDescent="0.85">
      <c r="B1710" s="48">
        <v>1704</v>
      </c>
      <c r="C1710" s="44"/>
      <c r="D1710" s="50"/>
      <c r="E1710" s="44"/>
      <c r="F1710" s="227"/>
      <c r="G1710" s="49">
        <v>1</v>
      </c>
      <c r="H1710" s="73"/>
      <c r="I1710" s="44"/>
      <c r="J1710" s="48">
        <f t="shared" si="78"/>
        <v>1</v>
      </c>
      <c r="K1710" s="48">
        <f t="shared" si="79"/>
        <v>0</v>
      </c>
      <c r="L1710" s="68">
        <f t="shared" si="80"/>
        <v>0</v>
      </c>
    </row>
    <row r="1711" spans="2:12" x14ac:dyDescent="0.85">
      <c r="B1711" s="46">
        <v>1705</v>
      </c>
      <c r="C1711" s="10"/>
      <c r="D1711" s="66"/>
      <c r="E1711" s="10"/>
      <c r="F1711" s="226"/>
      <c r="G1711" s="47">
        <v>1</v>
      </c>
      <c r="H1711" s="72"/>
      <c r="I1711" s="10"/>
      <c r="J1711" s="46">
        <f t="shared" si="78"/>
        <v>1</v>
      </c>
      <c r="K1711" s="46">
        <f t="shared" si="79"/>
        <v>0</v>
      </c>
      <c r="L1711" s="69">
        <f t="shared" si="80"/>
        <v>0</v>
      </c>
    </row>
    <row r="1712" spans="2:12" x14ac:dyDescent="0.85">
      <c r="B1712" s="48">
        <v>1706</v>
      </c>
      <c r="C1712" s="44"/>
      <c r="D1712" s="50"/>
      <c r="E1712" s="44"/>
      <c r="F1712" s="227"/>
      <c r="G1712" s="49">
        <v>1</v>
      </c>
      <c r="H1712" s="73"/>
      <c r="I1712" s="44"/>
      <c r="J1712" s="48">
        <f t="shared" si="78"/>
        <v>1</v>
      </c>
      <c r="K1712" s="48">
        <f t="shared" si="79"/>
        <v>0</v>
      </c>
      <c r="L1712" s="68">
        <f t="shared" si="80"/>
        <v>0</v>
      </c>
    </row>
    <row r="1713" spans="2:12" x14ac:dyDescent="0.85">
      <c r="B1713" s="46">
        <v>1707</v>
      </c>
      <c r="C1713" s="10"/>
      <c r="D1713" s="66"/>
      <c r="E1713" s="10"/>
      <c r="F1713" s="226"/>
      <c r="G1713" s="47">
        <v>1</v>
      </c>
      <c r="H1713" s="72"/>
      <c r="I1713" s="10"/>
      <c r="J1713" s="46">
        <f t="shared" si="78"/>
        <v>1</v>
      </c>
      <c r="K1713" s="46">
        <f t="shared" si="79"/>
        <v>0</v>
      </c>
      <c r="L1713" s="69">
        <f t="shared" si="80"/>
        <v>0</v>
      </c>
    </row>
    <row r="1714" spans="2:12" x14ac:dyDescent="0.85">
      <c r="B1714" s="48">
        <v>1708</v>
      </c>
      <c r="C1714" s="44"/>
      <c r="D1714" s="50"/>
      <c r="E1714" s="44"/>
      <c r="F1714" s="227"/>
      <c r="G1714" s="49">
        <v>1</v>
      </c>
      <c r="H1714" s="73"/>
      <c r="I1714" s="44"/>
      <c r="J1714" s="48">
        <f t="shared" si="78"/>
        <v>1</v>
      </c>
      <c r="K1714" s="48">
        <f t="shared" si="79"/>
        <v>0</v>
      </c>
      <c r="L1714" s="68">
        <f t="shared" si="80"/>
        <v>0</v>
      </c>
    </row>
    <row r="1715" spans="2:12" x14ac:dyDescent="0.85">
      <c r="B1715" s="46">
        <v>1709</v>
      </c>
      <c r="C1715" s="10"/>
      <c r="D1715" s="66"/>
      <c r="E1715" s="10"/>
      <c r="F1715" s="226"/>
      <c r="G1715" s="47">
        <v>1</v>
      </c>
      <c r="H1715" s="72"/>
      <c r="I1715" s="10"/>
      <c r="J1715" s="46">
        <f t="shared" si="78"/>
        <v>1</v>
      </c>
      <c r="K1715" s="46">
        <f t="shared" si="79"/>
        <v>0</v>
      </c>
      <c r="L1715" s="69">
        <f t="shared" si="80"/>
        <v>0</v>
      </c>
    </row>
    <row r="1716" spans="2:12" x14ac:dyDescent="0.85">
      <c r="B1716" s="48">
        <v>1710</v>
      </c>
      <c r="C1716" s="44"/>
      <c r="D1716" s="50"/>
      <c r="E1716" s="44"/>
      <c r="F1716" s="227"/>
      <c r="G1716" s="49">
        <v>1</v>
      </c>
      <c r="H1716" s="73"/>
      <c r="I1716" s="44"/>
      <c r="J1716" s="48">
        <f t="shared" si="78"/>
        <v>1</v>
      </c>
      <c r="K1716" s="48">
        <f t="shared" si="79"/>
        <v>0</v>
      </c>
      <c r="L1716" s="68">
        <f t="shared" si="80"/>
        <v>0</v>
      </c>
    </row>
    <row r="1717" spans="2:12" x14ac:dyDescent="0.85">
      <c r="B1717" s="46">
        <v>1711</v>
      </c>
      <c r="C1717" s="10"/>
      <c r="D1717" s="66"/>
      <c r="E1717" s="10"/>
      <c r="F1717" s="226"/>
      <c r="G1717" s="47">
        <v>1</v>
      </c>
      <c r="H1717" s="72"/>
      <c r="I1717" s="10"/>
      <c r="J1717" s="46">
        <f t="shared" si="78"/>
        <v>1</v>
      </c>
      <c r="K1717" s="46">
        <f t="shared" si="79"/>
        <v>0</v>
      </c>
      <c r="L1717" s="69">
        <f t="shared" si="80"/>
        <v>0</v>
      </c>
    </row>
    <row r="1718" spans="2:12" x14ac:dyDescent="0.85">
      <c r="B1718" s="48">
        <v>1712</v>
      </c>
      <c r="C1718" s="44"/>
      <c r="D1718" s="50"/>
      <c r="E1718" s="44"/>
      <c r="F1718" s="227"/>
      <c r="G1718" s="49">
        <v>1</v>
      </c>
      <c r="H1718" s="73"/>
      <c r="I1718" s="44"/>
      <c r="J1718" s="48">
        <f t="shared" si="78"/>
        <v>1</v>
      </c>
      <c r="K1718" s="48">
        <f t="shared" si="79"/>
        <v>0</v>
      </c>
      <c r="L1718" s="68">
        <f t="shared" si="80"/>
        <v>0</v>
      </c>
    </row>
    <row r="1719" spans="2:12" x14ac:dyDescent="0.85">
      <c r="B1719" s="46">
        <v>1713</v>
      </c>
      <c r="C1719" s="10"/>
      <c r="D1719" s="66"/>
      <c r="E1719" s="10"/>
      <c r="F1719" s="226"/>
      <c r="G1719" s="47">
        <v>1</v>
      </c>
      <c r="H1719" s="72"/>
      <c r="I1719" s="10"/>
      <c r="J1719" s="46">
        <f t="shared" si="78"/>
        <v>1</v>
      </c>
      <c r="K1719" s="46">
        <f t="shared" si="79"/>
        <v>0</v>
      </c>
      <c r="L1719" s="69">
        <f t="shared" si="80"/>
        <v>0</v>
      </c>
    </row>
    <row r="1720" spans="2:12" x14ac:dyDescent="0.85">
      <c r="B1720" s="48">
        <v>1714</v>
      </c>
      <c r="C1720" s="44"/>
      <c r="D1720" s="50"/>
      <c r="E1720" s="44"/>
      <c r="F1720" s="227"/>
      <c r="G1720" s="49">
        <v>1</v>
      </c>
      <c r="H1720" s="73"/>
      <c r="I1720" s="44"/>
      <c r="J1720" s="48">
        <f t="shared" si="78"/>
        <v>1</v>
      </c>
      <c r="K1720" s="48">
        <f t="shared" si="79"/>
        <v>0</v>
      </c>
      <c r="L1720" s="68">
        <f t="shared" si="80"/>
        <v>0</v>
      </c>
    </row>
    <row r="1721" spans="2:12" x14ac:dyDescent="0.85">
      <c r="B1721" s="46">
        <v>1715</v>
      </c>
      <c r="C1721" s="10"/>
      <c r="D1721" s="66"/>
      <c r="E1721" s="10"/>
      <c r="F1721" s="226"/>
      <c r="G1721" s="47">
        <v>1</v>
      </c>
      <c r="H1721" s="72"/>
      <c r="I1721" s="10"/>
      <c r="J1721" s="46">
        <f t="shared" si="78"/>
        <v>1</v>
      </c>
      <c r="K1721" s="46">
        <f t="shared" si="79"/>
        <v>0</v>
      </c>
      <c r="L1721" s="69">
        <f t="shared" si="80"/>
        <v>0</v>
      </c>
    </row>
    <row r="1722" spans="2:12" x14ac:dyDescent="0.85">
      <c r="B1722" s="48">
        <v>1716</v>
      </c>
      <c r="C1722" s="44"/>
      <c r="D1722" s="50"/>
      <c r="E1722" s="44"/>
      <c r="F1722" s="227"/>
      <c r="G1722" s="49">
        <v>1</v>
      </c>
      <c r="H1722" s="73"/>
      <c r="I1722" s="44"/>
      <c r="J1722" s="48">
        <f t="shared" si="78"/>
        <v>1</v>
      </c>
      <c r="K1722" s="48">
        <f t="shared" si="79"/>
        <v>0</v>
      </c>
      <c r="L1722" s="68">
        <f t="shared" si="80"/>
        <v>0</v>
      </c>
    </row>
    <row r="1723" spans="2:12" x14ac:dyDescent="0.85">
      <c r="B1723" s="46">
        <v>1717</v>
      </c>
      <c r="C1723" s="10"/>
      <c r="D1723" s="66"/>
      <c r="E1723" s="10"/>
      <c r="F1723" s="226"/>
      <c r="G1723" s="47">
        <v>1</v>
      </c>
      <c r="H1723" s="72"/>
      <c r="I1723" s="10"/>
      <c r="J1723" s="46">
        <f t="shared" si="78"/>
        <v>1</v>
      </c>
      <c r="K1723" s="46">
        <f t="shared" si="79"/>
        <v>0</v>
      </c>
      <c r="L1723" s="69">
        <f t="shared" si="80"/>
        <v>0</v>
      </c>
    </row>
    <row r="1724" spans="2:12" x14ac:dyDescent="0.85">
      <c r="B1724" s="48">
        <v>1718</v>
      </c>
      <c r="C1724" s="44"/>
      <c r="D1724" s="50"/>
      <c r="E1724" s="44"/>
      <c r="F1724" s="227"/>
      <c r="G1724" s="49">
        <v>1</v>
      </c>
      <c r="H1724" s="73"/>
      <c r="I1724" s="44"/>
      <c r="J1724" s="48">
        <f t="shared" si="78"/>
        <v>1</v>
      </c>
      <c r="K1724" s="48">
        <f t="shared" si="79"/>
        <v>0</v>
      </c>
      <c r="L1724" s="68">
        <f t="shared" si="80"/>
        <v>0</v>
      </c>
    </row>
    <row r="1725" spans="2:12" x14ac:dyDescent="0.85">
      <c r="B1725" s="46">
        <v>1719</v>
      </c>
      <c r="C1725" s="10"/>
      <c r="D1725" s="66"/>
      <c r="E1725" s="10"/>
      <c r="F1725" s="226"/>
      <c r="G1725" s="47">
        <v>1</v>
      </c>
      <c r="H1725" s="72"/>
      <c r="I1725" s="10"/>
      <c r="J1725" s="46">
        <f t="shared" si="78"/>
        <v>1</v>
      </c>
      <c r="K1725" s="46">
        <f t="shared" si="79"/>
        <v>0</v>
      </c>
      <c r="L1725" s="69">
        <f t="shared" si="80"/>
        <v>0</v>
      </c>
    </row>
    <row r="1726" spans="2:12" x14ac:dyDescent="0.85">
      <c r="B1726" s="48">
        <v>1720</v>
      </c>
      <c r="C1726" s="44"/>
      <c r="D1726" s="50"/>
      <c r="E1726" s="44"/>
      <c r="F1726" s="227"/>
      <c r="G1726" s="49">
        <v>1</v>
      </c>
      <c r="H1726" s="73"/>
      <c r="I1726" s="44"/>
      <c r="J1726" s="48">
        <f t="shared" si="78"/>
        <v>1</v>
      </c>
      <c r="K1726" s="48">
        <f t="shared" si="79"/>
        <v>0</v>
      </c>
      <c r="L1726" s="68">
        <f t="shared" si="80"/>
        <v>0</v>
      </c>
    </row>
    <row r="1727" spans="2:12" x14ac:dyDescent="0.85">
      <c r="B1727" s="46">
        <v>1721</v>
      </c>
      <c r="C1727" s="10"/>
      <c r="D1727" s="66"/>
      <c r="E1727" s="10"/>
      <c r="F1727" s="226"/>
      <c r="G1727" s="47">
        <v>1</v>
      </c>
      <c r="H1727" s="72"/>
      <c r="I1727" s="10"/>
      <c r="J1727" s="46">
        <f t="shared" si="78"/>
        <v>1</v>
      </c>
      <c r="K1727" s="46">
        <f t="shared" si="79"/>
        <v>0</v>
      </c>
      <c r="L1727" s="69">
        <f t="shared" si="80"/>
        <v>0</v>
      </c>
    </row>
    <row r="1728" spans="2:12" x14ac:dyDescent="0.85">
      <c r="B1728" s="48">
        <v>1722</v>
      </c>
      <c r="C1728" s="44"/>
      <c r="D1728" s="50"/>
      <c r="E1728" s="44"/>
      <c r="F1728" s="227"/>
      <c r="G1728" s="49">
        <v>1</v>
      </c>
      <c r="H1728" s="73"/>
      <c r="I1728" s="44"/>
      <c r="J1728" s="48">
        <f t="shared" si="78"/>
        <v>1</v>
      </c>
      <c r="K1728" s="48">
        <f t="shared" si="79"/>
        <v>0</v>
      </c>
      <c r="L1728" s="68">
        <f t="shared" si="80"/>
        <v>0</v>
      </c>
    </row>
    <row r="1729" spans="2:12" x14ac:dyDescent="0.85">
      <c r="B1729" s="46">
        <v>1723</v>
      </c>
      <c r="C1729" s="10"/>
      <c r="D1729" s="66"/>
      <c r="E1729" s="10"/>
      <c r="F1729" s="226"/>
      <c r="G1729" s="47">
        <v>1</v>
      </c>
      <c r="H1729" s="72"/>
      <c r="I1729" s="10"/>
      <c r="J1729" s="46">
        <f t="shared" si="78"/>
        <v>1</v>
      </c>
      <c r="K1729" s="46">
        <f t="shared" si="79"/>
        <v>0</v>
      </c>
      <c r="L1729" s="69">
        <f t="shared" si="80"/>
        <v>0</v>
      </c>
    </row>
    <row r="1730" spans="2:12" x14ac:dyDescent="0.85">
      <c r="B1730" s="48">
        <v>1724</v>
      </c>
      <c r="C1730" s="44"/>
      <c r="D1730" s="50"/>
      <c r="E1730" s="44"/>
      <c r="F1730" s="227"/>
      <c r="G1730" s="49">
        <v>1</v>
      </c>
      <c r="H1730" s="73"/>
      <c r="I1730" s="44"/>
      <c r="J1730" s="48">
        <f t="shared" si="78"/>
        <v>1</v>
      </c>
      <c r="K1730" s="48">
        <f t="shared" si="79"/>
        <v>0</v>
      </c>
      <c r="L1730" s="68">
        <f t="shared" si="80"/>
        <v>0</v>
      </c>
    </row>
    <row r="1731" spans="2:12" x14ac:dyDescent="0.85">
      <c r="B1731" s="46">
        <v>1725</v>
      </c>
      <c r="C1731" s="10"/>
      <c r="D1731" s="66"/>
      <c r="E1731" s="10"/>
      <c r="F1731" s="226"/>
      <c r="G1731" s="47">
        <v>1</v>
      </c>
      <c r="H1731" s="72"/>
      <c r="I1731" s="10"/>
      <c r="J1731" s="46">
        <f t="shared" si="78"/>
        <v>1</v>
      </c>
      <c r="K1731" s="46">
        <f t="shared" si="79"/>
        <v>0</v>
      </c>
      <c r="L1731" s="69">
        <f t="shared" si="80"/>
        <v>0</v>
      </c>
    </row>
    <row r="1732" spans="2:12" x14ac:dyDescent="0.85">
      <c r="B1732" s="48">
        <v>1726</v>
      </c>
      <c r="C1732" s="44"/>
      <c r="D1732" s="50"/>
      <c r="E1732" s="44"/>
      <c r="F1732" s="227"/>
      <c r="G1732" s="49">
        <v>1</v>
      </c>
      <c r="H1732" s="73"/>
      <c r="I1732" s="44"/>
      <c r="J1732" s="48">
        <f t="shared" si="78"/>
        <v>1</v>
      </c>
      <c r="K1732" s="48">
        <f t="shared" si="79"/>
        <v>0</v>
      </c>
      <c r="L1732" s="68">
        <f t="shared" si="80"/>
        <v>0</v>
      </c>
    </row>
    <row r="1733" spans="2:12" x14ac:dyDescent="0.85">
      <c r="B1733" s="46">
        <v>1727</v>
      </c>
      <c r="C1733" s="10"/>
      <c r="D1733" s="66"/>
      <c r="E1733" s="10"/>
      <c r="F1733" s="226"/>
      <c r="G1733" s="47">
        <v>1</v>
      </c>
      <c r="H1733" s="72"/>
      <c r="I1733" s="10"/>
      <c r="J1733" s="46">
        <f t="shared" si="78"/>
        <v>1</v>
      </c>
      <c r="K1733" s="46">
        <f t="shared" si="79"/>
        <v>0</v>
      </c>
      <c r="L1733" s="69">
        <f t="shared" si="80"/>
        <v>0</v>
      </c>
    </row>
    <row r="1734" spans="2:12" x14ac:dyDescent="0.85">
      <c r="B1734" s="48">
        <v>1728</v>
      </c>
      <c r="C1734" s="44"/>
      <c r="D1734" s="50"/>
      <c r="E1734" s="44"/>
      <c r="F1734" s="227"/>
      <c r="G1734" s="49">
        <v>1</v>
      </c>
      <c r="H1734" s="73"/>
      <c r="I1734" s="44"/>
      <c r="J1734" s="48">
        <f t="shared" si="78"/>
        <v>1</v>
      </c>
      <c r="K1734" s="48">
        <f t="shared" si="79"/>
        <v>0</v>
      </c>
      <c r="L1734" s="68">
        <f t="shared" si="80"/>
        <v>0</v>
      </c>
    </row>
    <row r="1735" spans="2:12" x14ac:dyDescent="0.85">
      <c r="B1735" s="46">
        <v>1729</v>
      </c>
      <c r="C1735" s="10"/>
      <c r="D1735" s="66"/>
      <c r="E1735" s="10"/>
      <c r="F1735" s="226"/>
      <c r="G1735" s="47">
        <v>1</v>
      </c>
      <c r="H1735" s="72"/>
      <c r="I1735" s="10"/>
      <c r="J1735" s="46">
        <f t="shared" ref="J1735:J1798" si="81">IF(ISBLANK(H1735),1,H1735)</f>
        <v>1</v>
      </c>
      <c r="K1735" s="46">
        <f t="shared" ref="K1735:K1798" si="82">IF(COUNTIF(FreeElements, E1735)&gt;0, F1735, 0)</f>
        <v>0</v>
      </c>
      <c r="L1735" s="69">
        <f t="shared" ref="L1735:L1798" si="83">J1735*K1735</f>
        <v>0</v>
      </c>
    </row>
    <row r="1736" spans="2:12" x14ac:dyDescent="0.85">
      <c r="B1736" s="48">
        <v>1730</v>
      </c>
      <c r="C1736" s="44"/>
      <c r="D1736" s="50"/>
      <c r="E1736" s="44"/>
      <c r="F1736" s="227"/>
      <c r="G1736" s="49">
        <v>1</v>
      </c>
      <c r="H1736" s="73"/>
      <c r="I1736" s="44"/>
      <c r="J1736" s="48">
        <f t="shared" si="81"/>
        <v>1</v>
      </c>
      <c r="K1736" s="48">
        <f t="shared" si="82"/>
        <v>0</v>
      </c>
      <c r="L1736" s="68">
        <f t="shared" si="83"/>
        <v>0</v>
      </c>
    </row>
    <row r="1737" spans="2:12" x14ac:dyDescent="0.85">
      <c r="B1737" s="46">
        <v>1731</v>
      </c>
      <c r="C1737" s="10"/>
      <c r="D1737" s="66"/>
      <c r="E1737" s="10"/>
      <c r="F1737" s="226"/>
      <c r="G1737" s="47">
        <v>1</v>
      </c>
      <c r="H1737" s="72"/>
      <c r="I1737" s="10"/>
      <c r="J1737" s="46">
        <f t="shared" si="81"/>
        <v>1</v>
      </c>
      <c r="K1737" s="46">
        <f t="shared" si="82"/>
        <v>0</v>
      </c>
      <c r="L1737" s="69">
        <f t="shared" si="83"/>
        <v>0</v>
      </c>
    </row>
    <row r="1738" spans="2:12" x14ac:dyDescent="0.85">
      <c r="B1738" s="48">
        <v>1732</v>
      </c>
      <c r="C1738" s="44"/>
      <c r="D1738" s="50"/>
      <c r="E1738" s="44"/>
      <c r="F1738" s="227"/>
      <c r="G1738" s="49">
        <v>1</v>
      </c>
      <c r="H1738" s="73"/>
      <c r="I1738" s="44"/>
      <c r="J1738" s="48">
        <f t="shared" si="81"/>
        <v>1</v>
      </c>
      <c r="K1738" s="48">
        <f t="shared" si="82"/>
        <v>0</v>
      </c>
      <c r="L1738" s="68">
        <f t="shared" si="83"/>
        <v>0</v>
      </c>
    </row>
    <row r="1739" spans="2:12" x14ac:dyDescent="0.85">
      <c r="B1739" s="46">
        <v>1733</v>
      </c>
      <c r="C1739" s="10"/>
      <c r="D1739" s="66"/>
      <c r="E1739" s="10"/>
      <c r="F1739" s="226"/>
      <c r="G1739" s="47">
        <v>1</v>
      </c>
      <c r="H1739" s="72"/>
      <c r="I1739" s="10"/>
      <c r="J1739" s="46">
        <f t="shared" si="81"/>
        <v>1</v>
      </c>
      <c r="K1739" s="46">
        <f t="shared" si="82"/>
        <v>0</v>
      </c>
      <c r="L1739" s="69">
        <f t="shared" si="83"/>
        <v>0</v>
      </c>
    </row>
    <row r="1740" spans="2:12" x14ac:dyDescent="0.85">
      <c r="B1740" s="48">
        <v>1734</v>
      </c>
      <c r="C1740" s="44"/>
      <c r="D1740" s="50"/>
      <c r="E1740" s="44"/>
      <c r="F1740" s="227"/>
      <c r="G1740" s="49">
        <v>1</v>
      </c>
      <c r="H1740" s="73"/>
      <c r="I1740" s="44"/>
      <c r="J1740" s="48">
        <f t="shared" si="81"/>
        <v>1</v>
      </c>
      <c r="K1740" s="48">
        <f t="shared" si="82"/>
        <v>0</v>
      </c>
      <c r="L1740" s="68">
        <f t="shared" si="83"/>
        <v>0</v>
      </c>
    </row>
    <row r="1741" spans="2:12" x14ac:dyDescent="0.85">
      <c r="B1741" s="46">
        <v>1735</v>
      </c>
      <c r="C1741" s="10"/>
      <c r="D1741" s="66"/>
      <c r="E1741" s="10"/>
      <c r="F1741" s="226"/>
      <c r="G1741" s="47">
        <v>1</v>
      </c>
      <c r="H1741" s="72"/>
      <c r="I1741" s="10"/>
      <c r="J1741" s="46">
        <f t="shared" si="81"/>
        <v>1</v>
      </c>
      <c r="K1741" s="46">
        <f t="shared" si="82"/>
        <v>0</v>
      </c>
      <c r="L1741" s="69">
        <f t="shared" si="83"/>
        <v>0</v>
      </c>
    </row>
    <row r="1742" spans="2:12" x14ac:dyDescent="0.85">
      <c r="B1742" s="48">
        <v>1736</v>
      </c>
      <c r="C1742" s="44"/>
      <c r="D1742" s="50"/>
      <c r="E1742" s="44"/>
      <c r="F1742" s="227"/>
      <c r="G1742" s="49">
        <v>1</v>
      </c>
      <c r="H1742" s="73"/>
      <c r="I1742" s="44"/>
      <c r="J1742" s="48">
        <f t="shared" si="81"/>
        <v>1</v>
      </c>
      <c r="K1742" s="48">
        <f t="shared" si="82"/>
        <v>0</v>
      </c>
      <c r="L1742" s="68">
        <f t="shared" si="83"/>
        <v>0</v>
      </c>
    </row>
    <row r="1743" spans="2:12" x14ac:dyDescent="0.85">
      <c r="B1743" s="46">
        <v>1737</v>
      </c>
      <c r="C1743" s="10"/>
      <c r="D1743" s="66"/>
      <c r="E1743" s="10"/>
      <c r="F1743" s="226"/>
      <c r="G1743" s="47">
        <v>1</v>
      </c>
      <c r="H1743" s="72"/>
      <c r="I1743" s="10"/>
      <c r="J1743" s="46">
        <f t="shared" si="81"/>
        <v>1</v>
      </c>
      <c r="K1743" s="46">
        <f t="shared" si="82"/>
        <v>0</v>
      </c>
      <c r="L1743" s="69">
        <f t="shared" si="83"/>
        <v>0</v>
      </c>
    </row>
    <row r="1744" spans="2:12" x14ac:dyDescent="0.85">
      <c r="B1744" s="48">
        <v>1738</v>
      </c>
      <c r="C1744" s="44"/>
      <c r="D1744" s="50"/>
      <c r="E1744" s="44"/>
      <c r="F1744" s="227"/>
      <c r="G1744" s="49">
        <v>1</v>
      </c>
      <c r="H1744" s="73"/>
      <c r="I1744" s="44"/>
      <c r="J1744" s="48">
        <f t="shared" si="81"/>
        <v>1</v>
      </c>
      <c r="K1744" s="48">
        <f t="shared" si="82"/>
        <v>0</v>
      </c>
      <c r="L1744" s="68">
        <f t="shared" si="83"/>
        <v>0</v>
      </c>
    </row>
    <row r="1745" spans="2:12" x14ac:dyDescent="0.85">
      <c r="B1745" s="46">
        <v>1739</v>
      </c>
      <c r="C1745" s="10"/>
      <c r="D1745" s="66"/>
      <c r="E1745" s="10"/>
      <c r="F1745" s="226"/>
      <c r="G1745" s="47">
        <v>1</v>
      </c>
      <c r="H1745" s="72"/>
      <c r="I1745" s="10"/>
      <c r="J1745" s="46">
        <f t="shared" si="81"/>
        <v>1</v>
      </c>
      <c r="K1745" s="46">
        <f t="shared" si="82"/>
        <v>0</v>
      </c>
      <c r="L1745" s="69">
        <f t="shared" si="83"/>
        <v>0</v>
      </c>
    </row>
    <row r="1746" spans="2:12" x14ac:dyDescent="0.85">
      <c r="B1746" s="48">
        <v>1740</v>
      </c>
      <c r="C1746" s="44"/>
      <c r="D1746" s="50"/>
      <c r="E1746" s="44"/>
      <c r="F1746" s="227"/>
      <c r="G1746" s="49">
        <v>1</v>
      </c>
      <c r="H1746" s="73"/>
      <c r="I1746" s="44"/>
      <c r="J1746" s="48">
        <f t="shared" si="81"/>
        <v>1</v>
      </c>
      <c r="K1746" s="48">
        <f t="shared" si="82"/>
        <v>0</v>
      </c>
      <c r="L1746" s="68">
        <f t="shared" si="83"/>
        <v>0</v>
      </c>
    </row>
    <row r="1747" spans="2:12" x14ac:dyDescent="0.85">
      <c r="B1747" s="46">
        <v>1741</v>
      </c>
      <c r="C1747" s="10"/>
      <c r="D1747" s="66"/>
      <c r="E1747" s="10"/>
      <c r="F1747" s="226"/>
      <c r="G1747" s="47">
        <v>1</v>
      </c>
      <c r="H1747" s="72"/>
      <c r="I1747" s="10"/>
      <c r="J1747" s="46">
        <f t="shared" si="81"/>
        <v>1</v>
      </c>
      <c r="K1747" s="46">
        <f t="shared" si="82"/>
        <v>0</v>
      </c>
      <c r="L1747" s="69">
        <f t="shared" si="83"/>
        <v>0</v>
      </c>
    </row>
    <row r="1748" spans="2:12" x14ac:dyDescent="0.85">
      <c r="B1748" s="48">
        <v>1742</v>
      </c>
      <c r="C1748" s="44"/>
      <c r="D1748" s="50"/>
      <c r="E1748" s="44"/>
      <c r="F1748" s="227"/>
      <c r="G1748" s="49">
        <v>1</v>
      </c>
      <c r="H1748" s="73"/>
      <c r="I1748" s="44"/>
      <c r="J1748" s="48">
        <f t="shared" si="81"/>
        <v>1</v>
      </c>
      <c r="K1748" s="48">
        <f t="shared" si="82"/>
        <v>0</v>
      </c>
      <c r="L1748" s="68">
        <f t="shared" si="83"/>
        <v>0</v>
      </c>
    </row>
    <row r="1749" spans="2:12" x14ac:dyDescent="0.85">
      <c r="B1749" s="46">
        <v>1743</v>
      </c>
      <c r="C1749" s="10"/>
      <c r="D1749" s="66"/>
      <c r="E1749" s="10"/>
      <c r="F1749" s="226"/>
      <c r="G1749" s="47">
        <v>1</v>
      </c>
      <c r="H1749" s="72"/>
      <c r="I1749" s="10"/>
      <c r="J1749" s="46">
        <f t="shared" si="81"/>
        <v>1</v>
      </c>
      <c r="K1749" s="46">
        <f t="shared" si="82"/>
        <v>0</v>
      </c>
      <c r="L1749" s="69">
        <f t="shared" si="83"/>
        <v>0</v>
      </c>
    </row>
    <row r="1750" spans="2:12" x14ac:dyDescent="0.85">
      <c r="B1750" s="48">
        <v>1744</v>
      </c>
      <c r="C1750" s="44"/>
      <c r="D1750" s="50"/>
      <c r="E1750" s="44"/>
      <c r="F1750" s="227"/>
      <c r="G1750" s="49">
        <v>1</v>
      </c>
      <c r="H1750" s="73"/>
      <c r="I1750" s="44"/>
      <c r="J1750" s="48">
        <f t="shared" si="81"/>
        <v>1</v>
      </c>
      <c r="K1750" s="48">
        <f t="shared" si="82"/>
        <v>0</v>
      </c>
      <c r="L1750" s="68">
        <f t="shared" si="83"/>
        <v>0</v>
      </c>
    </row>
    <row r="1751" spans="2:12" x14ac:dyDescent="0.85">
      <c r="B1751" s="46">
        <v>1745</v>
      </c>
      <c r="C1751" s="10"/>
      <c r="D1751" s="66"/>
      <c r="E1751" s="10"/>
      <c r="F1751" s="226"/>
      <c r="G1751" s="47">
        <v>1</v>
      </c>
      <c r="H1751" s="72"/>
      <c r="I1751" s="10"/>
      <c r="J1751" s="46">
        <f t="shared" si="81"/>
        <v>1</v>
      </c>
      <c r="K1751" s="46">
        <f t="shared" si="82"/>
        <v>0</v>
      </c>
      <c r="L1751" s="69">
        <f t="shared" si="83"/>
        <v>0</v>
      </c>
    </row>
    <row r="1752" spans="2:12" x14ac:dyDescent="0.85">
      <c r="B1752" s="48">
        <v>1746</v>
      </c>
      <c r="C1752" s="44"/>
      <c r="D1752" s="50"/>
      <c r="E1752" s="44"/>
      <c r="F1752" s="227"/>
      <c r="G1752" s="49">
        <v>1</v>
      </c>
      <c r="H1752" s="73"/>
      <c r="I1752" s="44"/>
      <c r="J1752" s="48">
        <f t="shared" si="81"/>
        <v>1</v>
      </c>
      <c r="K1752" s="48">
        <f t="shared" si="82"/>
        <v>0</v>
      </c>
      <c r="L1752" s="68">
        <f t="shared" si="83"/>
        <v>0</v>
      </c>
    </row>
    <row r="1753" spans="2:12" x14ac:dyDescent="0.85">
      <c r="B1753" s="46">
        <v>1747</v>
      </c>
      <c r="C1753" s="10"/>
      <c r="D1753" s="66"/>
      <c r="E1753" s="10"/>
      <c r="F1753" s="226"/>
      <c r="G1753" s="47">
        <v>1</v>
      </c>
      <c r="H1753" s="72"/>
      <c r="I1753" s="10"/>
      <c r="J1753" s="46">
        <f t="shared" si="81"/>
        <v>1</v>
      </c>
      <c r="K1753" s="46">
        <f t="shared" si="82"/>
        <v>0</v>
      </c>
      <c r="L1753" s="69">
        <f t="shared" si="83"/>
        <v>0</v>
      </c>
    </row>
    <row r="1754" spans="2:12" x14ac:dyDescent="0.85">
      <c r="B1754" s="48">
        <v>1748</v>
      </c>
      <c r="C1754" s="44"/>
      <c r="D1754" s="50"/>
      <c r="E1754" s="44"/>
      <c r="F1754" s="227"/>
      <c r="G1754" s="49">
        <v>1</v>
      </c>
      <c r="H1754" s="73"/>
      <c r="I1754" s="44"/>
      <c r="J1754" s="48">
        <f t="shared" si="81"/>
        <v>1</v>
      </c>
      <c r="K1754" s="48">
        <f t="shared" si="82"/>
        <v>0</v>
      </c>
      <c r="L1754" s="68">
        <f t="shared" si="83"/>
        <v>0</v>
      </c>
    </row>
    <row r="1755" spans="2:12" x14ac:dyDescent="0.85">
      <c r="B1755" s="46">
        <v>1749</v>
      </c>
      <c r="C1755" s="10"/>
      <c r="D1755" s="66"/>
      <c r="E1755" s="10"/>
      <c r="F1755" s="226"/>
      <c r="G1755" s="47">
        <v>1</v>
      </c>
      <c r="H1755" s="72"/>
      <c r="I1755" s="10"/>
      <c r="J1755" s="46">
        <f t="shared" si="81"/>
        <v>1</v>
      </c>
      <c r="K1755" s="46">
        <f t="shared" si="82"/>
        <v>0</v>
      </c>
      <c r="L1755" s="69">
        <f t="shared" si="83"/>
        <v>0</v>
      </c>
    </row>
    <row r="1756" spans="2:12" x14ac:dyDescent="0.85">
      <c r="B1756" s="48">
        <v>1750</v>
      </c>
      <c r="C1756" s="44"/>
      <c r="D1756" s="50"/>
      <c r="E1756" s="44"/>
      <c r="F1756" s="227"/>
      <c r="G1756" s="49">
        <v>1</v>
      </c>
      <c r="H1756" s="73"/>
      <c r="I1756" s="44"/>
      <c r="J1756" s="48">
        <f t="shared" si="81"/>
        <v>1</v>
      </c>
      <c r="K1756" s="48">
        <f t="shared" si="82"/>
        <v>0</v>
      </c>
      <c r="L1756" s="68">
        <f t="shared" si="83"/>
        <v>0</v>
      </c>
    </row>
    <row r="1757" spans="2:12" x14ac:dyDescent="0.85">
      <c r="B1757" s="46">
        <v>1751</v>
      </c>
      <c r="C1757" s="10"/>
      <c r="D1757" s="66"/>
      <c r="E1757" s="10"/>
      <c r="F1757" s="226"/>
      <c r="G1757" s="47">
        <v>1</v>
      </c>
      <c r="H1757" s="72"/>
      <c r="I1757" s="10"/>
      <c r="J1757" s="46">
        <f t="shared" si="81"/>
        <v>1</v>
      </c>
      <c r="K1757" s="46">
        <f t="shared" si="82"/>
        <v>0</v>
      </c>
      <c r="L1757" s="69">
        <f t="shared" si="83"/>
        <v>0</v>
      </c>
    </row>
    <row r="1758" spans="2:12" x14ac:dyDescent="0.85">
      <c r="B1758" s="48">
        <v>1752</v>
      </c>
      <c r="C1758" s="44"/>
      <c r="D1758" s="50"/>
      <c r="E1758" s="44"/>
      <c r="F1758" s="227"/>
      <c r="G1758" s="49">
        <v>1</v>
      </c>
      <c r="H1758" s="73"/>
      <c r="I1758" s="44"/>
      <c r="J1758" s="48">
        <f t="shared" si="81"/>
        <v>1</v>
      </c>
      <c r="K1758" s="48">
        <f t="shared" si="82"/>
        <v>0</v>
      </c>
      <c r="L1758" s="68">
        <f t="shared" si="83"/>
        <v>0</v>
      </c>
    </row>
    <row r="1759" spans="2:12" x14ac:dyDescent="0.85">
      <c r="B1759" s="46">
        <v>1753</v>
      </c>
      <c r="C1759" s="10"/>
      <c r="D1759" s="66"/>
      <c r="E1759" s="10"/>
      <c r="F1759" s="226"/>
      <c r="G1759" s="47">
        <v>1</v>
      </c>
      <c r="H1759" s="72"/>
      <c r="I1759" s="10"/>
      <c r="J1759" s="46">
        <f t="shared" si="81"/>
        <v>1</v>
      </c>
      <c r="K1759" s="46">
        <f t="shared" si="82"/>
        <v>0</v>
      </c>
      <c r="L1759" s="69">
        <f t="shared" si="83"/>
        <v>0</v>
      </c>
    </row>
    <row r="1760" spans="2:12" x14ac:dyDescent="0.85">
      <c r="B1760" s="48">
        <v>1754</v>
      </c>
      <c r="C1760" s="44"/>
      <c r="D1760" s="50"/>
      <c r="E1760" s="44"/>
      <c r="F1760" s="227"/>
      <c r="G1760" s="49">
        <v>1</v>
      </c>
      <c r="H1760" s="73"/>
      <c r="I1760" s="44"/>
      <c r="J1760" s="48">
        <f t="shared" si="81"/>
        <v>1</v>
      </c>
      <c r="K1760" s="48">
        <f t="shared" si="82"/>
        <v>0</v>
      </c>
      <c r="L1760" s="68">
        <f t="shared" si="83"/>
        <v>0</v>
      </c>
    </row>
    <row r="1761" spans="2:12" x14ac:dyDescent="0.85">
      <c r="B1761" s="46">
        <v>1755</v>
      </c>
      <c r="C1761" s="10"/>
      <c r="D1761" s="66"/>
      <c r="E1761" s="10"/>
      <c r="F1761" s="226"/>
      <c r="G1761" s="47">
        <v>1</v>
      </c>
      <c r="H1761" s="72"/>
      <c r="I1761" s="10"/>
      <c r="J1761" s="46">
        <f t="shared" si="81"/>
        <v>1</v>
      </c>
      <c r="K1761" s="46">
        <f t="shared" si="82"/>
        <v>0</v>
      </c>
      <c r="L1761" s="69">
        <f t="shared" si="83"/>
        <v>0</v>
      </c>
    </row>
    <row r="1762" spans="2:12" x14ac:dyDescent="0.85">
      <c r="B1762" s="48">
        <v>1756</v>
      </c>
      <c r="C1762" s="44"/>
      <c r="D1762" s="50"/>
      <c r="E1762" s="44"/>
      <c r="F1762" s="227"/>
      <c r="G1762" s="49">
        <v>1</v>
      </c>
      <c r="H1762" s="73"/>
      <c r="I1762" s="44"/>
      <c r="J1762" s="48">
        <f t="shared" si="81"/>
        <v>1</v>
      </c>
      <c r="K1762" s="48">
        <f t="shared" si="82"/>
        <v>0</v>
      </c>
      <c r="L1762" s="68">
        <f t="shared" si="83"/>
        <v>0</v>
      </c>
    </row>
    <row r="1763" spans="2:12" x14ac:dyDescent="0.85">
      <c r="B1763" s="46">
        <v>1757</v>
      </c>
      <c r="C1763" s="10"/>
      <c r="D1763" s="66"/>
      <c r="E1763" s="10"/>
      <c r="F1763" s="226"/>
      <c r="G1763" s="47">
        <v>1</v>
      </c>
      <c r="H1763" s="72"/>
      <c r="I1763" s="10"/>
      <c r="J1763" s="46">
        <f t="shared" si="81"/>
        <v>1</v>
      </c>
      <c r="K1763" s="46">
        <f t="shared" si="82"/>
        <v>0</v>
      </c>
      <c r="L1763" s="69">
        <f t="shared" si="83"/>
        <v>0</v>
      </c>
    </row>
    <row r="1764" spans="2:12" x14ac:dyDescent="0.85">
      <c r="B1764" s="48">
        <v>1758</v>
      </c>
      <c r="C1764" s="44"/>
      <c r="D1764" s="50"/>
      <c r="E1764" s="44"/>
      <c r="F1764" s="227"/>
      <c r="G1764" s="49">
        <v>1</v>
      </c>
      <c r="H1764" s="73"/>
      <c r="I1764" s="44"/>
      <c r="J1764" s="48">
        <f t="shared" si="81"/>
        <v>1</v>
      </c>
      <c r="K1764" s="48">
        <f t="shared" si="82"/>
        <v>0</v>
      </c>
      <c r="L1764" s="68">
        <f t="shared" si="83"/>
        <v>0</v>
      </c>
    </row>
    <row r="1765" spans="2:12" x14ac:dyDescent="0.85">
      <c r="B1765" s="46">
        <v>1759</v>
      </c>
      <c r="C1765" s="10"/>
      <c r="D1765" s="66"/>
      <c r="E1765" s="10"/>
      <c r="F1765" s="226"/>
      <c r="G1765" s="47">
        <v>1</v>
      </c>
      <c r="H1765" s="72"/>
      <c r="I1765" s="10"/>
      <c r="J1765" s="46">
        <f t="shared" si="81"/>
        <v>1</v>
      </c>
      <c r="K1765" s="46">
        <f t="shared" si="82"/>
        <v>0</v>
      </c>
      <c r="L1765" s="69">
        <f t="shared" si="83"/>
        <v>0</v>
      </c>
    </row>
    <row r="1766" spans="2:12" x14ac:dyDescent="0.85">
      <c r="B1766" s="48">
        <v>1760</v>
      </c>
      <c r="C1766" s="44"/>
      <c r="D1766" s="50"/>
      <c r="E1766" s="44"/>
      <c r="F1766" s="227"/>
      <c r="G1766" s="49">
        <v>1</v>
      </c>
      <c r="H1766" s="73"/>
      <c r="I1766" s="44"/>
      <c r="J1766" s="48">
        <f t="shared" si="81"/>
        <v>1</v>
      </c>
      <c r="K1766" s="48">
        <f t="shared" si="82"/>
        <v>0</v>
      </c>
      <c r="L1766" s="68">
        <f t="shared" si="83"/>
        <v>0</v>
      </c>
    </row>
    <row r="1767" spans="2:12" x14ac:dyDescent="0.85">
      <c r="B1767" s="46">
        <v>1761</v>
      </c>
      <c r="C1767" s="10"/>
      <c r="D1767" s="66"/>
      <c r="E1767" s="10"/>
      <c r="F1767" s="226"/>
      <c r="G1767" s="47">
        <v>1</v>
      </c>
      <c r="H1767" s="72"/>
      <c r="I1767" s="10"/>
      <c r="J1767" s="46">
        <f t="shared" si="81"/>
        <v>1</v>
      </c>
      <c r="K1767" s="46">
        <f t="shared" si="82"/>
        <v>0</v>
      </c>
      <c r="L1767" s="69">
        <f t="shared" si="83"/>
        <v>0</v>
      </c>
    </row>
    <row r="1768" spans="2:12" x14ac:dyDescent="0.85">
      <c r="B1768" s="48">
        <v>1762</v>
      </c>
      <c r="C1768" s="44"/>
      <c r="D1768" s="50"/>
      <c r="E1768" s="44"/>
      <c r="F1768" s="227"/>
      <c r="G1768" s="49">
        <v>1</v>
      </c>
      <c r="H1768" s="73"/>
      <c r="I1768" s="44"/>
      <c r="J1768" s="48">
        <f t="shared" si="81"/>
        <v>1</v>
      </c>
      <c r="K1768" s="48">
        <f t="shared" si="82"/>
        <v>0</v>
      </c>
      <c r="L1768" s="68">
        <f t="shared" si="83"/>
        <v>0</v>
      </c>
    </row>
    <row r="1769" spans="2:12" x14ac:dyDescent="0.85">
      <c r="B1769" s="46">
        <v>1763</v>
      </c>
      <c r="C1769" s="10"/>
      <c r="D1769" s="66"/>
      <c r="E1769" s="10"/>
      <c r="F1769" s="226"/>
      <c r="G1769" s="47">
        <v>1</v>
      </c>
      <c r="H1769" s="72"/>
      <c r="I1769" s="10"/>
      <c r="J1769" s="46">
        <f t="shared" si="81"/>
        <v>1</v>
      </c>
      <c r="K1769" s="46">
        <f t="shared" si="82"/>
        <v>0</v>
      </c>
      <c r="L1769" s="69">
        <f t="shared" si="83"/>
        <v>0</v>
      </c>
    </row>
    <row r="1770" spans="2:12" x14ac:dyDescent="0.85">
      <c r="B1770" s="48">
        <v>1764</v>
      </c>
      <c r="C1770" s="44"/>
      <c r="D1770" s="50"/>
      <c r="E1770" s="44"/>
      <c r="F1770" s="227"/>
      <c r="G1770" s="49">
        <v>1</v>
      </c>
      <c r="H1770" s="73"/>
      <c r="I1770" s="44"/>
      <c r="J1770" s="48">
        <f t="shared" si="81"/>
        <v>1</v>
      </c>
      <c r="K1770" s="48">
        <f t="shared" si="82"/>
        <v>0</v>
      </c>
      <c r="L1770" s="68">
        <f t="shared" si="83"/>
        <v>0</v>
      </c>
    </row>
    <row r="1771" spans="2:12" x14ac:dyDescent="0.85">
      <c r="B1771" s="46">
        <v>1765</v>
      </c>
      <c r="C1771" s="10"/>
      <c r="D1771" s="66"/>
      <c r="E1771" s="10"/>
      <c r="F1771" s="226"/>
      <c r="G1771" s="47">
        <v>1</v>
      </c>
      <c r="H1771" s="72"/>
      <c r="I1771" s="10"/>
      <c r="J1771" s="46">
        <f t="shared" si="81"/>
        <v>1</v>
      </c>
      <c r="K1771" s="46">
        <f t="shared" si="82"/>
        <v>0</v>
      </c>
      <c r="L1771" s="69">
        <f t="shared" si="83"/>
        <v>0</v>
      </c>
    </row>
    <row r="1772" spans="2:12" x14ac:dyDescent="0.85">
      <c r="B1772" s="48">
        <v>1766</v>
      </c>
      <c r="C1772" s="44"/>
      <c r="D1772" s="50"/>
      <c r="E1772" s="44"/>
      <c r="F1772" s="227"/>
      <c r="G1772" s="49">
        <v>1</v>
      </c>
      <c r="H1772" s="73"/>
      <c r="I1772" s="44"/>
      <c r="J1772" s="48">
        <f t="shared" si="81"/>
        <v>1</v>
      </c>
      <c r="K1772" s="48">
        <f t="shared" si="82"/>
        <v>0</v>
      </c>
      <c r="L1772" s="68">
        <f t="shared" si="83"/>
        <v>0</v>
      </c>
    </row>
    <row r="1773" spans="2:12" x14ac:dyDescent="0.85">
      <c r="B1773" s="46">
        <v>1767</v>
      </c>
      <c r="C1773" s="10"/>
      <c r="D1773" s="66"/>
      <c r="E1773" s="10"/>
      <c r="F1773" s="226"/>
      <c r="G1773" s="47">
        <v>1</v>
      </c>
      <c r="H1773" s="72"/>
      <c r="I1773" s="10"/>
      <c r="J1773" s="46">
        <f t="shared" si="81"/>
        <v>1</v>
      </c>
      <c r="K1773" s="46">
        <f t="shared" si="82"/>
        <v>0</v>
      </c>
      <c r="L1773" s="69">
        <f t="shared" si="83"/>
        <v>0</v>
      </c>
    </row>
    <row r="1774" spans="2:12" x14ac:dyDescent="0.85">
      <c r="B1774" s="48">
        <v>1768</v>
      </c>
      <c r="C1774" s="44"/>
      <c r="D1774" s="50"/>
      <c r="E1774" s="44"/>
      <c r="F1774" s="227"/>
      <c r="G1774" s="49">
        <v>1</v>
      </c>
      <c r="H1774" s="73"/>
      <c r="I1774" s="44"/>
      <c r="J1774" s="48">
        <f t="shared" si="81"/>
        <v>1</v>
      </c>
      <c r="K1774" s="48">
        <f t="shared" si="82"/>
        <v>0</v>
      </c>
      <c r="L1774" s="68">
        <f t="shared" si="83"/>
        <v>0</v>
      </c>
    </row>
    <row r="1775" spans="2:12" x14ac:dyDescent="0.85">
      <c r="B1775" s="46">
        <v>1769</v>
      </c>
      <c r="C1775" s="10"/>
      <c r="D1775" s="66"/>
      <c r="E1775" s="10"/>
      <c r="F1775" s="226"/>
      <c r="G1775" s="47">
        <v>1</v>
      </c>
      <c r="H1775" s="72"/>
      <c r="I1775" s="10"/>
      <c r="J1775" s="46">
        <f t="shared" si="81"/>
        <v>1</v>
      </c>
      <c r="K1775" s="46">
        <f t="shared" si="82"/>
        <v>0</v>
      </c>
      <c r="L1775" s="69">
        <f t="shared" si="83"/>
        <v>0</v>
      </c>
    </row>
    <row r="1776" spans="2:12" x14ac:dyDescent="0.85">
      <c r="B1776" s="48">
        <v>1770</v>
      </c>
      <c r="C1776" s="44"/>
      <c r="D1776" s="50"/>
      <c r="E1776" s="44"/>
      <c r="F1776" s="227"/>
      <c r="G1776" s="49">
        <v>1</v>
      </c>
      <c r="H1776" s="73"/>
      <c r="I1776" s="44"/>
      <c r="J1776" s="48">
        <f t="shared" si="81"/>
        <v>1</v>
      </c>
      <c r="K1776" s="48">
        <f t="shared" si="82"/>
        <v>0</v>
      </c>
      <c r="L1776" s="68">
        <f t="shared" si="83"/>
        <v>0</v>
      </c>
    </row>
    <row r="1777" spans="2:12" x14ac:dyDescent="0.85">
      <c r="B1777" s="46">
        <v>1771</v>
      </c>
      <c r="C1777" s="10"/>
      <c r="D1777" s="66"/>
      <c r="E1777" s="10"/>
      <c r="F1777" s="226"/>
      <c r="G1777" s="47">
        <v>1</v>
      </c>
      <c r="H1777" s="72"/>
      <c r="I1777" s="10"/>
      <c r="J1777" s="46">
        <f t="shared" si="81"/>
        <v>1</v>
      </c>
      <c r="K1777" s="46">
        <f t="shared" si="82"/>
        <v>0</v>
      </c>
      <c r="L1777" s="69">
        <f t="shared" si="83"/>
        <v>0</v>
      </c>
    </row>
    <row r="1778" spans="2:12" x14ac:dyDescent="0.85">
      <c r="B1778" s="48">
        <v>1772</v>
      </c>
      <c r="C1778" s="44"/>
      <c r="D1778" s="50"/>
      <c r="E1778" s="44"/>
      <c r="F1778" s="227"/>
      <c r="G1778" s="49">
        <v>1</v>
      </c>
      <c r="H1778" s="73"/>
      <c r="I1778" s="44"/>
      <c r="J1778" s="48">
        <f t="shared" si="81"/>
        <v>1</v>
      </c>
      <c r="K1778" s="48">
        <f t="shared" si="82"/>
        <v>0</v>
      </c>
      <c r="L1778" s="68">
        <f t="shared" si="83"/>
        <v>0</v>
      </c>
    </row>
    <row r="1779" spans="2:12" x14ac:dyDescent="0.85">
      <c r="B1779" s="46">
        <v>1773</v>
      </c>
      <c r="C1779" s="10"/>
      <c r="D1779" s="66"/>
      <c r="E1779" s="10"/>
      <c r="F1779" s="226"/>
      <c r="G1779" s="47">
        <v>1</v>
      </c>
      <c r="H1779" s="72"/>
      <c r="I1779" s="10"/>
      <c r="J1779" s="46">
        <f t="shared" si="81"/>
        <v>1</v>
      </c>
      <c r="K1779" s="46">
        <f t="shared" si="82"/>
        <v>0</v>
      </c>
      <c r="L1779" s="69">
        <f t="shared" si="83"/>
        <v>0</v>
      </c>
    </row>
    <row r="1780" spans="2:12" x14ac:dyDescent="0.85">
      <c r="B1780" s="48">
        <v>1774</v>
      </c>
      <c r="C1780" s="44"/>
      <c r="D1780" s="50"/>
      <c r="E1780" s="44"/>
      <c r="F1780" s="227"/>
      <c r="G1780" s="49">
        <v>1</v>
      </c>
      <c r="H1780" s="73"/>
      <c r="I1780" s="44"/>
      <c r="J1780" s="48">
        <f t="shared" si="81"/>
        <v>1</v>
      </c>
      <c r="K1780" s="48">
        <f t="shared" si="82"/>
        <v>0</v>
      </c>
      <c r="L1780" s="68">
        <f t="shared" si="83"/>
        <v>0</v>
      </c>
    </row>
    <row r="1781" spans="2:12" x14ac:dyDescent="0.85">
      <c r="B1781" s="46">
        <v>1775</v>
      </c>
      <c r="C1781" s="10"/>
      <c r="D1781" s="66"/>
      <c r="E1781" s="10"/>
      <c r="F1781" s="226"/>
      <c r="G1781" s="47">
        <v>1</v>
      </c>
      <c r="H1781" s="72"/>
      <c r="I1781" s="10"/>
      <c r="J1781" s="46">
        <f t="shared" si="81"/>
        <v>1</v>
      </c>
      <c r="K1781" s="46">
        <f t="shared" si="82"/>
        <v>0</v>
      </c>
      <c r="L1781" s="69">
        <f t="shared" si="83"/>
        <v>0</v>
      </c>
    </row>
    <row r="1782" spans="2:12" x14ac:dyDescent="0.85">
      <c r="B1782" s="48">
        <v>1776</v>
      </c>
      <c r="C1782" s="44"/>
      <c r="D1782" s="50"/>
      <c r="E1782" s="44"/>
      <c r="F1782" s="227"/>
      <c r="G1782" s="49">
        <v>1</v>
      </c>
      <c r="H1782" s="73"/>
      <c r="I1782" s="44"/>
      <c r="J1782" s="48">
        <f t="shared" si="81"/>
        <v>1</v>
      </c>
      <c r="K1782" s="48">
        <f t="shared" si="82"/>
        <v>0</v>
      </c>
      <c r="L1782" s="68">
        <f t="shared" si="83"/>
        <v>0</v>
      </c>
    </row>
    <row r="1783" spans="2:12" x14ac:dyDescent="0.85">
      <c r="B1783" s="46">
        <v>1777</v>
      </c>
      <c r="C1783" s="10"/>
      <c r="D1783" s="66"/>
      <c r="E1783" s="10"/>
      <c r="F1783" s="226"/>
      <c r="G1783" s="47">
        <v>1</v>
      </c>
      <c r="H1783" s="72"/>
      <c r="I1783" s="10"/>
      <c r="J1783" s="46">
        <f t="shared" si="81"/>
        <v>1</v>
      </c>
      <c r="K1783" s="46">
        <f t="shared" si="82"/>
        <v>0</v>
      </c>
      <c r="L1783" s="69">
        <f t="shared" si="83"/>
        <v>0</v>
      </c>
    </row>
    <row r="1784" spans="2:12" x14ac:dyDescent="0.85">
      <c r="B1784" s="48">
        <v>1778</v>
      </c>
      <c r="C1784" s="44"/>
      <c r="D1784" s="50"/>
      <c r="E1784" s="44"/>
      <c r="F1784" s="227"/>
      <c r="G1784" s="49">
        <v>1</v>
      </c>
      <c r="H1784" s="73"/>
      <c r="I1784" s="44"/>
      <c r="J1784" s="48">
        <f t="shared" si="81"/>
        <v>1</v>
      </c>
      <c r="K1784" s="48">
        <f t="shared" si="82"/>
        <v>0</v>
      </c>
      <c r="L1784" s="68">
        <f t="shared" si="83"/>
        <v>0</v>
      </c>
    </row>
    <row r="1785" spans="2:12" x14ac:dyDescent="0.85">
      <c r="B1785" s="46">
        <v>1779</v>
      </c>
      <c r="C1785" s="10"/>
      <c r="D1785" s="66"/>
      <c r="E1785" s="10"/>
      <c r="F1785" s="226"/>
      <c r="G1785" s="47">
        <v>1</v>
      </c>
      <c r="H1785" s="72"/>
      <c r="I1785" s="10"/>
      <c r="J1785" s="46">
        <f t="shared" si="81"/>
        <v>1</v>
      </c>
      <c r="K1785" s="46">
        <f t="shared" si="82"/>
        <v>0</v>
      </c>
      <c r="L1785" s="69">
        <f t="shared" si="83"/>
        <v>0</v>
      </c>
    </row>
    <row r="1786" spans="2:12" x14ac:dyDescent="0.85">
      <c r="B1786" s="48">
        <v>1780</v>
      </c>
      <c r="C1786" s="44"/>
      <c r="D1786" s="50"/>
      <c r="E1786" s="44"/>
      <c r="F1786" s="227"/>
      <c r="G1786" s="49">
        <v>1</v>
      </c>
      <c r="H1786" s="73"/>
      <c r="I1786" s="44"/>
      <c r="J1786" s="48">
        <f t="shared" si="81"/>
        <v>1</v>
      </c>
      <c r="K1786" s="48">
        <f t="shared" si="82"/>
        <v>0</v>
      </c>
      <c r="L1786" s="68">
        <f t="shared" si="83"/>
        <v>0</v>
      </c>
    </row>
    <row r="1787" spans="2:12" x14ac:dyDescent="0.85">
      <c r="B1787" s="46">
        <v>1781</v>
      </c>
      <c r="C1787" s="10"/>
      <c r="D1787" s="66"/>
      <c r="E1787" s="10"/>
      <c r="F1787" s="226"/>
      <c r="G1787" s="47">
        <v>1</v>
      </c>
      <c r="H1787" s="72"/>
      <c r="I1787" s="10"/>
      <c r="J1787" s="46">
        <f t="shared" si="81"/>
        <v>1</v>
      </c>
      <c r="K1787" s="46">
        <f t="shared" si="82"/>
        <v>0</v>
      </c>
      <c r="L1787" s="69">
        <f t="shared" si="83"/>
        <v>0</v>
      </c>
    </row>
    <row r="1788" spans="2:12" x14ac:dyDescent="0.85">
      <c r="B1788" s="48">
        <v>1782</v>
      </c>
      <c r="C1788" s="44"/>
      <c r="D1788" s="50"/>
      <c r="E1788" s="44"/>
      <c r="F1788" s="227"/>
      <c r="G1788" s="49">
        <v>1</v>
      </c>
      <c r="H1788" s="73"/>
      <c r="I1788" s="44"/>
      <c r="J1788" s="48">
        <f t="shared" si="81"/>
        <v>1</v>
      </c>
      <c r="K1788" s="48">
        <f t="shared" si="82"/>
        <v>0</v>
      </c>
      <c r="L1788" s="68">
        <f t="shared" si="83"/>
        <v>0</v>
      </c>
    </row>
    <row r="1789" spans="2:12" x14ac:dyDescent="0.85">
      <c r="B1789" s="46">
        <v>1783</v>
      </c>
      <c r="C1789" s="10"/>
      <c r="D1789" s="66"/>
      <c r="E1789" s="10"/>
      <c r="F1789" s="226"/>
      <c r="G1789" s="47">
        <v>1</v>
      </c>
      <c r="H1789" s="72"/>
      <c r="I1789" s="10"/>
      <c r="J1789" s="46">
        <f t="shared" si="81"/>
        <v>1</v>
      </c>
      <c r="K1789" s="46">
        <f t="shared" si="82"/>
        <v>0</v>
      </c>
      <c r="L1789" s="69">
        <f t="shared" si="83"/>
        <v>0</v>
      </c>
    </row>
    <row r="1790" spans="2:12" x14ac:dyDescent="0.85">
      <c r="B1790" s="48">
        <v>1784</v>
      </c>
      <c r="C1790" s="44"/>
      <c r="D1790" s="50"/>
      <c r="E1790" s="44"/>
      <c r="F1790" s="227"/>
      <c r="G1790" s="49">
        <v>1</v>
      </c>
      <c r="H1790" s="73"/>
      <c r="I1790" s="44"/>
      <c r="J1790" s="48">
        <f t="shared" si="81"/>
        <v>1</v>
      </c>
      <c r="K1790" s="48">
        <f t="shared" si="82"/>
        <v>0</v>
      </c>
      <c r="L1790" s="68">
        <f t="shared" si="83"/>
        <v>0</v>
      </c>
    </row>
    <row r="1791" spans="2:12" x14ac:dyDescent="0.85">
      <c r="B1791" s="46">
        <v>1785</v>
      </c>
      <c r="C1791" s="10"/>
      <c r="D1791" s="66"/>
      <c r="E1791" s="10"/>
      <c r="F1791" s="226"/>
      <c r="G1791" s="47">
        <v>1</v>
      </c>
      <c r="H1791" s="72"/>
      <c r="I1791" s="10"/>
      <c r="J1791" s="46">
        <f t="shared" si="81"/>
        <v>1</v>
      </c>
      <c r="K1791" s="46">
        <f t="shared" si="82"/>
        <v>0</v>
      </c>
      <c r="L1791" s="69">
        <f t="shared" si="83"/>
        <v>0</v>
      </c>
    </row>
    <row r="1792" spans="2:12" x14ac:dyDescent="0.85">
      <c r="B1792" s="48">
        <v>1786</v>
      </c>
      <c r="C1792" s="44"/>
      <c r="D1792" s="50"/>
      <c r="E1792" s="44"/>
      <c r="F1792" s="227"/>
      <c r="G1792" s="49">
        <v>1</v>
      </c>
      <c r="H1792" s="73"/>
      <c r="I1792" s="44"/>
      <c r="J1792" s="48">
        <f t="shared" si="81"/>
        <v>1</v>
      </c>
      <c r="K1792" s="48">
        <f t="shared" si="82"/>
        <v>0</v>
      </c>
      <c r="L1792" s="68">
        <f t="shared" si="83"/>
        <v>0</v>
      </c>
    </row>
    <row r="1793" spans="2:12" x14ac:dyDescent="0.85">
      <c r="B1793" s="46">
        <v>1787</v>
      </c>
      <c r="C1793" s="10"/>
      <c r="D1793" s="66"/>
      <c r="E1793" s="10"/>
      <c r="F1793" s="226"/>
      <c r="G1793" s="47">
        <v>1</v>
      </c>
      <c r="H1793" s="72"/>
      <c r="I1793" s="10"/>
      <c r="J1793" s="46">
        <f t="shared" si="81"/>
        <v>1</v>
      </c>
      <c r="K1793" s="46">
        <f t="shared" si="82"/>
        <v>0</v>
      </c>
      <c r="L1793" s="69">
        <f t="shared" si="83"/>
        <v>0</v>
      </c>
    </row>
    <row r="1794" spans="2:12" x14ac:dyDescent="0.85">
      <c r="B1794" s="48">
        <v>1788</v>
      </c>
      <c r="C1794" s="44"/>
      <c r="D1794" s="50"/>
      <c r="E1794" s="44"/>
      <c r="F1794" s="227"/>
      <c r="G1794" s="49">
        <v>1</v>
      </c>
      <c r="H1794" s="73"/>
      <c r="I1794" s="44"/>
      <c r="J1794" s="48">
        <f t="shared" si="81"/>
        <v>1</v>
      </c>
      <c r="K1794" s="48">
        <f t="shared" si="82"/>
        <v>0</v>
      </c>
      <c r="L1794" s="68">
        <f t="shared" si="83"/>
        <v>0</v>
      </c>
    </row>
    <row r="1795" spans="2:12" x14ac:dyDescent="0.85">
      <c r="B1795" s="46">
        <v>1789</v>
      </c>
      <c r="C1795" s="10"/>
      <c r="D1795" s="66"/>
      <c r="E1795" s="10"/>
      <c r="F1795" s="226"/>
      <c r="G1795" s="47">
        <v>1</v>
      </c>
      <c r="H1795" s="72"/>
      <c r="I1795" s="10"/>
      <c r="J1795" s="46">
        <f t="shared" si="81"/>
        <v>1</v>
      </c>
      <c r="K1795" s="46">
        <f t="shared" si="82"/>
        <v>0</v>
      </c>
      <c r="L1795" s="69">
        <f t="shared" si="83"/>
        <v>0</v>
      </c>
    </row>
    <row r="1796" spans="2:12" x14ac:dyDescent="0.85">
      <c r="B1796" s="48">
        <v>1790</v>
      </c>
      <c r="C1796" s="44"/>
      <c r="D1796" s="50"/>
      <c r="E1796" s="44"/>
      <c r="F1796" s="227"/>
      <c r="G1796" s="49">
        <v>1</v>
      </c>
      <c r="H1796" s="73"/>
      <c r="I1796" s="44"/>
      <c r="J1796" s="48">
        <f t="shared" si="81"/>
        <v>1</v>
      </c>
      <c r="K1796" s="48">
        <f t="shared" si="82"/>
        <v>0</v>
      </c>
      <c r="L1796" s="68">
        <f t="shared" si="83"/>
        <v>0</v>
      </c>
    </row>
    <row r="1797" spans="2:12" x14ac:dyDescent="0.85">
      <c r="B1797" s="46">
        <v>1791</v>
      </c>
      <c r="C1797" s="10"/>
      <c r="D1797" s="66"/>
      <c r="E1797" s="10"/>
      <c r="F1797" s="226"/>
      <c r="G1797" s="47">
        <v>1</v>
      </c>
      <c r="H1797" s="72"/>
      <c r="I1797" s="10"/>
      <c r="J1797" s="46">
        <f t="shared" si="81"/>
        <v>1</v>
      </c>
      <c r="K1797" s="46">
        <f t="shared" si="82"/>
        <v>0</v>
      </c>
      <c r="L1797" s="69">
        <f t="shared" si="83"/>
        <v>0</v>
      </c>
    </row>
    <row r="1798" spans="2:12" x14ac:dyDescent="0.85">
      <c r="B1798" s="48">
        <v>1792</v>
      </c>
      <c r="C1798" s="44"/>
      <c r="D1798" s="50"/>
      <c r="E1798" s="44"/>
      <c r="F1798" s="227"/>
      <c r="G1798" s="49">
        <v>1</v>
      </c>
      <c r="H1798" s="73"/>
      <c r="I1798" s="44"/>
      <c r="J1798" s="48">
        <f t="shared" si="81"/>
        <v>1</v>
      </c>
      <c r="K1798" s="48">
        <f t="shared" si="82"/>
        <v>0</v>
      </c>
      <c r="L1798" s="68">
        <f t="shared" si="83"/>
        <v>0</v>
      </c>
    </row>
    <row r="1799" spans="2:12" x14ac:dyDescent="0.85">
      <c r="B1799" s="46">
        <v>1793</v>
      </c>
      <c r="C1799" s="10"/>
      <c r="D1799" s="66"/>
      <c r="E1799" s="10"/>
      <c r="F1799" s="226"/>
      <c r="G1799" s="47">
        <v>1</v>
      </c>
      <c r="H1799" s="72"/>
      <c r="I1799" s="10"/>
      <c r="J1799" s="46">
        <f t="shared" ref="J1799:J1862" si="84">IF(ISBLANK(H1799),1,H1799)</f>
        <v>1</v>
      </c>
      <c r="K1799" s="46">
        <f t="shared" ref="K1799:K1862" si="85">IF(COUNTIF(FreeElements, E1799)&gt;0, F1799, 0)</f>
        <v>0</v>
      </c>
      <c r="L1799" s="69">
        <f t="shared" ref="L1799:L1862" si="86">J1799*K1799</f>
        <v>0</v>
      </c>
    </row>
    <row r="1800" spans="2:12" x14ac:dyDescent="0.85">
      <c r="B1800" s="48">
        <v>1794</v>
      </c>
      <c r="C1800" s="44"/>
      <c r="D1800" s="50"/>
      <c r="E1800" s="44"/>
      <c r="F1800" s="227"/>
      <c r="G1800" s="49">
        <v>1</v>
      </c>
      <c r="H1800" s="73"/>
      <c r="I1800" s="44"/>
      <c r="J1800" s="48">
        <f t="shared" si="84"/>
        <v>1</v>
      </c>
      <c r="K1800" s="48">
        <f t="shared" si="85"/>
        <v>0</v>
      </c>
      <c r="L1800" s="68">
        <f t="shared" si="86"/>
        <v>0</v>
      </c>
    </row>
    <row r="1801" spans="2:12" x14ac:dyDescent="0.85">
      <c r="B1801" s="46">
        <v>1795</v>
      </c>
      <c r="C1801" s="10"/>
      <c r="D1801" s="66"/>
      <c r="E1801" s="10"/>
      <c r="F1801" s="226"/>
      <c r="G1801" s="47">
        <v>1</v>
      </c>
      <c r="H1801" s="72"/>
      <c r="I1801" s="10"/>
      <c r="J1801" s="46">
        <f t="shared" si="84"/>
        <v>1</v>
      </c>
      <c r="K1801" s="46">
        <f t="shared" si="85"/>
        <v>0</v>
      </c>
      <c r="L1801" s="69">
        <f t="shared" si="86"/>
        <v>0</v>
      </c>
    </row>
    <row r="1802" spans="2:12" x14ac:dyDescent="0.85">
      <c r="B1802" s="48">
        <v>1796</v>
      </c>
      <c r="C1802" s="44"/>
      <c r="D1802" s="50"/>
      <c r="E1802" s="44"/>
      <c r="F1802" s="227"/>
      <c r="G1802" s="49">
        <v>1</v>
      </c>
      <c r="H1802" s="73"/>
      <c r="I1802" s="44"/>
      <c r="J1802" s="48">
        <f t="shared" si="84"/>
        <v>1</v>
      </c>
      <c r="K1802" s="48">
        <f t="shared" si="85"/>
        <v>0</v>
      </c>
      <c r="L1802" s="68">
        <f t="shared" si="86"/>
        <v>0</v>
      </c>
    </row>
    <row r="1803" spans="2:12" x14ac:dyDescent="0.85">
      <c r="B1803" s="46">
        <v>1797</v>
      </c>
      <c r="C1803" s="10"/>
      <c r="D1803" s="66"/>
      <c r="E1803" s="10"/>
      <c r="F1803" s="226"/>
      <c r="G1803" s="47">
        <v>1</v>
      </c>
      <c r="H1803" s="72"/>
      <c r="I1803" s="10"/>
      <c r="J1803" s="46">
        <f t="shared" si="84"/>
        <v>1</v>
      </c>
      <c r="K1803" s="46">
        <f t="shared" si="85"/>
        <v>0</v>
      </c>
      <c r="L1803" s="69">
        <f t="shared" si="86"/>
        <v>0</v>
      </c>
    </row>
    <row r="1804" spans="2:12" x14ac:dyDescent="0.85">
      <c r="B1804" s="48">
        <v>1798</v>
      </c>
      <c r="C1804" s="44"/>
      <c r="D1804" s="50"/>
      <c r="E1804" s="44"/>
      <c r="F1804" s="227"/>
      <c r="G1804" s="49">
        <v>1</v>
      </c>
      <c r="H1804" s="73"/>
      <c r="I1804" s="44"/>
      <c r="J1804" s="48">
        <f t="shared" si="84"/>
        <v>1</v>
      </c>
      <c r="K1804" s="48">
        <f t="shared" si="85"/>
        <v>0</v>
      </c>
      <c r="L1804" s="68">
        <f t="shared" si="86"/>
        <v>0</v>
      </c>
    </row>
    <row r="1805" spans="2:12" x14ac:dyDescent="0.85">
      <c r="B1805" s="46">
        <v>1799</v>
      </c>
      <c r="C1805" s="10"/>
      <c r="D1805" s="66"/>
      <c r="E1805" s="10"/>
      <c r="F1805" s="226"/>
      <c r="G1805" s="47">
        <v>1</v>
      </c>
      <c r="H1805" s="72"/>
      <c r="I1805" s="10"/>
      <c r="J1805" s="46">
        <f t="shared" si="84"/>
        <v>1</v>
      </c>
      <c r="K1805" s="46">
        <f t="shared" si="85"/>
        <v>0</v>
      </c>
      <c r="L1805" s="69">
        <f t="shared" si="86"/>
        <v>0</v>
      </c>
    </row>
    <row r="1806" spans="2:12" x14ac:dyDescent="0.85">
      <c r="B1806" s="48">
        <v>1800</v>
      </c>
      <c r="C1806" s="44"/>
      <c r="D1806" s="50"/>
      <c r="E1806" s="44"/>
      <c r="F1806" s="227"/>
      <c r="G1806" s="49">
        <v>1</v>
      </c>
      <c r="H1806" s="73"/>
      <c r="I1806" s="44"/>
      <c r="J1806" s="48">
        <f t="shared" si="84"/>
        <v>1</v>
      </c>
      <c r="K1806" s="48">
        <f t="shared" si="85"/>
        <v>0</v>
      </c>
      <c r="L1806" s="68">
        <f t="shared" si="86"/>
        <v>0</v>
      </c>
    </row>
    <row r="1807" spans="2:12" x14ac:dyDescent="0.85">
      <c r="B1807" s="46">
        <v>1801</v>
      </c>
      <c r="C1807" s="10"/>
      <c r="D1807" s="66"/>
      <c r="E1807" s="10"/>
      <c r="F1807" s="226"/>
      <c r="G1807" s="47">
        <v>1</v>
      </c>
      <c r="H1807" s="72"/>
      <c r="I1807" s="10"/>
      <c r="J1807" s="46">
        <f t="shared" si="84"/>
        <v>1</v>
      </c>
      <c r="K1807" s="46">
        <f t="shared" si="85"/>
        <v>0</v>
      </c>
      <c r="L1807" s="69">
        <f t="shared" si="86"/>
        <v>0</v>
      </c>
    </row>
    <row r="1808" spans="2:12" x14ac:dyDescent="0.85">
      <c r="B1808" s="48">
        <v>1802</v>
      </c>
      <c r="C1808" s="44"/>
      <c r="D1808" s="50"/>
      <c r="E1808" s="44"/>
      <c r="F1808" s="227"/>
      <c r="G1808" s="49">
        <v>1</v>
      </c>
      <c r="H1808" s="73"/>
      <c r="I1808" s="44"/>
      <c r="J1808" s="48">
        <f t="shared" si="84"/>
        <v>1</v>
      </c>
      <c r="K1808" s="48">
        <f t="shared" si="85"/>
        <v>0</v>
      </c>
      <c r="L1808" s="68">
        <f t="shared" si="86"/>
        <v>0</v>
      </c>
    </row>
    <row r="1809" spans="2:12" x14ac:dyDescent="0.85">
      <c r="B1809" s="46">
        <v>1803</v>
      </c>
      <c r="C1809" s="10"/>
      <c r="D1809" s="66"/>
      <c r="E1809" s="10"/>
      <c r="F1809" s="226"/>
      <c r="G1809" s="47">
        <v>1</v>
      </c>
      <c r="H1809" s="72"/>
      <c r="I1809" s="10"/>
      <c r="J1809" s="46">
        <f t="shared" si="84"/>
        <v>1</v>
      </c>
      <c r="K1809" s="46">
        <f t="shared" si="85"/>
        <v>0</v>
      </c>
      <c r="L1809" s="69">
        <f t="shared" si="86"/>
        <v>0</v>
      </c>
    </row>
    <row r="1810" spans="2:12" x14ac:dyDescent="0.85">
      <c r="B1810" s="48">
        <v>1804</v>
      </c>
      <c r="C1810" s="44"/>
      <c r="D1810" s="50"/>
      <c r="E1810" s="44"/>
      <c r="F1810" s="227"/>
      <c r="G1810" s="49">
        <v>1</v>
      </c>
      <c r="H1810" s="73"/>
      <c r="I1810" s="44"/>
      <c r="J1810" s="48">
        <f t="shared" si="84"/>
        <v>1</v>
      </c>
      <c r="K1810" s="48">
        <f t="shared" si="85"/>
        <v>0</v>
      </c>
      <c r="L1810" s="68">
        <f t="shared" si="86"/>
        <v>0</v>
      </c>
    </row>
    <row r="1811" spans="2:12" x14ac:dyDescent="0.85">
      <c r="B1811" s="46">
        <v>1805</v>
      </c>
      <c r="C1811" s="10"/>
      <c r="D1811" s="66"/>
      <c r="E1811" s="10"/>
      <c r="F1811" s="226"/>
      <c r="G1811" s="47">
        <v>1</v>
      </c>
      <c r="H1811" s="72"/>
      <c r="I1811" s="10"/>
      <c r="J1811" s="46">
        <f t="shared" si="84"/>
        <v>1</v>
      </c>
      <c r="K1811" s="46">
        <f t="shared" si="85"/>
        <v>0</v>
      </c>
      <c r="L1811" s="69">
        <f t="shared" si="86"/>
        <v>0</v>
      </c>
    </row>
    <row r="1812" spans="2:12" x14ac:dyDescent="0.85">
      <c r="B1812" s="48">
        <v>1806</v>
      </c>
      <c r="C1812" s="44"/>
      <c r="D1812" s="50"/>
      <c r="E1812" s="44"/>
      <c r="F1812" s="227"/>
      <c r="G1812" s="49">
        <v>1</v>
      </c>
      <c r="H1812" s="73"/>
      <c r="I1812" s="44"/>
      <c r="J1812" s="48">
        <f t="shared" si="84"/>
        <v>1</v>
      </c>
      <c r="K1812" s="48">
        <f t="shared" si="85"/>
        <v>0</v>
      </c>
      <c r="L1812" s="68">
        <f t="shared" si="86"/>
        <v>0</v>
      </c>
    </row>
    <row r="1813" spans="2:12" x14ac:dyDescent="0.85">
      <c r="B1813" s="46">
        <v>1807</v>
      </c>
      <c r="C1813" s="10"/>
      <c r="D1813" s="66"/>
      <c r="E1813" s="10"/>
      <c r="F1813" s="226"/>
      <c r="G1813" s="47">
        <v>1</v>
      </c>
      <c r="H1813" s="72"/>
      <c r="I1813" s="10"/>
      <c r="J1813" s="46">
        <f t="shared" si="84"/>
        <v>1</v>
      </c>
      <c r="K1813" s="46">
        <f t="shared" si="85"/>
        <v>0</v>
      </c>
      <c r="L1813" s="69">
        <f t="shared" si="86"/>
        <v>0</v>
      </c>
    </row>
    <row r="1814" spans="2:12" x14ac:dyDescent="0.85">
      <c r="B1814" s="48">
        <v>1808</v>
      </c>
      <c r="C1814" s="44"/>
      <c r="D1814" s="50"/>
      <c r="E1814" s="44"/>
      <c r="F1814" s="227"/>
      <c r="G1814" s="49">
        <v>1</v>
      </c>
      <c r="H1814" s="73"/>
      <c r="I1814" s="44"/>
      <c r="J1814" s="48">
        <f t="shared" si="84"/>
        <v>1</v>
      </c>
      <c r="K1814" s="48">
        <f t="shared" si="85"/>
        <v>0</v>
      </c>
      <c r="L1814" s="68">
        <f t="shared" si="86"/>
        <v>0</v>
      </c>
    </row>
    <row r="1815" spans="2:12" x14ac:dyDescent="0.85">
      <c r="B1815" s="46">
        <v>1809</v>
      </c>
      <c r="C1815" s="10"/>
      <c r="D1815" s="66"/>
      <c r="E1815" s="10"/>
      <c r="F1815" s="226"/>
      <c r="G1815" s="47">
        <v>1</v>
      </c>
      <c r="H1815" s="72"/>
      <c r="I1815" s="10"/>
      <c r="J1815" s="46">
        <f t="shared" si="84"/>
        <v>1</v>
      </c>
      <c r="K1815" s="46">
        <f t="shared" si="85"/>
        <v>0</v>
      </c>
      <c r="L1815" s="69">
        <f t="shared" si="86"/>
        <v>0</v>
      </c>
    </row>
    <row r="1816" spans="2:12" x14ac:dyDescent="0.85">
      <c r="B1816" s="48">
        <v>1810</v>
      </c>
      <c r="C1816" s="44"/>
      <c r="D1816" s="50"/>
      <c r="E1816" s="44"/>
      <c r="F1816" s="227"/>
      <c r="G1816" s="49">
        <v>1</v>
      </c>
      <c r="H1816" s="73"/>
      <c r="I1816" s="44"/>
      <c r="J1816" s="48">
        <f t="shared" si="84"/>
        <v>1</v>
      </c>
      <c r="K1816" s="48">
        <f t="shared" si="85"/>
        <v>0</v>
      </c>
      <c r="L1816" s="68">
        <f t="shared" si="86"/>
        <v>0</v>
      </c>
    </row>
    <row r="1817" spans="2:12" x14ac:dyDescent="0.85">
      <c r="B1817" s="46">
        <v>1811</v>
      </c>
      <c r="C1817" s="10"/>
      <c r="D1817" s="66"/>
      <c r="E1817" s="10"/>
      <c r="F1817" s="226"/>
      <c r="G1817" s="47">
        <v>1</v>
      </c>
      <c r="H1817" s="72"/>
      <c r="I1817" s="10"/>
      <c r="J1817" s="46">
        <f t="shared" si="84"/>
        <v>1</v>
      </c>
      <c r="K1817" s="46">
        <f t="shared" si="85"/>
        <v>0</v>
      </c>
      <c r="L1817" s="69">
        <f t="shared" si="86"/>
        <v>0</v>
      </c>
    </row>
    <row r="1818" spans="2:12" x14ac:dyDescent="0.85">
      <c r="B1818" s="48">
        <v>1812</v>
      </c>
      <c r="C1818" s="44"/>
      <c r="D1818" s="50"/>
      <c r="E1818" s="44"/>
      <c r="F1818" s="227"/>
      <c r="G1818" s="49">
        <v>1</v>
      </c>
      <c r="H1818" s="73"/>
      <c r="I1818" s="44"/>
      <c r="J1818" s="48">
        <f t="shared" si="84"/>
        <v>1</v>
      </c>
      <c r="K1818" s="48">
        <f t="shared" si="85"/>
        <v>0</v>
      </c>
      <c r="L1818" s="68">
        <f t="shared" si="86"/>
        <v>0</v>
      </c>
    </row>
    <row r="1819" spans="2:12" x14ac:dyDescent="0.85">
      <c r="B1819" s="46">
        <v>1813</v>
      </c>
      <c r="C1819" s="10"/>
      <c r="D1819" s="66"/>
      <c r="E1819" s="10"/>
      <c r="F1819" s="226"/>
      <c r="G1819" s="47">
        <v>1</v>
      </c>
      <c r="H1819" s="72"/>
      <c r="I1819" s="10"/>
      <c r="J1819" s="46">
        <f t="shared" si="84"/>
        <v>1</v>
      </c>
      <c r="K1819" s="46">
        <f t="shared" si="85"/>
        <v>0</v>
      </c>
      <c r="L1819" s="69">
        <f t="shared" si="86"/>
        <v>0</v>
      </c>
    </row>
    <row r="1820" spans="2:12" x14ac:dyDescent="0.85">
      <c r="B1820" s="48">
        <v>1814</v>
      </c>
      <c r="C1820" s="44"/>
      <c r="D1820" s="50"/>
      <c r="E1820" s="44"/>
      <c r="F1820" s="227"/>
      <c r="G1820" s="49">
        <v>1</v>
      </c>
      <c r="H1820" s="73"/>
      <c r="I1820" s="44"/>
      <c r="J1820" s="48">
        <f t="shared" si="84"/>
        <v>1</v>
      </c>
      <c r="K1820" s="48">
        <f t="shared" si="85"/>
        <v>0</v>
      </c>
      <c r="L1820" s="68">
        <f t="shared" si="86"/>
        <v>0</v>
      </c>
    </row>
    <row r="1821" spans="2:12" x14ac:dyDescent="0.85">
      <c r="B1821" s="46">
        <v>1815</v>
      </c>
      <c r="C1821" s="10"/>
      <c r="D1821" s="66"/>
      <c r="E1821" s="10"/>
      <c r="F1821" s="226"/>
      <c r="G1821" s="47">
        <v>1</v>
      </c>
      <c r="H1821" s="72"/>
      <c r="I1821" s="10"/>
      <c r="J1821" s="46">
        <f t="shared" si="84"/>
        <v>1</v>
      </c>
      <c r="K1821" s="46">
        <f t="shared" si="85"/>
        <v>0</v>
      </c>
      <c r="L1821" s="69">
        <f t="shared" si="86"/>
        <v>0</v>
      </c>
    </row>
    <row r="1822" spans="2:12" x14ac:dyDescent="0.85">
      <c r="B1822" s="48">
        <v>1816</v>
      </c>
      <c r="C1822" s="44"/>
      <c r="D1822" s="50"/>
      <c r="E1822" s="44"/>
      <c r="F1822" s="227"/>
      <c r="G1822" s="49">
        <v>1</v>
      </c>
      <c r="H1822" s="73"/>
      <c r="I1822" s="44"/>
      <c r="J1822" s="48">
        <f t="shared" si="84"/>
        <v>1</v>
      </c>
      <c r="K1822" s="48">
        <f t="shared" si="85"/>
        <v>0</v>
      </c>
      <c r="L1822" s="68">
        <f t="shared" si="86"/>
        <v>0</v>
      </c>
    </row>
    <row r="1823" spans="2:12" x14ac:dyDescent="0.85">
      <c r="B1823" s="46">
        <v>1817</v>
      </c>
      <c r="C1823" s="10"/>
      <c r="D1823" s="66"/>
      <c r="E1823" s="10"/>
      <c r="F1823" s="226"/>
      <c r="G1823" s="47">
        <v>1</v>
      </c>
      <c r="H1823" s="72"/>
      <c r="I1823" s="10"/>
      <c r="J1823" s="46">
        <f t="shared" si="84"/>
        <v>1</v>
      </c>
      <c r="K1823" s="46">
        <f t="shared" si="85"/>
        <v>0</v>
      </c>
      <c r="L1823" s="69">
        <f t="shared" si="86"/>
        <v>0</v>
      </c>
    </row>
    <row r="1824" spans="2:12" x14ac:dyDescent="0.85">
      <c r="B1824" s="48">
        <v>1818</v>
      </c>
      <c r="C1824" s="44"/>
      <c r="D1824" s="50"/>
      <c r="E1824" s="44"/>
      <c r="F1824" s="227"/>
      <c r="G1824" s="49">
        <v>1</v>
      </c>
      <c r="H1824" s="73"/>
      <c r="I1824" s="44"/>
      <c r="J1824" s="48">
        <f t="shared" si="84"/>
        <v>1</v>
      </c>
      <c r="K1824" s="48">
        <f t="shared" si="85"/>
        <v>0</v>
      </c>
      <c r="L1824" s="68">
        <f t="shared" si="86"/>
        <v>0</v>
      </c>
    </row>
    <row r="1825" spans="2:12" x14ac:dyDescent="0.85">
      <c r="B1825" s="46">
        <v>1819</v>
      </c>
      <c r="C1825" s="10"/>
      <c r="D1825" s="66"/>
      <c r="E1825" s="10"/>
      <c r="F1825" s="226"/>
      <c r="G1825" s="47">
        <v>1</v>
      </c>
      <c r="H1825" s="72"/>
      <c r="I1825" s="10"/>
      <c r="J1825" s="46">
        <f t="shared" si="84"/>
        <v>1</v>
      </c>
      <c r="K1825" s="46">
        <f t="shared" si="85"/>
        <v>0</v>
      </c>
      <c r="L1825" s="69">
        <f t="shared" si="86"/>
        <v>0</v>
      </c>
    </row>
    <row r="1826" spans="2:12" x14ac:dyDescent="0.85">
      <c r="B1826" s="48">
        <v>1820</v>
      </c>
      <c r="C1826" s="44"/>
      <c r="D1826" s="50"/>
      <c r="E1826" s="44"/>
      <c r="F1826" s="227"/>
      <c r="G1826" s="49">
        <v>1</v>
      </c>
      <c r="H1826" s="73"/>
      <c r="I1826" s="44"/>
      <c r="J1826" s="48">
        <f t="shared" si="84"/>
        <v>1</v>
      </c>
      <c r="K1826" s="48">
        <f t="shared" si="85"/>
        <v>0</v>
      </c>
      <c r="L1826" s="68">
        <f t="shared" si="86"/>
        <v>0</v>
      </c>
    </row>
    <row r="1827" spans="2:12" x14ac:dyDescent="0.85">
      <c r="B1827" s="46">
        <v>1821</v>
      </c>
      <c r="C1827" s="10"/>
      <c r="D1827" s="66"/>
      <c r="E1827" s="10"/>
      <c r="F1827" s="226"/>
      <c r="G1827" s="47">
        <v>1</v>
      </c>
      <c r="H1827" s="72"/>
      <c r="I1827" s="10"/>
      <c r="J1827" s="46">
        <f t="shared" si="84"/>
        <v>1</v>
      </c>
      <c r="K1827" s="46">
        <f t="shared" si="85"/>
        <v>0</v>
      </c>
      <c r="L1827" s="69">
        <f t="shared" si="86"/>
        <v>0</v>
      </c>
    </row>
    <row r="1828" spans="2:12" x14ac:dyDescent="0.85">
      <c r="B1828" s="48">
        <v>1822</v>
      </c>
      <c r="C1828" s="44"/>
      <c r="D1828" s="50"/>
      <c r="E1828" s="44"/>
      <c r="F1828" s="227"/>
      <c r="G1828" s="49">
        <v>1</v>
      </c>
      <c r="H1828" s="73"/>
      <c r="I1828" s="44"/>
      <c r="J1828" s="48">
        <f t="shared" si="84"/>
        <v>1</v>
      </c>
      <c r="K1828" s="48">
        <f t="shared" si="85"/>
        <v>0</v>
      </c>
      <c r="L1828" s="68">
        <f t="shared" si="86"/>
        <v>0</v>
      </c>
    </row>
    <row r="1829" spans="2:12" x14ac:dyDescent="0.85">
      <c r="B1829" s="46">
        <v>1823</v>
      </c>
      <c r="C1829" s="10"/>
      <c r="D1829" s="66"/>
      <c r="E1829" s="10"/>
      <c r="F1829" s="226"/>
      <c r="G1829" s="47">
        <v>1</v>
      </c>
      <c r="H1829" s="72"/>
      <c r="I1829" s="10"/>
      <c r="J1829" s="46">
        <f t="shared" si="84"/>
        <v>1</v>
      </c>
      <c r="K1829" s="46">
        <f t="shared" si="85"/>
        <v>0</v>
      </c>
      <c r="L1829" s="69">
        <f t="shared" si="86"/>
        <v>0</v>
      </c>
    </row>
    <row r="1830" spans="2:12" x14ac:dyDescent="0.85">
      <c r="B1830" s="48">
        <v>1824</v>
      </c>
      <c r="C1830" s="44"/>
      <c r="D1830" s="50"/>
      <c r="E1830" s="44"/>
      <c r="F1830" s="227"/>
      <c r="G1830" s="49">
        <v>1</v>
      </c>
      <c r="H1830" s="73"/>
      <c r="I1830" s="44"/>
      <c r="J1830" s="48">
        <f t="shared" si="84"/>
        <v>1</v>
      </c>
      <c r="K1830" s="48">
        <f t="shared" si="85"/>
        <v>0</v>
      </c>
      <c r="L1830" s="68">
        <f t="shared" si="86"/>
        <v>0</v>
      </c>
    </row>
    <row r="1831" spans="2:12" x14ac:dyDescent="0.85">
      <c r="B1831" s="46">
        <v>1825</v>
      </c>
      <c r="C1831" s="10"/>
      <c r="D1831" s="66"/>
      <c r="E1831" s="10"/>
      <c r="F1831" s="226"/>
      <c r="G1831" s="47">
        <v>1</v>
      </c>
      <c r="H1831" s="72"/>
      <c r="I1831" s="10"/>
      <c r="J1831" s="46">
        <f t="shared" si="84"/>
        <v>1</v>
      </c>
      <c r="K1831" s="46">
        <f t="shared" si="85"/>
        <v>0</v>
      </c>
      <c r="L1831" s="69">
        <f t="shared" si="86"/>
        <v>0</v>
      </c>
    </row>
    <row r="1832" spans="2:12" x14ac:dyDescent="0.85">
      <c r="B1832" s="48">
        <v>1826</v>
      </c>
      <c r="C1832" s="44"/>
      <c r="D1832" s="50"/>
      <c r="E1832" s="44"/>
      <c r="F1832" s="227"/>
      <c r="G1832" s="49">
        <v>1</v>
      </c>
      <c r="H1832" s="73"/>
      <c r="I1832" s="44"/>
      <c r="J1832" s="48">
        <f t="shared" si="84"/>
        <v>1</v>
      </c>
      <c r="K1832" s="48">
        <f t="shared" si="85"/>
        <v>0</v>
      </c>
      <c r="L1832" s="68">
        <f t="shared" si="86"/>
        <v>0</v>
      </c>
    </row>
    <row r="1833" spans="2:12" x14ac:dyDescent="0.85">
      <c r="B1833" s="46">
        <v>1827</v>
      </c>
      <c r="C1833" s="10"/>
      <c r="D1833" s="66"/>
      <c r="E1833" s="10"/>
      <c r="F1833" s="226"/>
      <c r="G1833" s="47">
        <v>1</v>
      </c>
      <c r="H1833" s="72"/>
      <c r="I1833" s="10"/>
      <c r="J1833" s="46">
        <f t="shared" si="84"/>
        <v>1</v>
      </c>
      <c r="K1833" s="46">
        <f t="shared" si="85"/>
        <v>0</v>
      </c>
      <c r="L1833" s="69">
        <f t="shared" si="86"/>
        <v>0</v>
      </c>
    </row>
    <row r="1834" spans="2:12" x14ac:dyDescent="0.85">
      <c r="B1834" s="48">
        <v>1828</v>
      </c>
      <c r="C1834" s="44"/>
      <c r="D1834" s="50"/>
      <c r="E1834" s="44"/>
      <c r="F1834" s="227"/>
      <c r="G1834" s="49">
        <v>1</v>
      </c>
      <c r="H1834" s="73"/>
      <c r="I1834" s="44"/>
      <c r="J1834" s="48">
        <f t="shared" si="84"/>
        <v>1</v>
      </c>
      <c r="K1834" s="48">
        <f t="shared" si="85"/>
        <v>0</v>
      </c>
      <c r="L1834" s="68">
        <f t="shared" si="86"/>
        <v>0</v>
      </c>
    </row>
    <row r="1835" spans="2:12" x14ac:dyDescent="0.85">
      <c r="B1835" s="46">
        <v>1829</v>
      </c>
      <c r="C1835" s="10"/>
      <c r="D1835" s="66"/>
      <c r="E1835" s="10"/>
      <c r="F1835" s="226"/>
      <c r="G1835" s="47">
        <v>1</v>
      </c>
      <c r="H1835" s="72"/>
      <c r="I1835" s="10"/>
      <c r="J1835" s="46">
        <f t="shared" si="84"/>
        <v>1</v>
      </c>
      <c r="K1835" s="46">
        <f t="shared" si="85"/>
        <v>0</v>
      </c>
      <c r="L1835" s="69">
        <f t="shared" si="86"/>
        <v>0</v>
      </c>
    </row>
    <row r="1836" spans="2:12" x14ac:dyDescent="0.85">
      <c r="B1836" s="48">
        <v>1830</v>
      </c>
      <c r="C1836" s="44"/>
      <c r="D1836" s="50"/>
      <c r="E1836" s="44"/>
      <c r="F1836" s="227"/>
      <c r="G1836" s="49">
        <v>1</v>
      </c>
      <c r="H1836" s="73"/>
      <c r="I1836" s="44"/>
      <c r="J1836" s="48">
        <f t="shared" si="84"/>
        <v>1</v>
      </c>
      <c r="K1836" s="48">
        <f t="shared" si="85"/>
        <v>0</v>
      </c>
      <c r="L1836" s="68">
        <f t="shared" si="86"/>
        <v>0</v>
      </c>
    </row>
    <row r="1837" spans="2:12" x14ac:dyDescent="0.85">
      <c r="B1837" s="46">
        <v>1831</v>
      </c>
      <c r="C1837" s="10"/>
      <c r="D1837" s="66"/>
      <c r="E1837" s="10"/>
      <c r="F1837" s="226"/>
      <c r="G1837" s="47">
        <v>1</v>
      </c>
      <c r="H1837" s="72"/>
      <c r="I1837" s="10"/>
      <c r="J1837" s="46">
        <f t="shared" si="84"/>
        <v>1</v>
      </c>
      <c r="K1837" s="46">
        <f t="shared" si="85"/>
        <v>0</v>
      </c>
      <c r="L1837" s="69">
        <f t="shared" si="86"/>
        <v>0</v>
      </c>
    </row>
    <row r="1838" spans="2:12" x14ac:dyDescent="0.85">
      <c r="B1838" s="48">
        <v>1832</v>
      </c>
      <c r="C1838" s="44"/>
      <c r="D1838" s="50"/>
      <c r="E1838" s="44"/>
      <c r="F1838" s="227"/>
      <c r="G1838" s="49">
        <v>1</v>
      </c>
      <c r="H1838" s="73"/>
      <c r="I1838" s="44"/>
      <c r="J1838" s="48">
        <f t="shared" si="84"/>
        <v>1</v>
      </c>
      <c r="K1838" s="48">
        <f t="shared" si="85"/>
        <v>0</v>
      </c>
      <c r="L1838" s="68">
        <f t="shared" si="86"/>
        <v>0</v>
      </c>
    </row>
    <row r="1839" spans="2:12" x14ac:dyDescent="0.85">
      <c r="B1839" s="46">
        <v>1833</v>
      </c>
      <c r="C1839" s="10"/>
      <c r="D1839" s="66"/>
      <c r="E1839" s="10"/>
      <c r="F1839" s="226"/>
      <c r="G1839" s="47">
        <v>1</v>
      </c>
      <c r="H1839" s="72"/>
      <c r="I1839" s="10"/>
      <c r="J1839" s="46">
        <f t="shared" si="84"/>
        <v>1</v>
      </c>
      <c r="K1839" s="46">
        <f t="shared" si="85"/>
        <v>0</v>
      </c>
      <c r="L1839" s="69">
        <f t="shared" si="86"/>
        <v>0</v>
      </c>
    </row>
    <row r="1840" spans="2:12" x14ac:dyDescent="0.85">
      <c r="B1840" s="48">
        <v>1834</v>
      </c>
      <c r="C1840" s="44"/>
      <c r="D1840" s="50"/>
      <c r="E1840" s="44"/>
      <c r="F1840" s="227"/>
      <c r="G1840" s="49">
        <v>1</v>
      </c>
      <c r="H1840" s="73"/>
      <c r="I1840" s="44"/>
      <c r="J1840" s="48">
        <f t="shared" si="84"/>
        <v>1</v>
      </c>
      <c r="K1840" s="48">
        <f t="shared" si="85"/>
        <v>0</v>
      </c>
      <c r="L1840" s="68">
        <f t="shared" si="86"/>
        <v>0</v>
      </c>
    </row>
    <row r="1841" spans="2:12" x14ac:dyDescent="0.85">
      <c r="B1841" s="46">
        <v>1835</v>
      </c>
      <c r="C1841" s="10"/>
      <c r="D1841" s="66"/>
      <c r="E1841" s="10"/>
      <c r="F1841" s="226"/>
      <c r="G1841" s="47">
        <v>1</v>
      </c>
      <c r="H1841" s="72"/>
      <c r="I1841" s="10"/>
      <c r="J1841" s="46">
        <f t="shared" si="84"/>
        <v>1</v>
      </c>
      <c r="K1841" s="46">
        <f t="shared" si="85"/>
        <v>0</v>
      </c>
      <c r="L1841" s="69">
        <f t="shared" si="86"/>
        <v>0</v>
      </c>
    </row>
    <row r="1842" spans="2:12" x14ac:dyDescent="0.85">
      <c r="B1842" s="48">
        <v>1836</v>
      </c>
      <c r="C1842" s="44"/>
      <c r="D1842" s="50"/>
      <c r="E1842" s="44"/>
      <c r="F1842" s="227"/>
      <c r="G1842" s="49">
        <v>1</v>
      </c>
      <c r="H1842" s="73"/>
      <c r="I1842" s="44"/>
      <c r="J1842" s="48">
        <f t="shared" si="84"/>
        <v>1</v>
      </c>
      <c r="K1842" s="48">
        <f t="shared" si="85"/>
        <v>0</v>
      </c>
      <c r="L1842" s="68">
        <f t="shared" si="86"/>
        <v>0</v>
      </c>
    </row>
    <row r="1843" spans="2:12" x14ac:dyDescent="0.85">
      <c r="B1843" s="46">
        <v>1837</v>
      </c>
      <c r="C1843" s="10"/>
      <c r="D1843" s="66"/>
      <c r="E1843" s="10"/>
      <c r="F1843" s="226"/>
      <c r="G1843" s="47">
        <v>1</v>
      </c>
      <c r="H1843" s="72"/>
      <c r="I1843" s="10"/>
      <c r="J1843" s="46">
        <f t="shared" si="84"/>
        <v>1</v>
      </c>
      <c r="K1843" s="46">
        <f t="shared" si="85"/>
        <v>0</v>
      </c>
      <c r="L1843" s="69">
        <f t="shared" si="86"/>
        <v>0</v>
      </c>
    </row>
    <row r="1844" spans="2:12" x14ac:dyDescent="0.85">
      <c r="B1844" s="48">
        <v>1838</v>
      </c>
      <c r="C1844" s="44"/>
      <c r="D1844" s="50"/>
      <c r="E1844" s="44"/>
      <c r="F1844" s="227"/>
      <c r="G1844" s="49">
        <v>1</v>
      </c>
      <c r="H1844" s="73"/>
      <c r="I1844" s="44"/>
      <c r="J1844" s="48">
        <f t="shared" si="84"/>
        <v>1</v>
      </c>
      <c r="K1844" s="48">
        <f t="shared" si="85"/>
        <v>0</v>
      </c>
      <c r="L1844" s="68">
        <f t="shared" si="86"/>
        <v>0</v>
      </c>
    </row>
    <row r="1845" spans="2:12" x14ac:dyDescent="0.85">
      <c r="B1845" s="46">
        <v>1839</v>
      </c>
      <c r="C1845" s="10"/>
      <c r="D1845" s="66"/>
      <c r="E1845" s="10"/>
      <c r="F1845" s="226"/>
      <c r="G1845" s="47">
        <v>1</v>
      </c>
      <c r="H1845" s="72"/>
      <c r="I1845" s="10"/>
      <c r="J1845" s="46">
        <f t="shared" si="84"/>
        <v>1</v>
      </c>
      <c r="K1845" s="46">
        <f t="shared" si="85"/>
        <v>0</v>
      </c>
      <c r="L1845" s="69">
        <f t="shared" si="86"/>
        <v>0</v>
      </c>
    </row>
    <row r="1846" spans="2:12" x14ac:dyDescent="0.85">
      <c r="B1846" s="48">
        <v>1840</v>
      </c>
      <c r="C1846" s="44"/>
      <c r="D1846" s="50"/>
      <c r="E1846" s="44"/>
      <c r="F1846" s="227"/>
      <c r="G1846" s="49">
        <v>1</v>
      </c>
      <c r="H1846" s="73"/>
      <c r="I1846" s="44"/>
      <c r="J1846" s="48">
        <f t="shared" si="84"/>
        <v>1</v>
      </c>
      <c r="K1846" s="48">
        <f t="shared" si="85"/>
        <v>0</v>
      </c>
      <c r="L1846" s="68">
        <f t="shared" si="86"/>
        <v>0</v>
      </c>
    </row>
    <row r="1847" spans="2:12" x14ac:dyDescent="0.85">
      <c r="B1847" s="46">
        <v>1841</v>
      </c>
      <c r="C1847" s="10"/>
      <c r="D1847" s="66"/>
      <c r="E1847" s="10"/>
      <c r="F1847" s="226"/>
      <c r="G1847" s="47">
        <v>1</v>
      </c>
      <c r="H1847" s="72"/>
      <c r="I1847" s="10"/>
      <c r="J1847" s="46">
        <f t="shared" si="84"/>
        <v>1</v>
      </c>
      <c r="K1847" s="46">
        <f t="shared" si="85"/>
        <v>0</v>
      </c>
      <c r="L1847" s="69">
        <f t="shared" si="86"/>
        <v>0</v>
      </c>
    </row>
    <row r="1848" spans="2:12" x14ac:dyDescent="0.85">
      <c r="B1848" s="48">
        <v>1842</v>
      </c>
      <c r="C1848" s="44"/>
      <c r="D1848" s="50"/>
      <c r="E1848" s="44"/>
      <c r="F1848" s="227"/>
      <c r="G1848" s="49">
        <v>1</v>
      </c>
      <c r="H1848" s="73"/>
      <c r="I1848" s="44"/>
      <c r="J1848" s="48">
        <f t="shared" si="84"/>
        <v>1</v>
      </c>
      <c r="K1848" s="48">
        <f t="shared" si="85"/>
        <v>0</v>
      </c>
      <c r="L1848" s="68">
        <f t="shared" si="86"/>
        <v>0</v>
      </c>
    </row>
    <row r="1849" spans="2:12" x14ac:dyDescent="0.85">
      <c r="B1849" s="46">
        <v>1843</v>
      </c>
      <c r="C1849" s="10"/>
      <c r="D1849" s="66"/>
      <c r="E1849" s="10"/>
      <c r="F1849" s="226"/>
      <c r="G1849" s="47">
        <v>1</v>
      </c>
      <c r="H1849" s="72"/>
      <c r="I1849" s="10"/>
      <c r="J1849" s="46">
        <f t="shared" si="84"/>
        <v>1</v>
      </c>
      <c r="K1849" s="46">
        <f t="shared" si="85"/>
        <v>0</v>
      </c>
      <c r="L1849" s="69">
        <f t="shared" si="86"/>
        <v>0</v>
      </c>
    </row>
    <row r="1850" spans="2:12" x14ac:dyDescent="0.85">
      <c r="B1850" s="48">
        <v>1844</v>
      </c>
      <c r="C1850" s="44"/>
      <c r="D1850" s="50"/>
      <c r="E1850" s="44"/>
      <c r="F1850" s="227"/>
      <c r="G1850" s="49">
        <v>1</v>
      </c>
      <c r="H1850" s="73"/>
      <c r="I1850" s="44"/>
      <c r="J1850" s="48">
        <f t="shared" si="84"/>
        <v>1</v>
      </c>
      <c r="K1850" s="48">
        <f t="shared" si="85"/>
        <v>0</v>
      </c>
      <c r="L1850" s="68">
        <f t="shared" si="86"/>
        <v>0</v>
      </c>
    </row>
    <row r="1851" spans="2:12" x14ac:dyDescent="0.85">
      <c r="B1851" s="46">
        <v>1845</v>
      </c>
      <c r="C1851" s="10"/>
      <c r="D1851" s="66"/>
      <c r="E1851" s="10"/>
      <c r="F1851" s="226"/>
      <c r="G1851" s="47">
        <v>1</v>
      </c>
      <c r="H1851" s="72"/>
      <c r="I1851" s="10"/>
      <c r="J1851" s="46">
        <f t="shared" si="84"/>
        <v>1</v>
      </c>
      <c r="K1851" s="46">
        <f t="shared" si="85"/>
        <v>0</v>
      </c>
      <c r="L1851" s="69">
        <f t="shared" si="86"/>
        <v>0</v>
      </c>
    </row>
    <row r="1852" spans="2:12" x14ac:dyDescent="0.85">
      <c r="B1852" s="48">
        <v>1846</v>
      </c>
      <c r="C1852" s="44"/>
      <c r="D1852" s="50"/>
      <c r="E1852" s="44"/>
      <c r="F1852" s="227"/>
      <c r="G1852" s="49">
        <v>1</v>
      </c>
      <c r="H1852" s="73"/>
      <c r="I1852" s="44"/>
      <c r="J1852" s="48">
        <f t="shared" si="84"/>
        <v>1</v>
      </c>
      <c r="K1852" s="48">
        <f t="shared" si="85"/>
        <v>0</v>
      </c>
      <c r="L1852" s="68">
        <f t="shared" si="86"/>
        <v>0</v>
      </c>
    </row>
    <row r="1853" spans="2:12" x14ac:dyDescent="0.85">
      <c r="B1853" s="46">
        <v>1847</v>
      </c>
      <c r="C1853" s="10"/>
      <c r="D1853" s="66"/>
      <c r="E1853" s="10"/>
      <c r="F1853" s="226"/>
      <c r="G1853" s="47">
        <v>1</v>
      </c>
      <c r="H1853" s="72"/>
      <c r="I1853" s="10"/>
      <c r="J1853" s="46">
        <f t="shared" si="84"/>
        <v>1</v>
      </c>
      <c r="K1853" s="46">
        <f t="shared" si="85"/>
        <v>0</v>
      </c>
      <c r="L1853" s="69">
        <f t="shared" si="86"/>
        <v>0</v>
      </c>
    </row>
    <row r="1854" spans="2:12" x14ac:dyDescent="0.85">
      <c r="B1854" s="48">
        <v>1848</v>
      </c>
      <c r="C1854" s="44"/>
      <c r="D1854" s="50"/>
      <c r="E1854" s="44"/>
      <c r="F1854" s="227"/>
      <c r="G1854" s="49">
        <v>1</v>
      </c>
      <c r="H1854" s="73"/>
      <c r="I1854" s="44"/>
      <c r="J1854" s="48">
        <f t="shared" si="84"/>
        <v>1</v>
      </c>
      <c r="K1854" s="48">
        <f t="shared" si="85"/>
        <v>0</v>
      </c>
      <c r="L1854" s="68">
        <f t="shared" si="86"/>
        <v>0</v>
      </c>
    </row>
    <row r="1855" spans="2:12" x14ac:dyDescent="0.85">
      <c r="B1855" s="46">
        <v>1849</v>
      </c>
      <c r="C1855" s="10"/>
      <c r="D1855" s="66"/>
      <c r="E1855" s="10"/>
      <c r="F1855" s="226"/>
      <c r="G1855" s="47">
        <v>1</v>
      </c>
      <c r="H1855" s="72"/>
      <c r="I1855" s="10"/>
      <c r="J1855" s="46">
        <f t="shared" si="84"/>
        <v>1</v>
      </c>
      <c r="K1855" s="46">
        <f t="shared" si="85"/>
        <v>0</v>
      </c>
      <c r="L1855" s="69">
        <f t="shared" si="86"/>
        <v>0</v>
      </c>
    </row>
    <row r="1856" spans="2:12" x14ac:dyDescent="0.85">
      <c r="B1856" s="48">
        <v>1850</v>
      </c>
      <c r="C1856" s="44"/>
      <c r="D1856" s="50"/>
      <c r="E1856" s="44"/>
      <c r="F1856" s="227"/>
      <c r="G1856" s="49">
        <v>1</v>
      </c>
      <c r="H1856" s="73"/>
      <c r="I1856" s="44"/>
      <c r="J1856" s="48">
        <f t="shared" si="84"/>
        <v>1</v>
      </c>
      <c r="K1856" s="48">
        <f t="shared" si="85"/>
        <v>0</v>
      </c>
      <c r="L1856" s="68">
        <f t="shared" si="86"/>
        <v>0</v>
      </c>
    </row>
    <row r="1857" spans="2:12" x14ac:dyDescent="0.85">
      <c r="B1857" s="46">
        <v>1851</v>
      </c>
      <c r="C1857" s="10"/>
      <c r="D1857" s="66"/>
      <c r="E1857" s="10"/>
      <c r="F1857" s="226"/>
      <c r="G1857" s="47">
        <v>1</v>
      </c>
      <c r="H1857" s="72"/>
      <c r="I1857" s="10"/>
      <c r="J1857" s="46">
        <f t="shared" si="84"/>
        <v>1</v>
      </c>
      <c r="K1857" s="46">
        <f t="shared" si="85"/>
        <v>0</v>
      </c>
      <c r="L1857" s="69">
        <f t="shared" si="86"/>
        <v>0</v>
      </c>
    </row>
    <row r="1858" spans="2:12" x14ac:dyDescent="0.85">
      <c r="B1858" s="48">
        <v>1852</v>
      </c>
      <c r="C1858" s="44"/>
      <c r="D1858" s="50"/>
      <c r="E1858" s="44"/>
      <c r="F1858" s="227"/>
      <c r="G1858" s="49">
        <v>1</v>
      </c>
      <c r="H1858" s="73"/>
      <c r="I1858" s="44"/>
      <c r="J1858" s="48">
        <f t="shared" si="84"/>
        <v>1</v>
      </c>
      <c r="K1858" s="48">
        <f t="shared" si="85"/>
        <v>0</v>
      </c>
      <c r="L1858" s="68">
        <f t="shared" si="86"/>
        <v>0</v>
      </c>
    </row>
    <row r="1859" spans="2:12" x14ac:dyDescent="0.85">
      <c r="B1859" s="46">
        <v>1853</v>
      </c>
      <c r="C1859" s="10"/>
      <c r="D1859" s="66"/>
      <c r="E1859" s="10"/>
      <c r="F1859" s="226"/>
      <c r="G1859" s="47">
        <v>1</v>
      </c>
      <c r="H1859" s="72"/>
      <c r="I1859" s="10"/>
      <c r="J1859" s="46">
        <f t="shared" si="84"/>
        <v>1</v>
      </c>
      <c r="K1859" s="46">
        <f t="shared" si="85"/>
        <v>0</v>
      </c>
      <c r="L1859" s="69">
        <f t="shared" si="86"/>
        <v>0</v>
      </c>
    </row>
    <row r="1860" spans="2:12" x14ac:dyDescent="0.85">
      <c r="B1860" s="48">
        <v>1854</v>
      </c>
      <c r="C1860" s="44"/>
      <c r="D1860" s="50"/>
      <c r="E1860" s="44"/>
      <c r="F1860" s="227"/>
      <c r="G1860" s="49">
        <v>1</v>
      </c>
      <c r="H1860" s="73"/>
      <c r="I1860" s="44"/>
      <c r="J1860" s="48">
        <f t="shared" si="84"/>
        <v>1</v>
      </c>
      <c r="K1860" s="48">
        <f t="shared" si="85"/>
        <v>0</v>
      </c>
      <c r="L1860" s="68">
        <f t="shared" si="86"/>
        <v>0</v>
      </c>
    </row>
    <row r="1861" spans="2:12" x14ac:dyDescent="0.85">
      <c r="B1861" s="46">
        <v>1855</v>
      </c>
      <c r="C1861" s="10"/>
      <c r="D1861" s="66"/>
      <c r="E1861" s="10"/>
      <c r="F1861" s="226"/>
      <c r="G1861" s="47">
        <v>1</v>
      </c>
      <c r="H1861" s="72"/>
      <c r="I1861" s="10"/>
      <c r="J1861" s="46">
        <f t="shared" si="84"/>
        <v>1</v>
      </c>
      <c r="K1861" s="46">
        <f t="shared" si="85"/>
        <v>0</v>
      </c>
      <c r="L1861" s="69">
        <f t="shared" si="86"/>
        <v>0</v>
      </c>
    </row>
    <row r="1862" spans="2:12" x14ac:dyDescent="0.85">
      <c r="B1862" s="48">
        <v>1856</v>
      </c>
      <c r="C1862" s="44"/>
      <c r="D1862" s="50"/>
      <c r="E1862" s="44"/>
      <c r="F1862" s="227"/>
      <c r="G1862" s="49">
        <v>1</v>
      </c>
      <c r="H1862" s="73"/>
      <c r="I1862" s="44"/>
      <c r="J1862" s="48">
        <f t="shared" si="84"/>
        <v>1</v>
      </c>
      <c r="K1862" s="48">
        <f t="shared" si="85"/>
        <v>0</v>
      </c>
      <c r="L1862" s="68">
        <f t="shared" si="86"/>
        <v>0</v>
      </c>
    </row>
    <row r="1863" spans="2:12" x14ac:dyDescent="0.85">
      <c r="B1863" s="46">
        <v>1857</v>
      </c>
      <c r="C1863" s="10"/>
      <c r="D1863" s="66"/>
      <c r="E1863" s="10"/>
      <c r="F1863" s="226"/>
      <c r="G1863" s="47">
        <v>1</v>
      </c>
      <c r="H1863" s="72"/>
      <c r="I1863" s="10"/>
      <c r="J1863" s="46">
        <f t="shared" ref="J1863:J1926" si="87">IF(ISBLANK(H1863),1,H1863)</f>
        <v>1</v>
      </c>
      <c r="K1863" s="46">
        <f t="shared" ref="K1863:K1926" si="88">IF(COUNTIF(FreeElements, E1863)&gt;0, F1863, 0)</f>
        <v>0</v>
      </c>
      <c r="L1863" s="69">
        <f t="shared" ref="L1863:L1926" si="89">J1863*K1863</f>
        <v>0</v>
      </c>
    </row>
    <row r="1864" spans="2:12" x14ac:dyDescent="0.85">
      <c r="B1864" s="48">
        <v>1858</v>
      </c>
      <c r="C1864" s="44"/>
      <c r="D1864" s="50"/>
      <c r="E1864" s="44"/>
      <c r="F1864" s="227"/>
      <c r="G1864" s="49">
        <v>1</v>
      </c>
      <c r="H1864" s="73"/>
      <c r="I1864" s="44"/>
      <c r="J1864" s="48">
        <f t="shared" si="87"/>
        <v>1</v>
      </c>
      <c r="K1864" s="48">
        <f t="shared" si="88"/>
        <v>0</v>
      </c>
      <c r="L1864" s="68">
        <f t="shared" si="89"/>
        <v>0</v>
      </c>
    </row>
    <row r="1865" spans="2:12" x14ac:dyDescent="0.85">
      <c r="B1865" s="46">
        <v>1859</v>
      </c>
      <c r="C1865" s="10"/>
      <c r="D1865" s="66"/>
      <c r="E1865" s="10"/>
      <c r="F1865" s="226"/>
      <c r="G1865" s="47">
        <v>1</v>
      </c>
      <c r="H1865" s="72"/>
      <c r="I1865" s="10"/>
      <c r="J1865" s="46">
        <f t="shared" si="87"/>
        <v>1</v>
      </c>
      <c r="K1865" s="46">
        <f t="shared" si="88"/>
        <v>0</v>
      </c>
      <c r="L1865" s="69">
        <f t="shared" si="89"/>
        <v>0</v>
      </c>
    </row>
    <row r="1866" spans="2:12" x14ac:dyDescent="0.85">
      <c r="B1866" s="48">
        <v>1860</v>
      </c>
      <c r="C1866" s="44"/>
      <c r="D1866" s="50"/>
      <c r="E1866" s="44"/>
      <c r="F1866" s="227"/>
      <c r="G1866" s="49">
        <v>1</v>
      </c>
      <c r="H1866" s="73"/>
      <c r="I1866" s="44"/>
      <c r="J1866" s="48">
        <f t="shared" si="87"/>
        <v>1</v>
      </c>
      <c r="K1866" s="48">
        <f t="shared" si="88"/>
        <v>0</v>
      </c>
      <c r="L1866" s="68">
        <f t="shared" si="89"/>
        <v>0</v>
      </c>
    </row>
    <row r="1867" spans="2:12" x14ac:dyDescent="0.85">
      <c r="B1867" s="46">
        <v>1861</v>
      </c>
      <c r="C1867" s="10"/>
      <c r="D1867" s="66"/>
      <c r="E1867" s="10"/>
      <c r="F1867" s="226"/>
      <c r="G1867" s="47">
        <v>1</v>
      </c>
      <c r="H1867" s="72"/>
      <c r="I1867" s="10"/>
      <c r="J1867" s="46">
        <f t="shared" si="87"/>
        <v>1</v>
      </c>
      <c r="K1867" s="46">
        <f t="shared" si="88"/>
        <v>0</v>
      </c>
      <c r="L1867" s="69">
        <f t="shared" si="89"/>
        <v>0</v>
      </c>
    </row>
    <row r="1868" spans="2:12" x14ac:dyDescent="0.85">
      <c r="B1868" s="48">
        <v>1862</v>
      </c>
      <c r="C1868" s="44"/>
      <c r="D1868" s="50"/>
      <c r="E1868" s="44"/>
      <c r="F1868" s="227"/>
      <c r="G1868" s="49">
        <v>1</v>
      </c>
      <c r="H1868" s="73"/>
      <c r="I1868" s="44"/>
      <c r="J1868" s="48">
        <f t="shared" si="87"/>
        <v>1</v>
      </c>
      <c r="K1868" s="48">
        <f t="shared" si="88"/>
        <v>0</v>
      </c>
      <c r="L1868" s="68">
        <f t="shared" si="89"/>
        <v>0</v>
      </c>
    </row>
    <row r="1869" spans="2:12" x14ac:dyDescent="0.85">
      <c r="B1869" s="46">
        <v>1863</v>
      </c>
      <c r="C1869" s="10"/>
      <c r="D1869" s="66"/>
      <c r="E1869" s="10"/>
      <c r="F1869" s="226"/>
      <c r="G1869" s="47">
        <v>1</v>
      </c>
      <c r="H1869" s="72"/>
      <c r="I1869" s="10"/>
      <c r="J1869" s="46">
        <f t="shared" si="87"/>
        <v>1</v>
      </c>
      <c r="K1869" s="46">
        <f t="shared" si="88"/>
        <v>0</v>
      </c>
      <c r="L1869" s="69">
        <f t="shared" si="89"/>
        <v>0</v>
      </c>
    </row>
    <row r="1870" spans="2:12" x14ac:dyDescent="0.85">
      <c r="B1870" s="48">
        <v>1864</v>
      </c>
      <c r="C1870" s="44"/>
      <c r="D1870" s="50"/>
      <c r="E1870" s="44"/>
      <c r="F1870" s="227"/>
      <c r="G1870" s="49">
        <v>1</v>
      </c>
      <c r="H1870" s="73"/>
      <c r="I1870" s="44"/>
      <c r="J1870" s="48">
        <f t="shared" si="87"/>
        <v>1</v>
      </c>
      <c r="K1870" s="48">
        <f t="shared" si="88"/>
        <v>0</v>
      </c>
      <c r="L1870" s="68">
        <f t="shared" si="89"/>
        <v>0</v>
      </c>
    </row>
    <row r="1871" spans="2:12" x14ac:dyDescent="0.85">
      <c r="B1871" s="46">
        <v>1865</v>
      </c>
      <c r="C1871" s="10"/>
      <c r="D1871" s="66"/>
      <c r="E1871" s="10"/>
      <c r="F1871" s="226"/>
      <c r="G1871" s="47">
        <v>1</v>
      </c>
      <c r="H1871" s="72"/>
      <c r="I1871" s="10"/>
      <c r="J1871" s="46">
        <f t="shared" si="87"/>
        <v>1</v>
      </c>
      <c r="K1871" s="46">
        <f t="shared" si="88"/>
        <v>0</v>
      </c>
      <c r="L1871" s="69">
        <f t="shared" si="89"/>
        <v>0</v>
      </c>
    </row>
    <row r="1872" spans="2:12" x14ac:dyDescent="0.85">
      <c r="B1872" s="48">
        <v>1866</v>
      </c>
      <c r="C1872" s="44"/>
      <c r="D1872" s="50"/>
      <c r="E1872" s="44"/>
      <c r="F1872" s="227"/>
      <c r="G1872" s="49">
        <v>1</v>
      </c>
      <c r="H1872" s="73"/>
      <c r="I1872" s="44"/>
      <c r="J1872" s="48">
        <f t="shared" si="87"/>
        <v>1</v>
      </c>
      <c r="K1872" s="48">
        <f t="shared" si="88"/>
        <v>0</v>
      </c>
      <c r="L1872" s="68">
        <f t="shared" si="89"/>
        <v>0</v>
      </c>
    </row>
    <row r="1873" spans="2:12" x14ac:dyDescent="0.85">
      <c r="B1873" s="46">
        <v>1867</v>
      </c>
      <c r="C1873" s="10"/>
      <c r="D1873" s="66"/>
      <c r="E1873" s="10"/>
      <c r="F1873" s="226"/>
      <c r="G1873" s="47">
        <v>1</v>
      </c>
      <c r="H1873" s="72"/>
      <c r="I1873" s="10"/>
      <c r="J1873" s="46">
        <f t="shared" si="87"/>
        <v>1</v>
      </c>
      <c r="K1873" s="46">
        <f t="shared" si="88"/>
        <v>0</v>
      </c>
      <c r="L1873" s="69">
        <f t="shared" si="89"/>
        <v>0</v>
      </c>
    </row>
    <row r="1874" spans="2:12" x14ac:dyDescent="0.85">
      <c r="B1874" s="48">
        <v>1868</v>
      </c>
      <c r="C1874" s="44"/>
      <c r="D1874" s="50"/>
      <c r="E1874" s="44"/>
      <c r="F1874" s="227"/>
      <c r="G1874" s="49">
        <v>1</v>
      </c>
      <c r="H1874" s="73"/>
      <c r="I1874" s="44"/>
      <c r="J1874" s="48">
        <f t="shared" si="87"/>
        <v>1</v>
      </c>
      <c r="K1874" s="48">
        <f t="shared" si="88"/>
        <v>0</v>
      </c>
      <c r="L1874" s="68">
        <f t="shared" si="89"/>
        <v>0</v>
      </c>
    </row>
    <row r="1875" spans="2:12" x14ac:dyDescent="0.85">
      <c r="B1875" s="46">
        <v>1869</v>
      </c>
      <c r="C1875" s="10"/>
      <c r="D1875" s="66"/>
      <c r="E1875" s="10"/>
      <c r="F1875" s="226"/>
      <c r="G1875" s="47">
        <v>1</v>
      </c>
      <c r="H1875" s="72"/>
      <c r="I1875" s="10"/>
      <c r="J1875" s="46">
        <f t="shared" si="87"/>
        <v>1</v>
      </c>
      <c r="K1875" s="46">
        <f t="shared" si="88"/>
        <v>0</v>
      </c>
      <c r="L1875" s="69">
        <f t="shared" si="89"/>
        <v>0</v>
      </c>
    </row>
    <row r="1876" spans="2:12" x14ac:dyDescent="0.85">
      <c r="B1876" s="48">
        <v>1870</v>
      </c>
      <c r="C1876" s="44"/>
      <c r="D1876" s="50"/>
      <c r="E1876" s="44"/>
      <c r="F1876" s="227"/>
      <c r="G1876" s="49">
        <v>1</v>
      </c>
      <c r="H1876" s="73"/>
      <c r="I1876" s="44"/>
      <c r="J1876" s="48">
        <f t="shared" si="87"/>
        <v>1</v>
      </c>
      <c r="K1876" s="48">
        <f t="shared" si="88"/>
        <v>0</v>
      </c>
      <c r="L1876" s="68">
        <f t="shared" si="89"/>
        <v>0</v>
      </c>
    </row>
    <row r="1877" spans="2:12" x14ac:dyDescent="0.85">
      <c r="B1877" s="46">
        <v>1871</v>
      </c>
      <c r="C1877" s="10"/>
      <c r="D1877" s="66"/>
      <c r="E1877" s="10"/>
      <c r="F1877" s="226"/>
      <c r="G1877" s="47">
        <v>1</v>
      </c>
      <c r="H1877" s="72"/>
      <c r="I1877" s="10"/>
      <c r="J1877" s="46">
        <f t="shared" si="87"/>
        <v>1</v>
      </c>
      <c r="K1877" s="46">
        <f t="shared" si="88"/>
        <v>0</v>
      </c>
      <c r="L1877" s="69">
        <f t="shared" si="89"/>
        <v>0</v>
      </c>
    </row>
    <row r="1878" spans="2:12" x14ac:dyDescent="0.85">
      <c r="B1878" s="48">
        <v>1872</v>
      </c>
      <c r="C1878" s="44"/>
      <c r="D1878" s="50"/>
      <c r="E1878" s="44"/>
      <c r="F1878" s="227"/>
      <c r="G1878" s="49">
        <v>1</v>
      </c>
      <c r="H1878" s="73"/>
      <c r="I1878" s="44"/>
      <c r="J1878" s="48">
        <f t="shared" si="87"/>
        <v>1</v>
      </c>
      <c r="K1878" s="48">
        <f t="shared" si="88"/>
        <v>0</v>
      </c>
      <c r="L1878" s="68">
        <f t="shared" si="89"/>
        <v>0</v>
      </c>
    </row>
    <row r="1879" spans="2:12" x14ac:dyDescent="0.85">
      <c r="B1879" s="46">
        <v>1873</v>
      </c>
      <c r="C1879" s="10"/>
      <c r="D1879" s="66"/>
      <c r="E1879" s="10"/>
      <c r="F1879" s="226"/>
      <c r="G1879" s="47">
        <v>1</v>
      </c>
      <c r="H1879" s="72"/>
      <c r="I1879" s="10"/>
      <c r="J1879" s="46">
        <f t="shared" si="87"/>
        <v>1</v>
      </c>
      <c r="K1879" s="46">
        <f t="shared" si="88"/>
        <v>0</v>
      </c>
      <c r="L1879" s="69">
        <f t="shared" si="89"/>
        <v>0</v>
      </c>
    </row>
    <row r="1880" spans="2:12" x14ac:dyDescent="0.85">
      <c r="B1880" s="48">
        <v>1874</v>
      </c>
      <c r="C1880" s="44"/>
      <c r="D1880" s="50"/>
      <c r="E1880" s="44"/>
      <c r="F1880" s="227"/>
      <c r="G1880" s="49">
        <v>1</v>
      </c>
      <c r="H1880" s="73"/>
      <c r="I1880" s="44"/>
      <c r="J1880" s="48">
        <f t="shared" si="87"/>
        <v>1</v>
      </c>
      <c r="K1880" s="48">
        <f t="shared" si="88"/>
        <v>0</v>
      </c>
      <c r="L1880" s="68">
        <f t="shared" si="89"/>
        <v>0</v>
      </c>
    </row>
    <row r="1881" spans="2:12" x14ac:dyDescent="0.85">
      <c r="B1881" s="46">
        <v>1875</v>
      </c>
      <c r="C1881" s="10"/>
      <c r="D1881" s="66"/>
      <c r="E1881" s="10"/>
      <c r="F1881" s="226"/>
      <c r="G1881" s="47">
        <v>1</v>
      </c>
      <c r="H1881" s="72"/>
      <c r="I1881" s="10"/>
      <c r="J1881" s="46">
        <f t="shared" si="87"/>
        <v>1</v>
      </c>
      <c r="K1881" s="46">
        <f t="shared" si="88"/>
        <v>0</v>
      </c>
      <c r="L1881" s="69">
        <f t="shared" si="89"/>
        <v>0</v>
      </c>
    </row>
    <row r="1882" spans="2:12" x14ac:dyDescent="0.85">
      <c r="B1882" s="48">
        <v>1876</v>
      </c>
      <c r="C1882" s="44"/>
      <c r="D1882" s="50"/>
      <c r="E1882" s="44"/>
      <c r="F1882" s="227"/>
      <c r="G1882" s="49">
        <v>1</v>
      </c>
      <c r="H1882" s="73"/>
      <c r="I1882" s="44"/>
      <c r="J1882" s="48">
        <f t="shared" si="87"/>
        <v>1</v>
      </c>
      <c r="K1882" s="48">
        <f t="shared" si="88"/>
        <v>0</v>
      </c>
      <c r="L1882" s="68">
        <f t="shared" si="89"/>
        <v>0</v>
      </c>
    </row>
    <row r="1883" spans="2:12" x14ac:dyDescent="0.85">
      <c r="B1883" s="46">
        <v>1877</v>
      </c>
      <c r="C1883" s="10"/>
      <c r="D1883" s="66"/>
      <c r="E1883" s="10"/>
      <c r="F1883" s="226"/>
      <c r="G1883" s="47">
        <v>1</v>
      </c>
      <c r="H1883" s="72"/>
      <c r="I1883" s="10"/>
      <c r="J1883" s="46">
        <f t="shared" si="87"/>
        <v>1</v>
      </c>
      <c r="K1883" s="46">
        <f t="shared" si="88"/>
        <v>0</v>
      </c>
      <c r="L1883" s="69">
        <f t="shared" si="89"/>
        <v>0</v>
      </c>
    </row>
    <row r="1884" spans="2:12" x14ac:dyDescent="0.85">
      <c r="B1884" s="48">
        <v>1878</v>
      </c>
      <c r="C1884" s="44"/>
      <c r="D1884" s="50"/>
      <c r="E1884" s="44"/>
      <c r="F1884" s="227"/>
      <c r="G1884" s="49">
        <v>1</v>
      </c>
      <c r="H1884" s="73"/>
      <c r="I1884" s="44"/>
      <c r="J1884" s="48">
        <f t="shared" si="87"/>
        <v>1</v>
      </c>
      <c r="K1884" s="48">
        <f t="shared" si="88"/>
        <v>0</v>
      </c>
      <c r="L1884" s="68">
        <f t="shared" si="89"/>
        <v>0</v>
      </c>
    </row>
    <row r="1885" spans="2:12" x14ac:dyDescent="0.85">
      <c r="B1885" s="46">
        <v>1879</v>
      </c>
      <c r="C1885" s="10"/>
      <c r="D1885" s="66"/>
      <c r="E1885" s="10"/>
      <c r="F1885" s="226"/>
      <c r="G1885" s="47">
        <v>1</v>
      </c>
      <c r="H1885" s="72"/>
      <c r="I1885" s="10"/>
      <c r="J1885" s="46">
        <f t="shared" si="87"/>
        <v>1</v>
      </c>
      <c r="K1885" s="46">
        <f t="shared" si="88"/>
        <v>0</v>
      </c>
      <c r="L1885" s="69">
        <f t="shared" si="89"/>
        <v>0</v>
      </c>
    </row>
    <row r="1886" spans="2:12" x14ac:dyDescent="0.85">
      <c r="B1886" s="48">
        <v>1880</v>
      </c>
      <c r="C1886" s="44"/>
      <c r="D1886" s="50"/>
      <c r="E1886" s="44"/>
      <c r="F1886" s="227"/>
      <c r="G1886" s="49">
        <v>1</v>
      </c>
      <c r="H1886" s="73"/>
      <c r="I1886" s="44"/>
      <c r="J1886" s="48">
        <f t="shared" si="87"/>
        <v>1</v>
      </c>
      <c r="K1886" s="48">
        <f t="shared" si="88"/>
        <v>0</v>
      </c>
      <c r="L1886" s="68">
        <f t="shared" si="89"/>
        <v>0</v>
      </c>
    </row>
    <row r="1887" spans="2:12" x14ac:dyDescent="0.85">
      <c r="B1887" s="46">
        <v>1881</v>
      </c>
      <c r="C1887" s="10"/>
      <c r="D1887" s="66"/>
      <c r="E1887" s="10"/>
      <c r="F1887" s="226"/>
      <c r="G1887" s="47">
        <v>1</v>
      </c>
      <c r="H1887" s="72"/>
      <c r="I1887" s="10"/>
      <c r="J1887" s="46">
        <f t="shared" si="87"/>
        <v>1</v>
      </c>
      <c r="K1887" s="46">
        <f t="shared" si="88"/>
        <v>0</v>
      </c>
      <c r="L1887" s="69">
        <f t="shared" si="89"/>
        <v>0</v>
      </c>
    </row>
    <row r="1888" spans="2:12" x14ac:dyDescent="0.85">
      <c r="B1888" s="48">
        <v>1882</v>
      </c>
      <c r="C1888" s="44"/>
      <c r="D1888" s="50"/>
      <c r="E1888" s="44"/>
      <c r="F1888" s="227"/>
      <c r="G1888" s="49">
        <v>1</v>
      </c>
      <c r="H1888" s="73"/>
      <c r="I1888" s="44"/>
      <c r="J1888" s="48">
        <f t="shared" si="87"/>
        <v>1</v>
      </c>
      <c r="K1888" s="48">
        <f t="shared" si="88"/>
        <v>0</v>
      </c>
      <c r="L1888" s="68">
        <f t="shared" si="89"/>
        <v>0</v>
      </c>
    </row>
    <row r="1889" spans="2:12" x14ac:dyDescent="0.85">
      <c r="B1889" s="46">
        <v>1883</v>
      </c>
      <c r="C1889" s="10"/>
      <c r="D1889" s="66"/>
      <c r="E1889" s="10"/>
      <c r="F1889" s="226"/>
      <c r="G1889" s="47">
        <v>1</v>
      </c>
      <c r="H1889" s="72"/>
      <c r="I1889" s="10"/>
      <c r="J1889" s="46">
        <f t="shared" si="87"/>
        <v>1</v>
      </c>
      <c r="K1889" s="46">
        <f t="shared" si="88"/>
        <v>0</v>
      </c>
      <c r="L1889" s="69">
        <f t="shared" si="89"/>
        <v>0</v>
      </c>
    </row>
    <row r="1890" spans="2:12" x14ac:dyDescent="0.85">
      <c r="B1890" s="48">
        <v>1884</v>
      </c>
      <c r="C1890" s="44"/>
      <c r="D1890" s="50"/>
      <c r="E1890" s="44"/>
      <c r="F1890" s="227"/>
      <c r="G1890" s="49">
        <v>1</v>
      </c>
      <c r="H1890" s="73"/>
      <c r="I1890" s="44"/>
      <c r="J1890" s="48">
        <f t="shared" si="87"/>
        <v>1</v>
      </c>
      <c r="K1890" s="48">
        <f t="shared" si="88"/>
        <v>0</v>
      </c>
      <c r="L1890" s="68">
        <f t="shared" si="89"/>
        <v>0</v>
      </c>
    </row>
    <row r="1891" spans="2:12" x14ac:dyDescent="0.85">
      <c r="B1891" s="46">
        <v>1885</v>
      </c>
      <c r="C1891" s="10"/>
      <c r="D1891" s="66"/>
      <c r="E1891" s="10"/>
      <c r="F1891" s="226"/>
      <c r="G1891" s="47">
        <v>1</v>
      </c>
      <c r="H1891" s="72"/>
      <c r="I1891" s="10"/>
      <c r="J1891" s="46">
        <f t="shared" si="87"/>
        <v>1</v>
      </c>
      <c r="K1891" s="46">
        <f t="shared" si="88"/>
        <v>0</v>
      </c>
      <c r="L1891" s="69">
        <f t="shared" si="89"/>
        <v>0</v>
      </c>
    </row>
    <row r="1892" spans="2:12" x14ac:dyDescent="0.85">
      <c r="B1892" s="48">
        <v>1886</v>
      </c>
      <c r="C1892" s="44"/>
      <c r="D1892" s="50"/>
      <c r="E1892" s="44"/>
      <c r="F1892" s="227"/>
      <c r="G1892" s="49">
        <v>1</v>
      </c>
      <c r="H1892" s="73"/>
      <c r="I1892" s="44"/>
      <c r="J1892" s="48">
        <f t="shared" si="87"/>
        <v>1</v>
      </c>
      <c r="K1892" s="48">
        <f t="shared" si="88"/>
        <v>0</v>
      </c>
      <c r="L1892" s="68">
        <f t="shared" si="89"/>
        <v>0</v>
      </c>
    </row>
    <row r="1893" spans="2:12" x14ac:dyDescent="0.85">
      <c r="B1893" s="46">
        <v>1887</v>
      </c>
      <c r="C1893" s="10"/>
      <c r="D1893" s="66"/>
      <c r="E1893" s="10"/>
      <c r="F1893" s="226"/>
      <c r="G1893" s="47">
        <v>1</v>
      </c>
      <c r="H1893" s="72"/>
      <c r="I1893" s="10"/>
      <c r="J1893" s="46">
        <f t="shared" si="87"/>
        <v>1</v>
      </c>
      <c r="K1893" s="46">
        <f t="shared" si="88"/>
        <v>0</v>
      </c>
      <c r="L1893" s="69">
        <f t="shared" si="89"/>
        <v>0</v>
      </c>
    </row>
    <row r="1894" spans="2:12" x14ac:dyDescent="0.85">
      <c r="B1894" s="48">
        <v>1888</v>
      </c>
      <c r="C1894" s="44"/>
      <c r="D1894" s="50"/>
      <c r="E1894" s="44"/>
      <c r="F1894" s="227"/>
      <c r="G1894" s="49">
        <v>1</v>
      </c>
      <c r="H1894" s="73"/>
      <c r="I1894" s="44"/>
      <c r="J1894" s="48">
        <f t="shared" si="87"/>
        <v>1</v>
      </c>
      <c r="K1894" s="48">
        <f t="shared" si="88"/>
        <v>0</v>
      </c>
      <c r="L1894" s="68">
        <f t="shared" si="89"/>
        <v>0</v>
      </c>
    </row>
    <row r="1895" spans="2:12" x14ac:dyDescent="0.85">
      <c r="B1895" s="46">
        <v>1889</v>
      </c>
      <c r="C1895" s="10"/>
      <c r="D1895" s="66"/>
      <c r="E1895" s="10"/>
      <c r="F1895" s="226"/>
      <c r="G1895" s="47">
        <v>1</v>
      </c>
      <c r="H1895" s="72"/>
      <c r="I1895" s="10"/>
      <c r="J1895" s="46">
        <f t="shared" si="87"/>
        <v>1</v>
      </c>
      <c r="K1895" s="46">
        <f t="shared" si="88"/>
        <v>0</v>
      </c>
      <c r="L1895" s="69">
        <f t="shared" si="89"/>
        <v>0</v>
      </c>
    </row>
    <row r="1896" spans="2:12" x14ac:dyDescent="0.85">
      <c r="B1896" s="48">
        <v>1890</v>
      </c>
      <c r="C1896" s="44"/>
      <c r="D1896" s="50"/>
      <c r="E1896" s="44"/>
      <c r="F1896" s="227"/>
      <c r="G1896" s="49">
        <v>1</v>
      </c>
      <c r="H1896" s="73"/>
      <c r="I1896" s="44"/>
      <c r="J1896" s="48">
        <f t="shared" si="87"/>
        <v>1</v>
      </c>
      <c r="K1896" s="48">
        <f t="shared" si="88"/>
        <v>0</v>
      </c>
      <c r="L1896" s="68">
        <f t="shared" si="89"/>
        <v>0</v>
      </c>
    </row>
    <row r="1897" spans="2:12" x14ac:dyDescent="0.85">
      <c r="B1897" s="46">
        <v>1891</v>
      </c>
      <c r="C1897" s="10"/>
      <c r="D1897" s="66"/>
      <c r="E1897" s="10"/>
      <c r="F1897" s="226"/>
      <c r="G1897" s="47">
        <v>1</v>
      </c>
      <c r="H1897" s="72"/>
      <c r="I1897" s="10"/>
      <c r="J1897" s="46">
        <f t="shared" si="87"/>
        <v>1</v>
      </c>
      <c r="K1897" s="46">
        <f t="shared" si="88"/>
        <v>0</v>
      </c>
      <c r="L1897" s="69">
        <f t="shared" si="89"/>
        <v>0</v>
      </c>
    </row>
    <row r="1898" spans="2:12" x14ac:dyDescent="0.85">
      <c r="B1898" s="48">
        <v>1892</v>
      </c>
      <c r="C1898" s="44"/>
      <c r="D1898" s="50"/>
      <c r="E1898" s="44"/>
      <c r="F1898" s="227"/>
      <c r="G1898" s="49">
        <v>1</v>
      </c>
      <c r="H1898" s="73"/>
      <c r="I1898" s="44"/>
      <c r="J1898" s="48">
        <f t="shared" si="87"/>
        <v>1</v>
      </c>
      <c r="K1898" s="48">
        <f t="shared" si="88"/>
        <v>0</v>
      </c>
      <c r="L1898" s="68">
        <f t="shared" si="89"/>
        <v>0</v>
      </c>
    </row>
    <row r="1899" spans="2:12" x14ac:dyDescent="0.85">
      <c r="B1899" s="46">
        <v>1893</v>
      </c>
      <c r="C1899" s="10"/>
      <c r="D1899" s="66"/>
      <c r="E1899" s="10"/>
      <c r="F1899" s="226"/>
      <c r="G1899" s="47">
        <v>1</v>
      </c>
      <c r="H1899" s="72"/>
      <c r="I1899" s="10"/>
      <c r="J1899" s="46">
        <f t="shared" si="87"/>
        <v>1</v>
      </c>
      <c r="K1899" s="46">
        <f t="shared" si="88"/>
        <v>0</v>
      </c>
      <c r="L1899" s="69">
        <f t="shared" si="89"/>
        <v>0</v>
      </c>
    </row>
    <row r="1900" spans="2:12" x14ac:dyDescent="0.85">
      <c r="B1900" s="48">
        <v>1894</v>
      </c>
      <c r="C1900" s="44"/>
      <c r="D1900" s="50"/>
      <c r="E1900" s="44"/>
      <c r="F1900" s="227"/>
      <c r="G1900" s="49">
        <v>1</v>
      </c>
      <c r="H1900" s="73"/>
      <c r="I1900" s="44"/>
      <c r="J1900" s="48">
        <f t="shared" si="87"/>
        <v>1</v>
      </c>
      <c r="K1900" s="48">
        <f t="shared" si="88"/>
        <v>0</v>
      </c>
      <c r="L1900" s="68">
        <f t="shared" si="89"/>
        <v>0</v>
      </c>
    </row>
    <row r="1901" spans="2:12" x14ac:dyDescent="0.85">
      <c r="B1901" s="46">
        <v>1895</v>
      </c>
      <c r="C1901" s="10"/>
      <c r="D1901" s="66"/>
      <c r="E1901" s="10"/>
      <c r="F1901" s="226"/>
      <c r="G1901" s="47">
        <v>1</v>
      </c>
      <c r="H1901" s="72"/>
      <c r="I1901" s="10"/>
      <c r="J1901" s="46">
        <f t="shared" si="87"/>
        <v>1</v>
      </c>
      <c r="K1901" s="46">
        <f t="shared" si="88"/>
        <v>0</v>
      </c>
      <c r="L1901" s="69">
        <f t="shared" si="89"/>
        <v>0</v>
      </c>
    </row>
    <row r="1902" spans="2:12" x14ac:dyDescent="0.85">
      <c r="B1902" s="48">
        <v>1896</v>
      </c>
      <c r="C1902" s="44"/>
      <c r="D1902" s="50"/>
      <c r="E1902" s="44"/>
      <c r="F1902" s="227"/>
      <c r="G1902" s="49">
        <v>1</v>
      </c>
      <c r="H1902" s="73"/>
      <c r="I1902" s="44"/>
      <c r="J1902" s="48">
        <f t="shared" si="87"/>
        <v>1</v>
      </c>
      <c r="K1902" s="48">
        <f t="shared" si="88"/>
        <v>0</v>
      </c>
      <c r="L1902" s="68">
        <f t="shared" si="89"/>
        <v>0</v>
      </c>
    </row>
    <row r="1903" spans="2:12" x14ac:dyDescent="0.85">
      <c r="B1903" s="46">
        <v>1897</v>
      </c>
      <c r="C1903" s="10"/>
      <c r="D1903" s="66"/>
      <c r="E1903" s="10"/>
      <c r="F1903" s="226"/>
      <c r="G1903" s="47">
        <v>1</v>
      </c>
      <c r="H1903" s="72"/>
      <c r="I1903" s="10"/>
      <c r="J1903" s="46">
        <f t="shared" si="87"/>
        <v>1</v>
      </c>
      <c r="K1903" s="46">
        <f t="shared" si="88"/>
        <v>0</v>
      </c>
      <c r="L1903" s="69">
        <f t="shared" si="89"/>
        <v>0</v>
      </c>
    </row>
    <row r="1904" spans="2:12" x14ac:dyDescent="0.85">
      <c r="B1904" s="48">
        <v>1898</v>
      </c>
      <c r="C1904" s="44"/>
      <c r="D1904" s="50"/>
      <c r="E1904" s="44"/>
      <c r="F1904" s="227"/>
      <c r="G1904" s="49">
        <v>1</v>
      </c>
      <c r="H1904" s="73"/>
      <c r="I1904" s="44"/>
      <c r="J1904" s="48">
        <f t="shared" si="87"/>
        <v>1</v>
      </c>
      <c r="K1904" s="48">
        <f t="shared" si="88"/>
        <v>0</v>
      </c>
      <c r="L1904" s="68">
        <f t="shared" si="89"/>
        <v>0</v>
      </c>
    </row>
    <row r="1905" spans="2:12" x14ac:dyDescent="0.85">
      <c r="B1905" s="46">
        <v>1899</v>
      </c>
      <c r="C1905" s="10"/>
      <c r="D1905" s="66"/>
      <c r="E1905" s="10"/>
      <c r="F1905" s="226"/>
      <c r="G1905" s="47">
        <v>1</v>
      </c>
      <c r="H1905" s="72"/>
      <c r="I1905" s="10"/>
      <c r="J1905" s="46">
        <f t="shared" si="87"/>
        <v>1</v>
      </c>
      <c r="K1905" s="46">
        <f t="shared" si="88"/>
        <v>0</v>
      </c>
      <c r="L1905" s="69">
        <f t="shared" si="89"/>
        <v>0</v>
      </c>
    </row>
    <row r="1906" spans="2:12" x14ac:dyDescent="0.85">
      <c r="B1906" s="48">
        <v>1900</v>
      </c>
      <c r="C1906" s="44"/>
      <c r="D1906" s="50"/>
      <c r="E1906" s="44"/>
      <c r="F1906" s="227"/>
      <c r="G1906" s="49">
        <v>1</v>
      </c>
      <c r="H1906" s="73"/>
      <c r="I1906" s="44"/>
      <c r="J1906" s="48">
        <f t="shared" si="87"/>
        <v>1</v>
      </c>
      <c r="K1906" s="48">
        <f t="shared" si="88"/>
        <v>0</v>
      </c>
      <c r="L1906" s="68">
        <f t="shared" si="89"/>
        <v>0</v>
      </c>
    </row>
    <row r="1907" spans="2:12" x14ac:dyDescent="0.85">
      <c r="B1907" s="46">
        <v>1901</v>
      </c>
      <c r="C1907" s="10"/>
      <c r="D1907" s="66"/>
      <c r="E1907" s="10"/>
      <c r="F1907" s="226"/>
      <c r="G1907" s="47">
        <v>1</v>
      </c>
      <c r="H1907" s="72"/>
      <c r="I1907" s="10"/>
      <c r="J1907" s="46">
        <f t="shared" si="87"/>
        <v>1</v>
      </c>
      <c r="K1907" s="46">
        <f t="shared" si="88"/>
        <v>0</v>
      </c>
      <c r="L1907" s="69">
        <f t="shared" si="89"/>
        <v>0</v>
      </c>
    </row>
    <row r="1908" spans="2:12" x14ac:dyDescent="0.85">
      <c r="B1908" s="48">
        <v>1902</v>
      </c>
      <c r="C1908" s="44"/>
      <c r="D1908" s="50"/>
      <c r="E1908" s="44"/>
      <c r="F1908" s="227"/>
      <c r="G1908" s="49">
        <v>1</v>
      </c>
      <c r="H1908" s="73"/>
      <c r="I1908" s="44"/>
      <c r="J1908" s="48">
        <f t="shared" si="87"/>
        <v>1</v>
      </c>
      <c r="K1908" s="48">
        <f t="shared" si="88"/>
        <v>0</v>
      </c>
      <c r="L1908" s="68">
        <f t="shared" si="89"/>
        <v>0</v>
      </c>
    </row>
    <row r="1909" spans="2:12" x14ac:dyDescent="0.85">
      <c r="B1909" s="46">
        <v>1903</v>
      </c>
      <c r="C1909" s="10"/>
      <c r="D1909" s="66"/>
      <c r="E1909" s="10"/>
      <c r="F1909" s="226"/>
      <c r="G1909" s="47">
        <v>1</v>
      </c>
      <c r="H1909" s="72"/>
      <c r="I1909" s="10"/>
      <c r="J1909" s="46">
        <f t="shared" si="87"/>
        <v>1</v>
      </c>
      <c r="K1909" s="46">
        <f t="shared" si="88"/>
        <v>0</v>
      </c>
      <c r="L1909" s="69">
        <f t="shared" si="89"/>
        <v>0</v>
      </c>
    </row>
    <row r="1910" spans="2:12" x14ac:dyDescent="0.85">
      <c r="B1910" s="48">
        <v>1904</v>
      </c>
      <c r="C1910" s="44"/>
      <c r="D1910" s="50"/>
      <c r="E1910" s="44"/>
      <c r="F1910" s="227"/>
      <c r="G1910" s="49">
        <v>1</v>
      </c>
      <c r="H1910" s="73"/>
      <c r="I1910" s="44"/>
      <c r="J1910" s="48">
        <f t="shared" si="87"/>
        <v>1</v>
      </c>
      <c r="K1910" s="48">
        <f t="shared" si="88"/>
        <v>0</v>
      </c>
      <c r="L1910" s="68">
        <f t="shared" si="89"/>
        <v>0</v>
      </c>
    </row>
    <row r="1911" spans="2:12" x14ac:dyDescent="0.85">
      <c r="B1911" s="46">
        <v>1905</v>
      </c>
      <c r="C1911" s="10"/>
      <c r="D1911" s="66"/>
      <c r="E1911" s="10"/>
      <c r="F1911" s="226"/>
      <c r="G1911" s="47">
        <v>1</v>
      </c>
      <c r="H1911" s="72"/>
      <c r="I1911" s="10"/>
      <c r="J1911" s="46">
        <f t="shared" si="87"/>
        <v>1</v>
      </c>
      <c r="K1911" s="46">
        <f t="shared" si="88"/>
        <v>0</v>
      </c>
      <c r="L1911" s="69">
        <f t="shared" si="89"/>
        <v>0</v>
      </c>
    </row>
    <row r="1912" spans="2:12" x14ac:dyDescent="0.85">
      <c r="B1912" s="48">
        <v>1906</v>
      </c>
      <c r="C1912" s="44"/>
      <c r="D1912" s="50"/>
      <c r="E1912" s="44"/>
      <c r="F1912" s="227"/>
      <c r="G1912" s="49">
        <v>1</v>
      </c>
      <c r="H1912" s="73"/>
      <c r="I1912" s="44"/>
      <c r="J1912" s="48">
        <f t="shared" si="87"/>
        <v>1</v>
      </c>
      <c r="K1912" s="48">
        <f t="shared" si="88"/>
        <v>0</v>
      </c>
      <c r="L1912" s="68">
        <f t="shared" si="89"/>
        <v>0</v>
      </c>
    </row>
    <row r="1913" spans="2:12" x14ac:dyDescent="0.85">
      <c r="B1913" s="46">
        <v>1907</v>
      </c>
      <c r="C1913" s="10"/>
      <c r="D1913" s="66"/>
      <c r="E1913" s="10"/>
      <c r="F1913" s="226"/>
      <c r="G1913" s="47">
        <v>1</v>
      </c>
      <c r="H1913" s="72"/>
      <c r="I1913" s="10"/>
      <c r="J1913" s="46">
        <f t="shared" si="87"/>
        <v>1</v>
      </c>
      <c r="K1913" s="46">
        <f t="shared" si="88"/>
        <v>0</v>
      </c>
      <c r="L1913" s="69">
        <f t="shared" si="89"/>
        <v>0</v>
      </c>
    </row>
    <row r="1914" spans="2:12" x14ac:dyDescent="0.85">
      <c r="B1914" s="48">
        <v>1908</v>
      </c>
      <c r="C1914" s="44"/>
      <c r="D1914" s="50"/>
      <c r="E1914" s="44"/>
      <c r="F1914" s="227"/>
      <c r="G1914" s="49">
        <v>1</v>
      </c>
      <c r="H1914" s="73"/>
      <c r="I1914" s="44"/>
      <c r="J1914" s="48">
        <f t="shared" si="87"/>
        <v>1</v>
      </c>
      <c r="K1914" s="48">
        <f t="shared" si="88"/>
        <v>0</v>
      </c>
      <c r="L1914" s="68">
        <f t="shared" si="89"/>
        <v>0</v>
      </c>
    </row>
    <row r="1915" spans="2:12" x14ac:dyDescent="0.85">
      <c r="B1915" s="46">
        <v>1909</v>
      </c>
      <c r="C1915" s="10"/>
      <c r="D1915" s="66"/>
      <c r="E1915" s="10"/>
      <c r="F1915" s="226"/>
      <c r="G1915" s="47">
        <v>1</v>
      </c>
      <c r="H1915" s="72"/>
      <c r="I1915" s="10"/>
      <c r="J1915" s="46">
        <f t="shared" si="87"/>
        <v>1</v>
      </c>
      <c r="K1915" s="46">
        <f t="shared" si="88"/>
        <v>0</v>
      </c>
      <c r="L1915" s="69">
        <f t="shared" si="89"/>
        <v>0</v>
      </c>
    </row>
    <row r="1916" spans="2:12" x14ac:dyDescent="0.85">
      <c r="B1916" s="48">
        <v>1910</v>
      </c>
      <c r="C1916" s="44"/>
      <c r="D1916" s="50"/>
      <c r="E1916" s="44"/>
      <c r="F1916" s="227"/>
      <c r="G1916" s="49">
        <v>1</v>
      </c>
      <c r="H1916" s="73"/>
      <c r="I1916" s="44"/>
      <c r="J1916" s="48">
        <f t="shared" si="87"/>
        <v>1</v>
      </c>
      <c r="K1916" s="48">
        <f t="shared" si="88"/>
        <v>0</v>
      </c>
      <c r="L1916" s="68">
        <f t="shared" si="89"/>
        <v>0</v>
      </c>
    </row>
    <row r="1917" spans="2:12" x14ac:dyDescent="0.85">
      <c r="B1917" s="46">
        <v>1911</v>
      </c>
      <c r="C1917" s="10"/>
      <c r="D1917" s="66"/>
      <c r="E1917" s="10"/>
      <c r="F1917" s="226"/>
      <c r="G1917" s="47">
        <v>1</v>
      </c>
      <c r="H1917" s="72"/>
      <c r="I1917" s="10"/>
      <c r="J1917" s="46">
        <f t="shared" si="87"/>
        <v>1</v>
      </c>
      <c r="K1917" s="46">
        <f t="shared" si="88"/>
        <v>0</v>
      </c>
      <c r="L1917" s="69">
        <f t="shared" si="89"/>
        <v>0</v>
      </c>
    </row>
    <row r="1918" spans="2:12" x14ac:dyDescent="0.85">
      <c r="B1918" s="48">
        <v>1912</v>
      </c>
      <c r="C1918" s="44"/>
      <c r="D1918" s="50"/>
      <c r="E1918" s="44"/>
      <c r="F1918" s="227"/>
      <c r="G1918" s="49">
        <v>1</v>
      </c>
      <c r="H1918" s="73"/>
      <c r="I1918" s="44"/>
      <c r="J1918" s="48">
        <f t="shared" si="87"/>
        <v>1</v>
      </c>
      <c r="K1918" s="48">
        <f t="shared" si="88"/>
        <v>0</v>
      </c>
      <c r="L1918" s="68">
        <f t="shared" si="89"/>
        <v>0</v>
      </c>
    </row>
    <row r="1919" spans="2:12" x14ac:dyDescent="0.85">
      <c r="B1919" s="46">
        <v>1913</v>
      </c>
      <c r="C1919" s="10"/>
      <c r="D1919" s="66"/>
      <c r="E1919" s="10"/>
      <c r="F1919" s="226"/>
      <c r="G1919" s="47">
        <v>1</v>
      </c>
      <c r="H1919" s="72"/>
      <c r="I1919" s="10"/>
      <c r="J1919" s="46">
        <f t="shared" si="87"/>
        <v>1</v>
      </c>
      <c r="K1919" s="46">
        <f t="shared" si="88"/>
        <v>0</v>
      </c>
      <c r="L1919" s="69">
        <f t="shared" si="89"/>
        <v>0</v>
      </c>
    </row>
    <row r="1920" spans="2:12" x14ac:dyDescent="0.85">
      <c r="B1920" s="48">
        <v>1914</v>
      </c>
      <c r="C1920" s="44"/>
      <c r="D1920" s="50"/>
      <c r="E1920" s="44"/>
      <c r="F1920" s="227"/>
      <c r="G1920" s="49">
        <v>1</v>
      </c>
      <c r="H1920" s="73"/>
      <c r="I1920" s="44"/>
      <c r="J1920" s="48">
        <f t="shared" si="87"/>
        <v>1</v>
      </c>
      <c r="K1920" s="48">
        <f t="shared" si="88"/>
        <v>0</v>
      </c>
      <c r="L1920" s="68">
        <f t="shared" si="89"/>
        <v>0</v>
      </c>
    </row>
    <row r="1921" spans="2:12" x14ac:dyDescent="0.85">
      <c r="B1921" s="46">
        <v>1915</v>
      </c>
      <c r="C1921" s="10"/>
      <c r="D1921" s="66"/>
      <c r="E1921" s="10"/>
      <c r="F1921" s="226"/>
      <c r="G1921" s="47">
        <v>1</v>
      </c>
      <c r="H1921" s="72"/>
      <c r="I1921" s="10"/>
      <c r="J1921" s="46">
        <f t="shared" si="87"/>
        <v>1</v>
      </c>
      <c r="K1921" s="46">
        <f t="shared" si="88"/>
        <v>0</v>
      </c>
      <c r="L1921" s="69">
        <f t="shared" si="89"/>
        <v>0</v>
      </c>
    </row>
    <row r="1922" spans="2:12" x14ac:dyDescent="0.85">
      <c r="B1922" s="48">
        <v>1916</v>
      </c>
      <c r="C1922" s="44"/>
      <c r="D1922" s="50"/>
      <c r="E1922" s="44"/>
      <c r="F1922" s="227"/>
      <c r="G1922" s="49">
        <v>1</v>
      </c>
      <c r="H1922" s="73"/>
      <c r="I1922" s="44"/>
      <c r="J1922" s="48">
        <f t="shared" si="87"/>
        <v>1</v>
      </c>
      <c r="K1922" s="48">
        <f t="shared" si="88"/>
        <v>0</v>
      </c>
      <c r="L1922" s="68">
        <f t="shared" si="89"/>
        <v>0</v>
      </c>
    </row>
    <row r="1923" spans="2:12" x14ac:dyDescent="0.85">
      <c r="B1923" s="46">
        <v>1917</v>
      </c>
      <c r="C1923" s="10"/>
      <c r="D1923" s="66"/>
      <c r="E1923" s="10"/>
      <c r="F1923" s="226"/>
      <c r="G1923" s="47">
        <v>1</v>
      </c>
      <c r="H1923" s="72"/>
      <c r="I1923" s="10"/>
      <c r="J1923" s="46">
        <f t="shared" si="87"/>
        <v>1</v>
      </c>
      <c r="K1923" s="46">
        <f t="shared" si="88"/>
        <v>0</v>
      </c>
      <c r="L1923" s="69">
        <f t="shared" si="89"/>
        <v>0</v>
      </c>
    </row>
    <row r="1924" spans="2:12" x14ac:dyDescent="0.85">
      <c r="B1924" s="48">
        <v>1918</v>
      </c>
      <c r="C1924" s="44"/>
      <c r="D1924" s="50"/>
      <c r="E1924" s="44"/>
      <c r="F1924" s="227"/>
      <c r="G1924" s="49">
        <v>1</v>
      </c>
      <c r="H1924" s="73"/>
      <c r="I1924" s="44"/>
      <c r="J1924" s="48">
        <f t="shared" si="87"/>
        <v>1</v>
      </c>
      <c r="K1924" s="48">
        <f t="shared" si="88"/>
        <v>0</v>
      </c>
      <c r="L1924" s="68">
        <f t="shared" si="89"/>
        <v>0</v>
      </c>
    </row>
    <row r="1925" spans="2:12" x14ac:dyDescent="0.85">
      <c r="B1925" s="46">
        <v>1919</v>
      </c>
      <c r="C1925" s="10"/>
      <c r="D1925" s="66"/>
      <c r="E1925" s="10"/>
      <c r="F1925" s="226"/>
      <c r="G1925" s="47">
        <v>1</v>
      </c>
      <c r="H1925" s="72"/>
      <c r="I1925" s="10"/>
      <c r="J1925" s="46">
        <f t="shared" si="87"/>
        <v>1</v>
      </c>
      <c r="K1925" s="46">
        <f t="shared" si="88"/>
        <v>0</v>
      </c>
      <c r="L1925" s="69">
        <f t="shared" si="89"/>
        <v>0</v>
      </c>
    </row>
    <row r="1926" spans="2:12" x14ac:dyDescent="0.85">
      <c r="B1926" s="48">
        <v>1920</v>
      </c>
      <c r="C1926" s="44"/>
      <c r="D1926" s="50"/>
      <c r="E1926" s="44"/>
      <c r="F1926" s="227"/>
      <c r="G1926" s="49">
        <v>1</v>
      </c>
      <c r="H1926" s="73"/>
      <c r="I1926" s="44"/>
      <c r="J1926" s="48">
        <f t="shared" si="87"/>
        <v>1</v>
      </c>
      <c r="K1926" s="48">
        <f t="shared" si="88"/>
        <v>0</v>
      </c>
      <c r="L1926" s="68">
        <f t="shared" si="89"/>
        <v>0</v>
      </c>
    </row>
    <row r="1927" spans="2:12" x14ac:dyDescent="0.85">
      <c r="B1927" s="46">
        <v>1921</v>
      </c>
      <c r="C1927" s="10"/>
      <c r="D1927" s="66"/>
      <c r="E1927" s="10"/>
      <c r="F1927" s="226"/>
      <c r="G1927" s="47">
        <v>1</v>
      </c>
      <c r="H1927" s="72"/>
      <c r="I1927" s="10"/>
      <c r="J1927" s="46">
        <f t="shared" ref="J1927:J1990" si="90">IF(ISBLANK(H1927),1,H1927)</f>
        <v>1</v>
      </c>
      <c r="K1927" s="46">
        <f t="shared" ref="K1927:K1990" si="91">IF(COUNTIF(FreeElements, E1927)&gt;0, F1927, 0)</f>
        <v>0</v>
      </c>
      <c r="L1927" s="69">
        <f t="shared" ref="L1927:L1990" si="92">J1927*K1927</f>
        <v>0</v>
      </c>
    </row>
    <row r="1928" spans="2:12" x14ac:dyDescent="0.85">
      <c r="B1928" s="48">
        <v>1922</v>
      </c>
      <c r="C1928" s="44"/>
      <c r="D1928" s="50"/>
      <c r="E1928" s="44"/>
      <c r="F1928" s="227"/>
      <c r="G1928" s="49">
        <v>1</v>
      </c>
      <c r="H1928" s="73"/>
      <c r="I1928" s="44"/>
      <c r="J1928" s="48">
        <f t="shared" si="90"/>
        <v>1</v>
      </c>
      <c r="K1928" s="48">
        <f t="shared" si="91"/>
        <v>0</v>
      </c>
      <c r="L1928" s="68">
        <f t="shared" si="92"/>
        <v>0</v>
      </c>
    </row>
    <row r="1929" spans="2:12" x14ac:dyDescent="0.85">
      <c r="B1929" s="46">
        <v>1923</v>
      </c>
      <c r="C1929" s="10"/>
      <c r="D1929" s="66"/>
      <c r="E1929" s="10"/>
      <c r="F1929" s="226"/>
      <c r="G1929" s="47">
        <v>1</v>
      </c>
      <c r="H1929" s="72"/>
      <c r="I1929" s="10"/>
      <c r="J1929" s="46">
        <f t="shared" si="90"/>
        <v>1</v>
      </c>
      <c r="K1929" s="46">
        <f t="shared" si="91"/>
        <v>0</v>
      </c>
      <c r="L1929" s="69">
        <f t="shared" si="92"/>
        <v>0</v>
      </c>
    </row>
    <row r="1930" spans="2:12" x14ac:dyDescent="0.85">
      <c r="B1930" s="48">
        <v>1924</v>
      </c>
      <c r="C1930" s="44"/>
      <c r="D1930" s="50"/>
      <c r="E1930" s="44"/>
      <c r="F1930" s="227"/>
      <c r="G1930" s="49">
        <v>1</v>
      </c>
      <c r="H1930" s="73"/>
      <c r="I1930" s="44"/>
      <c r="J1930" s="48">
        <f t="shared" si="90"/>
        <v>1</v>
      </c>
      <c r="K1930" s="48">
        <f t="shared" si="91"/>
        <v>0</v>
      </c>
      <c r="L1930" s="68">
        <f t="shared" si="92"/>
        <v>0</v>
      </c>
    </row>
    <row r="1931" spans="2:12" x14ac:dyDescent="0.85">
      <c r="B1931" s="46">
        <v>1925</v>
      </c>
      <c r="C1931" s="10"/>
      <c r="D1931" s="66"/>
      <c r="E1931" s="10"/>
      <c r="F1931" s="226"/>
      <c r="G1931" s="47">
        <v>1</v>
      </c>
      <c r="H1931" s="72"/>
      <c r="I1931" s="10"/>
      <c r="J1931" s="46">
        <f t="shared" si="90"/>
        <v>1</v>
      </c>
      <c r="K1931" s="46">
        <f t="shared" si="91"/>
        <v>0</v>
      </c>
      <c r="L1931" s="69">
        <f t="shared" si="92"/>
        <v>0</v>
      </c>
    </row>
    <row r="1932" spans="2:12" x14ac:dyDescent="0.85">
      <c r="B1932" s="48">
        <v>1926</v>
      </c>
      <c r="C1932" s="44"/>
      <c r="D1932" s="50"/>
      <c r="E1932" s="44"/>
      <c r="F1932" s="227"/>
      <c r="G1932" s="49">
        <v>1</v>
      </c>
      <c r="H1932" s="73"/>
      <c r="I1932" s="44"/>
      <c r="J1932" s="48">
        <f t="shared" si="90"/>
        <v>1</v>
      </c>
      <c r="K1932" s="48">
        <f t="shared" si="91"/>
        <v>0</v>
      </c>
      <c r="L1932" s="68">
        <f t="shared" si="92"/>
        <v>0</v>
      </c>
    </row>
    <row r="1933" spans="2:12" x14ac:dyDescent="0.85">
      <c r="B1933" s="46">
        <v>1927</v>
      </c>
      <c r="C1933" s="10"/>
      <c r="D1933" s="66"/>
      <c r="E1933" s="10"/>
      <c r="F1933" s="226"/>
      <c r="G1933" s="47">
        <v>1</v>
      </c>
      <c r="H1933" s="72"/>
      <c r="I1933" s="10"/>
      <c r="J1933" s="46">
        <f t="shared" si="90"/>
        <v>1</v>
      </c>
      <c r="K1933" s="46">
        <f t="shared" si="91"/>
        <v>0</v>
      </c>
      <c r="L1933" s="69">
        <f t="shared" si="92"/>
        <v>0</v>
      </c>
    </row>
    <row r="1934" spans="2:12" x14ac:dyDescent="0.85">
      <c r="B1934" s="48">
        <v>1928</v>
      </c>
      <c r="C1934" s="44"/>
      <c r="D1934" s="50"/>
      <c r="E1934" s="44"/>
      <c r="F1934" s="227"/>
      <c r="G1934" s="49">
        <v>1</v>
      </c>
      <c r="H1934" s="73"/>
      <c r="I1934" s="44"/>
      <c r="J1934" s="48">
        <f t="shared" si="90"/>
        <v>1</v>
      </c>
      <c r="K1934" s="48">
        <f t="shared" si="91"/>
        <v>0</v>
      </c>
      <c r="L1934" s="68">
        <f t="shared" si="92"/>
        <v>0</v>
      </c>
    </row>
    <row r="1935" spans="2:12" x14ac:dyDescent="0.85">
      <c r="B1935" s="46">
        <v>1929</v>
      </c>
      <c r="C1935" s="10"/>
      <c r="D1935" s="66"/>
      <c r="E1935" s="10"/>
      <c r="F1935" s="226"/>
      <c r="G1935" s="47">
        <v>1</v>
      </c>
      <c r="H1935" s="72"/>
      <c r="I1935" s="10"/>
      <c r="J1935" s="46">
        <f t="shared" si="90"/>
        <v>1</v>
      </c>
      <c r="K1935" s="46">
        <f t="shared" si="91"/>
        <v>0</v>
      </c>
      <c r="L1935" s="69">
        <f t="shared" si="92"/>
        <v>0</v>
      </c>
    </row>
    <row r="1936" spans="2:12" x14ac:dyDescent="0.85">
      <c r="B1936" s="48">
        <v>1930</v>
      </c>
      <c r="C1936" s="44"/>
      <c r="D1936" s="50"/>
      <c r="E1936" s="44"/>
      <c r="F1936" s="227"/>
      <c r="G1936" s="49">
        <v>1</v>
      </c>
      <c r="H1936" s="73"/>
      <c r="I1936" s="44"/>
      <c r="J1936" s="48">
        <f t="shared" si="90"/>
        <v>1</v>
      </c>
      <c r="K1936" s="48">
        <f t="shared" si="91"/>
        <v>0</v>
      </c>
      <c r="L1936" s="68">
        <f t="shared" si="92"/>
        <v>0</v>
      </c>
    </row>
    <row r="1937" spans="2:12" x14ac:dyDescent="0.85">
      <c r="B1937" s="46">
        <v>1931</v>
      </c>
      <c r="C1937" s="10"/>
      <c r="D1937" s="66"/>
      <c r="E1937" s="10"/>
      <c r="F1937" s="226"/>
      <c r="G1937" s="47">
        <v>1</v>
      </c>
      <c r="H1937" s="72"/>
      <c r="I1937" s="10"/>
      <c r="J1937" s="46">
        <f t="shared" si="90"/>
        <v>1</v>
      </c>
      <c r="K1937" s="46">
        <f t="shared" si="91"/>
        <v>0</v>
      </c>
      <c r="L1937" s="69">
        <f t="shared" si="92"/>
        <v>0</v>
      </c>
    </row>
    <row r="1938" spans="2:12" x14ac:dyDescent="0.85">
      <c r="B1938" s="48">
        <v>1932</v>
      </c>
      <c r="C1938" s="44"/>
      <c r="D1938" s="50"/>
      <c r="E1938" s="44"/>
      <c r="F1938" s="227"/>
      <c r="G1938" s="49">
        <v>1</v>
      </c>
      <c r="H1938" s="73"/>
      <c r="I1938" s="44"/>
      <c r="J1938" s="48">
        <f t="shared" si="90"/>
        <v>1</v>
      </c>
      <c r="K1938" s="48">
        <f t="shared" si="91"/>
        <v>0</v>
      </c>
      <c r="L1938" s="68">
        <f t="shared" si="92"/>
        <v>0</v>
      </c>
    </row>
    <row r="1939" spans="2:12" x14ac:dyDescent="0.85">
      <c r="B1939" s="46">
        <v>1933</v>
      </c>
      <c r="C1939" s="10"/>
      <c r="D1939" s="66"/>
      <c r="E1939" s="10"/>
      <c r="F1939" s="226"/>
      <c r="G1939" s="47">
        <v>1</v>
      </c>
      <c r="H1939" s="72"/>
      <c r="I1939" s="10"/>
      <c r="J1939" s="46">
        <f t="shared" si="90"/>
        <v>1</v>
      </c>
      <c r="K1939" s="46">
        <f t="shared" si="91"/>
        <v>0</v>
      </c>
      <c r="L1939" s="69">
        <f t="shared" si="92"/>
        <v>0</v>
      </c>
    </row>
    <row r="1940" spans="2:12" x14ac:dyDescent="0.85">
      <c r="B1940" s="48">
        <v>1934</v>
      </c>
      <c r="C1940" s="44"/>
      <c r="D1940" s="50"/>
      <c r="E1940" s="44"/>
      <c r="F1940" s="227"/>
      <c r="G1940" s="49">
        <v>1</v>
      </c>
      <c r="H1940" s="73"/>
      <c r="I1940" s="44"/>
      <c r="J1940" s="48">
        <f t="shared" si="90"/>
        <v>1</v>
      </c>
      <c r="K1940" s="48">
        <f t="shared" si="91"/>
        <v>0</v>
      </c>
      <c r="L1940" s="68">
        <f t="shared" si="92"/>
        <v>0</v>
      </c>
    </row>
    <row r="1941" spans="2:12" x14ac:dyDescent="0.85">
      <c r="B1941" s="46">
        <v>1935</v>
      </c>
      <c r="C1941" s="10"/>
      <c r="D1941" s="66"/>
      <c r="E1941" s="10"/>
      <c r="F1941" s="226"/>
      <c r="G1941" s="47">
        <v>1</v>
      </c>
      <c r="H1941" s="72"/>
      <c r="I1941" s="10"/>
      <c r="J1941" s="46">
        <f t="shared" si="90"/>
        <v>1</v>
      </c>
      <c r="K1941" s="46">
        <f t="shared" si="91"/>
        <v>0</v>
      </c>
      <c r="L1941" s="69">
        <f t="shared" si="92"/>
        <v>0</v>
      </c>
    </row>
    <row r="1942" spans="2:12" x14ac:dyDescent="0.85">
      <c r="B1942" s="48">
        <v>1936</v>
      </c>
      <c r="C1942" s="44"/>
      <c r="D1942" s="50"/>
      <c r="E1942" s="44"/>
      <c r="F1942" s="227"/>
      <c r="G1942" s="49">
        <v>1</v>
      </c>
      <c r="H1942" s="73"/>
      <c r="I1942" s="44"/>
      <c r="J1942" s="48">
        <f t="shared" si="90"/>
        <v>1</v>
      </c>
      <c r="K1942" s="48">
        <f t="shared" si="91"/>
        <v>0</v>
      </c>
      <c r="L1942" s="68">
        <f t="shared" si="92"/>
        <v>0</v>
      </c>
    </row>
    <row r="1943" spans="2:12" x14ac:dyDescent="0.85">
      <c r="B1943" s="46">
        <v>1937</v>
      </c>
      <c r="C1943" s="10"/>
      <c r="D1943" s="66"/>
      <c r="E1943" s="10"/>
      <c r="F1943" s="226"/>
      <c r="G1943" s="47">
        <v>1</v>
      </c>
      <c r="H1943" s="72"/>
      <c r="I1943" s="10"/>
      <c r="J1943" s="46">
        <f t="shared" si="90"/>
        <v>1</v>
      </c>
      <c r="K1943" s="46">
        <f t="shared" si="91"/>
        <v>0</v>
      </c>
      <c r="L1943" s="69">
        <f t="shared" si="92"/>
        <v>0</v>
      </c>
    </row>
    <row r="1944" spans="2:12" x14ac:dyDescent="0.85">
      <c r="B1944" s="48">
        <v>1938</v>
      </c>
      <c r="C1944" s="44"/>
      <c r="D1944" s="50"/>
      <c r="E1944" s="44"/>
      <c r="F1944" s="227"/>
      <c r="G1944" s="49">
        <v>1</v>
      </c>
      <c r="H1944" s="73"/>
      <c r="I1944" s="44"/>
      <c r="J1944" s="48">
        <f t="shared" si="90"/>
        <v>1</v>
      </c>
      <c r="K1944" s="48">
        <f t="shared" si="91"/>
        <v>0</v>
      </c>
      <c r="L1944" s="68">
        <f t="shared" si="92"/>
        <v>0</v>
      </c>
    </row>
    <row r="1945" spans="2:12" x14ac:dyDescent="0.85">
      <c r="B1945" s="46">
        <v>1939</v>
      </c>
      <c r="C1945" s="10"/>
      <c r="D1945" s="66"/>
      <c r="E1945" s="10"/>
      <c r="F1945" s="226"/>
      <c r="G1945" s="47">
        <v>1</v>
      </c>
      <c r="H1945" s="72"/>
      <c r="I1945" s="10"/>
      <c r="J1945" s="46">
        <f t="shared" si="90"/>
        <v>1</v>
      </c>
      <c r="K1945" s="46">
        <f t="shared" si="91"/>
        <v>0</v>
      </c>
      <c r="L1945" s="69">
        <f t="shared" si="92"/>
        <v>0</v>
      </c>
    </row>
    <row r="1946" spans="2:12" x14ac:dyDescent="0.85">
      <c r="B1946" s="48">
        <v>1940</v>
      </c>
      <c r="C1946" s="44"/>
      <c r="D1946" s="50"/>
      <c r="E1946" s="44"/>
      <c r="F1946" s="227"/>
      <c r="G1946" s="49">
        <v>1</v>
      </c>
      <c r="H1946" s="73"/>
      <c r="I1946" s="44"/>
      <c r="J1946" s="48">
        <f t="shared" si="90"/>
        <v>1</v>
      </c>
      <c r="K1946" s="48">
        <f t="shared" si="91"/>
        <v>0</v>
      </c>
      <c r="L1946" s="68">
        <f t="shared" si="92"/>
        <v>0</v>
      </c>
    </row>
    <row r="1947" spans="2:12" x14ac:dyDescent="0.85">
      <c r="B1947" s="46">
        <v>1941</v>
      </c>
      <c r="C1947" s="10"/>
      <c r="D1947" s="66"/>
      <c r="E1947" s="10"/>
      <c r="F1947" s="226"/>
      <c r="G1947" s="47">
        <v>1</v>
      </c>
      <c r="H1947" s="72"/>
      <c r="I1947" s="10"/>
      <c r="J1947" s="46">
        <f t="shared" si="90"/>
        <v>1</v>
      </c>
      <c r="K1947" s="46">
        <f t="shared" si="91"/>
        <v>0</v>
      </c>
      <c r="L1947" s="69">
        <f t="shared" si="92"/>
        <v>0</v>
      </c>
    </row>
    <row r="1948" spans="2:12" x14ac:dyDescent="0.85">
      <c r="B1948" s="48">
        <v>1942</v>
      </c>
      <c r="C1948" s="44"/>
      <c r="D1948" s="50"/>
      <c r="E1948" s="44"/>
      <c r="F1948" s="227"/>
      <c r="G1948" s="49">
        <v>1</v>
      </c>
      <c r="H1948" s="73"/>
      <c r="I1948" s="44"/>
      <c r="J1948" s="48">
        <f t="shared" si="90"/>
        <v>1</v>
      </c>
      <c r="K1948" s="48">
        <f t="shared" si="91"/>
        <v>0</v>
      </c>
      <c r="L1948" s="68">
        <f t="shared" si="92"/>
        <v>0</v>
      </c>
    </row>
    <row r="1949" spans="2:12" x14ac:dyDescent="0.85">
      <c r="B1949" s="46">
        <v>1943</v>
      </c>
      <c r="C1949" s="10"/>
      <c r="D1949" s="66"/>
      <c r="E1949" s="10"/>
      <c r="F1949" s="226"/>
      <c r="G1949" s="47">
        <v>1</v>
      </c>
      <c r="H1949" s="72"/>
      <c r="I1949" s="10"/>
      <c r="J1949" s="46">
        <f t="shared" si="90"/>
        <v>1</v>
      </c>
      <c r="K1949" s="46">
        <f t="shared" si="91"/>
        <v>0</v>
      </c>
      <c r="L1949" s="69">
        <f t="shared" si="92"/>
        <v>0</v>
      </c>
    </row>
    <row r="1950" spans="2:12" x14ac:dyDescent="0.85">
      <c r="B1950" s="48">
        <v>1944</v>
      </c>
      <c r="C1950" s="44"/>
      <c r="D1950" s="50"/>
      <c r="E1950" s="44"/>
      <c r="F1950" s="227"/>
      <c r="G1950" s="49">
        <v>1</v>
      </c>
      <c r="H1950" s="73"/>
      <c r="I1950" s="44"/>
      <c r="J1950" s="48">
        <f t="shared" si="90"/>
        <v>1</v>
      </c>
      <c r="K1950" s="48">
        <f t="shared" si="91"/>
        <v>0</v>
      </c>
      <c r="L1950" s="68">
        <f t="shared" si="92"/>
        <v>0</v>
      </c>
    </row>
    <row r="1951" spans="2:12" x14ac:dyDescent="0.85">
      <c r="B1951" s="46">
        <v>1945</v>
      </c>
      <c r="C1951" s="10"/>
      <c r="D1951" s="66"/>
      <c r="E1951" s="10"/>
      <c r="F1951" s="226"/>
      <c r="G1951" s="47">
        <v>1</v>
      </c>
      <c r="H1951" s="72"/>
      <c r="I1951" s="10"/>
      <c r="J1951" s="46">
        <f t="shared" si="90"/>
        <v>1</v>
      </c>
      <c r="K1951" s="46">
        <f t="shared" si="91"/>
        <v>0</v>
      </c>
      <c r="L1951" s="69">
        <f t="shared" si="92"/>
        <v>0</v>
      </c>
    </row>
    <row r="1952" spans="2:12" x14ac:dyDescent="0.85">
      <c r="B1952" s="48">
        <v>1946</v>
      </c>
      <c r="C1952" s="44"/>
      <c r="D1952" s="50"/>
      <c r="E1952" s="44"/>
      <c r="F1952" s="227"/>
      <c r="G1952" s="49">
        <v>1</v>
      </c>
      <c r="H1952" s="73"/>
      <c r="I1952" s="44"/>
      <c r="J1952" s="48">
        <f t="shared" si="90"/>
        <v>1</v>
      </c>
      <c r="K1952" s="48">
        <f t="shared" si="91"/>
        <v>0</v>
      </c>
      <c r="L1952" s="68">
        <f t="shared" si="92"/>
        <v>0</v>
      </c>
    </row>
    <row r="1953" spans="2:12" x14ac:dyDescent="0.85">
      <c r="B1953" s="46">
        <v>1947</v>
      </c>
      <c r="C1953" s="10"/>
      <c r="D1953" s="66"/>
      <c r="E1953" s="10"/>
      <c r="F1953" s="226"/>
      <c r="G1953" s="47">
        <v>1</v>
      </c>
      <c r="H1953" s="72"/>
      <c r="I1953" s="10"/>
      <c r="J1953" s="46">
        <f t="shared" si="90"/>
        <v>1</v>
      </c>
      <c r="K1953" s="46">
        <f t="shared" si="91"/>
        <v>0</v>
      </c>
      <c r="L1953" s="69">
        <f t="shared" si="92"/>
        <v>0</v>
      </c>
    </row>
    <row r="1954" spans="2:12" x14ac:dyDescent="0.85">
      <c r="B1954" s="48">
        <v>1948</v>
      </c>
      <c r="C1954" s="44"/>
      <c r="D1954" s="50"/>
      <c r="E1954" s="44"/>
      <c r="F1954" s="227"/>
      <c r="G1954" s="49">
        <v>1</v>
      </c>
      <c r="H1954" s="73"/>
      <c r="I1954" s="44"/>
      <c r="J1954" s="48">
        <f t="shared" si="90"/>
        <v>1</v>
      </c>
      <c r="K1954" s="48">
        <f t="shared" si="91"/>
        <v>0</v>
      </c>
      <c r="L1954" s="68">
        <f t="shared" si="92"/>
        <v>0</v>
      </c>
    </row>
    <row r="1955" spans="2:12" x14ac:dyDescent="0.85">
      <c r="B1955" s="46">
        <v>1949</v>
      </c>
      <c r="C1955" s="10"/>
      <c r="D1955" s="66"/>
      <c r="E1955" s="10"/>
      <c r="F1955" s="226"/>
      <c r="G1955" s="47">
        <v>1</v>
      </c>
      <c r="H1955" s="72"/>
      <c r="I1955" s="10"/>
      <c r="J1955" s="46">
        <f t="shared" si="90"/>
        <v>1</v>
      </c>
      <c r="K1955" s="46">
        <f t="shared" si="91"/>
        <v>0</v>
      </c>
      <c r="L1955" s="69">
        <f t="shared" si="92"/>
        <v>0</v>
      </c>
    </row>
    <row r="1956" spans="2:12" x14ac:dyDescent="0.85">
      <c r="B1956" s="48">
        <v>1950</v>
      </c>
      <c r="C1956" s="44"/>
      <c r="D1956" s="50"/>
      <c r="E1956" s="44"/>
      <c r="F1956" s="227"/>
      <c r="G1956" s="49">
        <v>1</v>
      </c>
      <c r="H1956" s="73"/>
      <c r="I1956" s="44"/>
      <c r="J1956" s="48">
        <f t="shared" si="90"/>
        <v>1</v>
      </c>
      <c r="K1956" s="48">
        <f t="shared" si="91"/>
        <v>0</v>
      </c>
      <c r="L1956" s="68">
        <f t="shared" si="92"/>
        <v>0</v>
      </c>
    </row>
    <row r="1957" spans="2:12" x14ac:dyDescent="0.85">
      <c r="B1957" s="46">
        <v>1951</v>
      </c>
      <c r="C1957" s="10"/>
      <c r="D1957" s="66"/>
      <c r="E1957" s="10"/>
      <c r="F1957" s="226"/>
      <c r="G1957" s="47">
        <v>1</v>
      </c>
      <c r="H1957" s="72"/>
      <c r="I1957" s="10"/>
      <c r="J1957" s="46">
        <f t="shared" si="90"/>
        <v>1</v>
      </c>
      <c r="K1957" s="46">
        <f t="shared" si="91"/>
        <v>0</v>
      </c>
      <c r="L1957" s="69">
        <f t="shared" si="92"/>
        <v>0</v>
      </c>
    </row>
    <row r="1958" spans="2:12" x14ac:dyDescent="0.85">
      <c r="B1958" s="48">
        <v>1952</v>
      </c>
      <c r="C1958" s="44"/>
      <c r="D1958" s="50"/>
      <c r="E1958" s="44"/>
      <c r="F1958" s="227"/>
      <c r="G1958" s="49">
        <v>1</v>
      </c>
      <c r="H1958" s="73"/>
      <c r="I1958" s="44"/>
      <c r="J1958" s="48">
        <f t="shared" si="90"/>
        <v>1</v>
      </c>
      <c r="K1958" s="48">
        <f t="shared" si="91"/>
        <v>0</v>
      </c>
      <c r="L1958" s="68">
        <f t="shared" si="92"/>
        <v>0</v>
      </c>
    </row>
    <row r="1959" spans="2:12" x14ac:dyDescent="0.85">
      <c r="B1959" s="46">
        <v>1953</v>
      </c>
      <c r="C1959" s="10"/>
      <c r="D1959" s="66"/>
      <c r="E1959" s="10"/>
      <c r="F1959" s="226"/>
      <c r="G1959" s="47">
        <v>1</v>
      </c>
      <c r="H1959" s="72"/>
      <c r="I1959" s="10"/>
      <c r="J1959" s="46">
        <f t="shared" si="90"/>
        <v>1</v>
      </c>
      <c r="K1959" s="46">
        <f t="shared" si="91"/>
        <v>0</v>
      </c>
      <c r="L1959" s="69">
        <f t="shared" si="92"/>
        <v>0</v>
      </c>
    </row>
    <row r="1960" spans="2:12" x14ac:dyDescent="0.85">
      <c r="B1960" s="48">
        <v>1954</v>
      </c>
      <c r="C1960" s="44"/>
      <c r="D1960" s="50"/>
      <c r="E1960" s="44"/>
      <c r="F1960" s="227"/>
      <c r="G1960" s="49">
        <v>1</v>
      </c>
      <c r="H1960" s="73"/>
      <c r="I1960" s="44"/>
      <c r="J1960" s="48">
        <f t="shared" si="90"/>
        <v>1</v>
      </c>
      <c r="K1960" s="48">
        <f t="shared" si="91"/>
        <v>0</v>
      </c>
      <c r="L1960" s="68">
        <f t="shared" si="92"/>
        <v>0</v>
      </c>
    </row>
    <row r="1961" spans="2:12" x14ac:dyDescent="0.85">
      <c r="B1961" s="46">
        <v>1955</v>
      </c>
      <c r="C1961" s="10"/>
      <c r="D1961" s="66"/>
      <c r="E1961" s="10"/>
      <c r="F1961" s="226"/>
      <c r="G1961" s="47">
        <v>1</v>
      </c>
      <c r="H1961" s="72"/>
      <c r="I1961" s="10"/>
      <c r="J1961" s="46">
        <f t="shared" si="90"/>
        <v>1</v>
      </c>
      <c r="K1961" s="46">
        <f t="shared" si="91"/>
        <v>0</v>
      </c>
      <c r="L1961" s="69">
        <f t="shared" si="92"/>
        <v>0</v>
      </c>
    </row>
    <row r="1962" spans="2:12" x14ac:dyDescent="0.85">
      <c r="B1962" s="48">
        <v>1956</v>
      </c>
      <c r="C1962" s="44"/>
      <c r="D1962" s="50"/>
      <c r="E1962" s="44"/>
      <c r="F1962" s="227"/>
      <c r="G1962" s="49">
        <v>1</v>
      </c>
      <c r="H1962" s="73"/>
      <c r="I1962" s="44"/>
      <c r="J1962" s="48">
        <f t="shared" si="90"/>
        <v>1</v>
      </c>
      <c r="K1962" s="48">
        <f t="shared" si="91"/>
        <v>0</v>
      </c>
      <c r="L1962" s="68">
        <f t="shared" si="92"/>
        <v>0</v>
      </c>
    </row>
    <row r="1963" spans="2:12" x14ac:dyDescent="0.85">
      <c r="B1963" s="46">
        <v>1957</v>
      </c>
      <c r="C1963" s="10"/>
      <c r="D1963" s="66"/>
      <c r="E1963" s="10"/>
      <c r="F1963" s="226"/>
      <c r="G1963" s="47">
        <v>1</v>
      </c>
      <c r="H1963" s="72"/>
      <c r="I1963" s="10"/>
      <c r="J1963" s="46">
        <f t="shared" si="90"/>
        <v>1</v>
      </c>
      <c r="K1963" s="46">
        <f t="shared" si="91"/>
        <v>0</v>
      </c>
      <c r="L1963" s="69">
        <f t="shared" si="92"/>
        <v>0</v>
      </c>
    </row>
    <row r="1964" spans="2:12" x14ac:dyDescent="0.85">
      <c r="B1964" s="48">
        <v>1958</v>
      </c>
      <c r="C1964" s="44"/>
      <c r="D1964" s="50"/>
      <c r="E1964" s="44"/>
      <c r="F1964" s="227"/>
      <c r="G1964" s="49">
        <v>1</v>
      </c>
      <c r="H1964" s="73"/>
      <c r="I1964" s="44"/>
      <c r="J1964" s="48">
        <f t="shared" si="90"/>
        <v>1</v>
      </c>
      <c r="K1964" s="48">
        <f t="shared" si="91"/>
        <v>0</v>
      </c>
      <c r="L1964" s="68">
        <f t="shared" si="92"/>
        <v>0</v>
      </c>
    </row>
    <row r="1965" spans="2:12" x14ac:dyDescent="0.85">
      <c r="B1965" s="46">
        <v>1959</v>
      </c>
      <c r="C1965" s="10"/>
      <c r="D1965" s="66"/>
      <c r="E1965" s="10"/>
      <c r="F1965" s="226"/>
      <c r="G1965" s="47">
        <v>1</v>
      </c>
      <c r="H1965" s="72"/>
      <c r="I1965" s="10"/>
      <c r="J1965" s="46">
        <f t="shared" si="90"/>
        <v>1</v>
      </c>
      <c r="K1965" s="46">
        <f t="shared" si="91"/>
        <v>0</v>
      </c>
      <c r="L1965" s="69">
        <f t="shared" si="92"/>
        <v>0</v>
      </c>
    </row>
    <row r="1966" spans="2:12" x14ac:dyDescent="0.85">
      <c r="B1966" s="48">
        <v>1960</v>
      </c>
      <c r="C1966" s="44"/>
      <c r="D1966" s="50"/>
      <c r="E1966" s="44"/>
      <c r="F1966" s="227"/>
      <c r="G1966" s="49">
        <v>1</v>
      </c>
      <c r="H1966" s="73"/>
      <c r="I1966" s="44"/>
      <c r="J1966" s="48">
        <f t="shared" si="90"/>
        <v>1</v>
      </c>
      <c r="K1966" s="48">
        <f t="shared" si="91"/>
        <v>0</v>
      </c>
      <c r="L1966" s="68">
        <f t="shared" si="92"/>
        <v>0</v>
      </c>
    </row>
    <row r="1967" spans="2:12" x14ac:dyDescent="0.85">
      <c r="B1967" s="46">
        <v>1961</v>
      </c>
      <c r="C1967" s="10"/>
      <c r="D1967" s="66"/>
      <c r="E1967" s="10"/>
      <c r="F1967" s="226"/>
      <c r="G1967" s="47">
        <v>1</v>
      </c>
      <c r="H1967" s="72"/>
      <c r="I1967" s="10"/>
      <c r="J1967" s="46">
        <f t="shared" si="90"/>
        <v>1</v>
      </c>
      <c r="K1967" s="46">
        <f t="shared" si="91"/>
        <v>0</v>
      </c>
      <c r="L1967" s="69">
        <f t="shared" si="92"/>
        <v>0</v>
      </c>
    </row>
    <row r="1968" spans="2:12" x14ac:dyDescent="0.85">
      <c r="B1968" s="48">
        <v>1962</v>
      </c>
      <c r="C1968" s="44"/>
      <c r="D1968" s="50"/>
      <c r="E1968" s="44"/>
      <c r="F1968" s="227"/>
      <c r="G1968" s="49">
        <v>1</v>
      </c>
      <c r="H1968" s="73"/>
      <c r="I1968" s="44"/>
      <c r="J1968" s="48">
        <f t="shared" si="90"/>
        <v>1</v>
      </c>
      <c r="K1968" s="48">
        <f t="shared" si="91"/>
        <v>0</v>
      </c>
      <c r="L1968" s="68">
        <f t="shared" si="92"/>
        <v>0</v>
      </c>
    </row>
    <row r="1969" spans="2:12" x14ac:dyDescent="0.85">
      <c r="B1969" s="46">
        <v>1963</v>
      </c>
      <c r="C1969" s="10"/>
      <c r="D1969" s="66"/>
      <c r="E1969" s="10"/>
      <c r="F1969" s="226"/>
      <c r="G1969" s="47">
        <v>1</v>
      </c>
      <c r="H1969" s="72"/>
      <c r="I1969" s="10"/>
      <c r="J1969" s="46">
        <f t="shared" si="90"/>
        <v>1</v>
      </c>
      <c r="K1969" s="46">
        <f t="shared" si="91"/>
        <v>0</v>
      </c>
      <c r="L1969" s="69">
        <f t="shared" si="92"/>
        <v>0</v>
      </c>
    </row>
    <row r="1970" spans="2:12" x14ac:dyDescent="0.85">
      <c r="B1970" s="48">
        <v>1964</v>
      </c>
      <c r="C1970" s="44"/>
      <c r="D1970" s="50"/>
      <c r="E1970" s="44"/>
      <c r="F1970" s="227"/>
      <c r="G1970" s="49">
        <v>1</v>
      </c>
      <c r="H1970" s="73"/>
      <c r="I1970" s="44"/>
      <c r="J1970" s="48">
        <f t="shared" si="90"/>
        <v>1</v>
      </c>
      <c r="K1970" s="48">
        <f t="shared" si="91"/>
        <v>0</v>
      </c>
      <c r="L1970" s="68">
        <f t="shared" si="92"/>
        <v>0</v>
      </c>
    </row>
    <row r="1971" spans="2:12" x14ac:dyDescent="0.85">
      <c r="B1971" s="46">
        <v>1965</v>
      </c>
      <c r="C1971" s="10"/>
      <c r="D1971" s="66"/>
      <c r="E1971" s="10"/>
      <c r="F1971" s="226"/>
      <c r="G1971" s="47">
        <v>1</v>
      </c>
      <c r="H1971" s="72"/>
      <c r="I1971" s="10"/>
      <c r="J1971" s="46">
        <f t="shared" si="90"/>
        <v>1</v>
      </c>
      <c r="K1971" s="46">
        <f t="shared" si="91"/>
        <v>0</v>
      </c>
      <c r="L1971" s="69">
        <f t="shared" si="92"/>
        <v>0</v>
      </c>
    </row>
    <row r="1972" spans="2:12" x14ac:dyDescent="0.85">
      <c r="B1972" s="48">
        <v>1966</v>
      </c>
      <c r="C1972" s="44"/>
      <c r="D1972" s="50"/>
      <c r="E1972" s="44"/>
      <c r="F1972" s="227"/>
      <c r="G1972" s="49">
        <v>1</v>
      </c>
      <c r="H1972" s="73"/>
      <c r="I1972" s="44"/>
      <c r="J1972" s="48">
        <f t="shared" si="90"/>
        <v>1</v>
      </c>
      <c r="K1972" s="48">
        <f t="shared" si="91"/>
        <v>0</v>
      </c>
      <c r="L1972" s="68">
        <f t="shared" si="92"/>
        <v>0</v>
      </c>
    </row>
    <row r="1973" spans="2:12" x14ac:dyDescent="0.85">
      <c r="B1973" s="46">
        <v>1967</v>
      </c>
      <c r="C1973" s="10"/>
      <c r="D1973" s="66"/>
      <c r="E1973" s="10"/>
      <c r="F1973" s="226"/>
      <c r="G1973" s="47">
        <v>1</v>
      </c>
      <c r="H1973" s="72"/>
      <c r="I1973" s="10"/>
      <c r="J1973" s="46">
        <f t="shared" si="90"/>
        <v>1</v>
      </c>
      <c r="K1973" s="46">
        <f t="shared" si="91"/>
        <v>0</v>
      </c>
      <c r="L1973" s="69">
        <f t="shared" si="92"/>
        <v>0</v>
      </c>
    </row>
    <row r="1974" spans="2:12" x14ac:dyDescent="0.85">
      <c r="B1974" s="48">
        <v>1968</v>
      </c>
      <c r="C1974" s="44"/>
      <c r="D1974" s="50"/>
      <c r="E1974" s="44"/>
      <c r="F1974" s="227"/>
      <c r="G1974" s="49">
        <v>1</v>
      </c>
      <c r="H1974" s="73"/>
      <c r="I1974" s="44"/>
      <c r="J1974" s="48">
        <f t="shared" si="90"/>
        <v>1</v>
      </c>
      <c r="K1974" s="48">
        <f t="shared" si="91"/>
        <v>0</v>
      </c>
      <c r="L1974" s="68">
        <f t="shared" si="92"/>
        <v>0</v>
      </c>
    </row>
    <row r="1975" spans="2:12" x14ac:dyDescent="0.85">
      <c r="B1975" s="46">
        <v>1969</v>
      </c>
      <c r="C1975" s="10"/>
      <c r="D1975" s="66"/>
      <c r="E1975" s="10"/>
      <c r="F1975" s="226"/>
      <c r="G1975" s="47">
        <v>1</v>
      </c>
      <c r="H1975" s="72"/>
      <c r="I1975" s="10"/>
      <c r="J1975" s="46">
        <f t="shared" si="90"/>
        <v>1</v>
      </c>
      <c r="K1975" s="46">
        <f t="shared" si="91"/>
        <v>0</v>
      </c>
      <c r="L1975" s="69">
        <f t="shared" si="92"/>
        <v>0</v>
      </c>
    </row>
    <row r="1976" spans="2:12" x14ac:dyDescent="0.85">
      <c r="B1976" s="48">
        <v>1970</v>
      </c>
      <c r="C1976" s="44"/>
      <c r="D1976" s="50"/>
      <c r="E1976" s="44"/>
      <c r="F1976" s="227"/>
      <c r="G1976" s="49">
        <v>1</v>
      </c>
      <c r="H1976" s="73"/>
      <c r="I1976" s="44"/>
      <c r="J1976" s="48">
        <f t="shared" si="90"/>
        <v>1</v>
      </c>
      <c r="K1976" s="48">
        <f t="shared" si="91"/>
        <v>0</v>
      </c>
      <c r="L1976" s="68">
        <f t="shared" si="92"/>
        <v>0</v>
      </c>
    </row>
    <row r="1977" spans="2:12" x14ac:dyDescent="0.85">
      <c r="B1977" s="46">
        <v>1971</v>
      </c>
      <c r="C1977" s="10"/>
      <c r="D1977" s="66"/>
      <c r="E1977" s="10"/>
      <c r="F1977" s="226"/>
      <c r="G1977" s="47">
        <v>1</v>
      </c>
      <c r="H1977" s="72"/>
      <c r="I1977" s="10"/>
      <c r="J1977" s="46">
        <f t="shared" si="90"/>
        <v>1</v>
      </c>
      <c r="K1977" s="46">
        <f t="shared" si="91"/>
        <v>0</v>
      </c>
      <c r="L1977" s="69">
        <f t="shared" si="92"/>
        <v>0</v>
      </c>
    </row>
    <row r="1978" spans="2:12" x14ac:dyDescent="0.85">
      <c r="B1978" s="48">
        <v>1972</v>
      </c>
      <c r="C1978" s="44"/>
      <c r="D1978" s="50"/>
      <c r="E1978" s="44"/>
      <c r="F1978" s="227"/>
      <c r="G1978" s="49">
        <v>1</v>
      </c>
      <c r="H1978" s="73"/>
      <c r="I1978" s="44"/>
      <c r="J1978" s="48">
        <f t="shared" si="90"/>
        <v>1</v>
      </c>
      <c r="K1978" s="48">
        <f t="shared" si="91"/>
        <v>0</v>
      </c>
      <c r="L1978" s="68">
        <f t="shared" si="92"/>
        <v>0</v>
      </c>
    </row>
    <row r="1979" spans="2:12" x14ac:dyDescent="0.85">
      <c r="B1979" s="46">
        <v>1973</v>
      </c>
      <c r="C1979" s="10"/>
      <c r="D1979" s="66"/>
      <c r="E1979" s="10"/>
      <c r="F1979" s="226"/>
      <c r="G1979" s="47">
        <v>1</v>
      </c>
      <c r="H1979" s="72"/>
      <c r="I1979" s="10"/>
      <c r="J1979" s="46">
        <f t="shared" si="90"/>
        <v>1</v>
      </c>
      <c r="K1979" s="46">
        <f t="shared" si="91"/>
        <v>0</v>
      </c>
      <c r="L1979" s="69">
        <f t="shared" si="92"/>
        <v>0</v>
      </c>
    </row>
    <row r="1980" spans="2:12" x14ac:dyDescent="0.85">
      <c r="B1980" s="48">
        <v>1974</v>
      </c>
      <c r="C1980" s="44"/>
      <c r="D1980" s="50"/>
      <c r="E1980" s="44"/>
      <c r="F1980" s="227"/>
      <c r="G1980" s="49">
        <v>1</v>
      </c>
      <c r="H1980" s="73"/>
      <c r="I1980" s="44"/>
      <c r="J1980" s="48">
        <f t="shared" si="90"/>
        <v>1</v>
      </c>
      <c r="K1980" s="48">
        <f t="shared" si="91"/>
        <v>0</v>
      </c>
      <c r="L1980" s="68">
        <f t="shared" si="92"/>
        <v>0</v>
      </c>
    </row>
    <row r="1981" spans="2:12" x14ac:dyDescent="0.85">
      <c r="B1981" s="46">
        <v>1975</v>
      </c>
      <c r="C1981" s="10"/>
      <c r="D1981" s="66"/>
      <c r="E1981" s="10"/>
      <c r="F1981" s="226"/>
      <c r="G1981" s="47">
        <v>1</v>
      </c>
      <c r="H1981" s="72"/>
      <c r="I1981" s="10"/>
      <c r="J1981" s="46">
        <f t="shared" si="90"/>
        <v>1</v>
      </c>
      <c r="K1981" s="46">
        <f t="shared" si="91"/>
        <v>0</v>
      </c>
      <c r="L1981" s="69">
        <f t="shared" si="92"/>
        <v>0</v>
      </c>
    </row>
    <row r="1982" spans="2:12" x14ac:dyDescent="0.85">
      <c r="B1982" s="48">
        <v>1976</v>
      </c>
      <c r="C1982" s="44"/>
      <c r="D1982" s="50"/>
      <c r="E1982" s="44"/>
      <c r="F1982" s="227"/>
      <c r="G1982" s="49">
        <v>1</v>
      </c>
      <c r="H1982" s="73"/>
      <c r="I1982" s="44"/>
      <c r="J1982" s="48">
        <f t="shared" si="90"/>
        <v>1</v>
      </c>
      <c r="K1982" s="48">
        <f t="shared" si="91"/>
        <v>0</v>
      </c>
      <c r="L1982" s="68">
        <f t="shared" si="92"/>
        <v>0</v>
      </c>
    </row>
    <row r="1983" spans="2:12" x14ac:dyDescent="0.85">
      <c r="B1983" s="46">
        <v>1977</v>
      </c>
      <c r="C1983" s="10"/>
      <c r="D1983" s="66"/>
      <c r="E1983" s="10"/>
      <c r="F1983" s="226"/>
      <c r="G1983" s="47">
        <v>1</v>
      </c>
      <c r="H1983" s="72"/>
      <c r="I1983" s="10"/>
      <c r="J1983" s="46">
        <f t="shared" si="90"/>
        <v>1</v>
      </c>
      <c r="K1983" s="46">
        <f t="shared" si="91"/>
        <v>0</v>
      </c>
      <c r="L1983" s="69">
        <f t="shared" si="92"/>
        <v>0</v>
      </c>
    </row>
    <row r="1984" spans="2:12" x14ac:dyDescent="0.85">
      <c r="B1984" s="48">
        <v>1978</v>
      </c>
      <c r="C1984" s="44"/>
      <c r="D1984" s="50"/>
      <c r="E1984" s="44"/>
      <c r="F1984" s="227"/>
      <c r="G1984" s="49">
        <v>1</v>
      </c>
      <c r="H1984" s="73"/>
      <c r="I1984" s="44"/>
      <c r="J1984" s="48">
        <f t="shared" si="90"/>
        <v>1</v>
      </c>
      <c r="K1984" s="48">
        <f t="shared" si="91"/>
        <v>0</v>
      </c>
      <c r="L1984" s="68">
        <f t="shared" si="92"/>
        <v>0</v>
      </c>
    </row>
    <row r="1985" spans="2:12" x14ac:dyDescent="0.85">
      <c r="B1985" s="46">
        <v>1979</v>
      </c>
      <c r="C1985" s="10"/>
      <c r="D1985" s="66"/>
      <c r="E1985" s="10"/>
      <c r="F1985" s="226"/>
      <c r="G1985" s="47">
        <v>1</v>
      </c>
      <c r="H1985" s="72"/>
      <c r="I1985" s="10"/>
      <c r="J1985" s="46">
        <f t="shared" si="90"/>
        <v>1</v>
      </c>
      <c r="K1985" s="46">
        <f t="shared" si="91"/>
        <v>0</v>
      </c>
      <c r="L1985" s="69">
        <f t="shared" si="92"/>
        <v>0</v>
      </c>
    </row>
    <row r="1986" spans="2:12" x14ac:dyDescent="0.85">
      <c r="B1986" s="48">
        <v>1980</v>
      </c>
      <c r="C1986" s="44"/>
      <c r="D1986" s="50"/>
      <c r="E1986" s="44"/>
      <c r="F1986" s="227"/>
      <c r="G1986" s="49">
        <v>1</v>
      </c>
      <c r="H1986" s="73"/>
      <c r="I1986" s="44"/>
      <c r="J1986" s="48">
        <f t="shared" si="90"/>
        <v>1</v>
      </c>
      <c r="K1986" s="48">
        <f t="shared" si="91"/>
        <v>0</v>
      </c>
      <c r="L1986" s="68">
        <f t="shared" si="92"/>
        <v>0</v>
      </c>
    </row>
    <row r="1987" spans="2:12" x14ac:dyDescent="0.85">
      <c r="B1987" s="46">
        <v>1981</v>
      </c>
      <c r="C1987" s="10"/>
      <c r="D1987" s="66"/>
      <c r="E1987" s="10"/>
      <c r="F1987" s="226"/>
      <c r="G1987" s="47">
        <v>1</v>
      </c>
      <c r="H1987" s="72"/>
      <c r="I1987" s="10"/>
      <c r="J1987" s="46">
        <f t="shared" si="90"/>
        <v>1</v>
      </c>
      <c r="K1987" s="46">
        <f t="shared" si="91"/>
        <v>0</v>
      </c>
      <c r="L1987" s="69">
        <f t="shared" si="92"/>
        <v>0</v>
      </c>
    </row>
    <row r="1988" spans="2:12" x14ac:dyDescent="0.85">
      <c r="B1988" s="48">
        <v>1982</v>
      </c>
      <c r="C1988" s="44"/>
      <c r="D1988" s="50"/>
      <c r="E1988" s="44"/>
      <c r="F1988" s="227"/>
      <c r="G1988" s="49">
        <v>1</v>
      </c>
      <c r="H1988" s="73"/>
      <c r="I1988" s="44"/>
      <c r="J1988" s="48">
        <f t="shared" si="90"/>
        <v>1</v>
      </c>
      <c r="K1988" s="48">
        <f t="shared" si="91"/>
        <v>0</v>
      </c>
      <c r="L1988" s="68">
        <f t="shared" si="92"/>
        <v>0</v>
      </c>
    </row>
    <row r="1989" spans="2:12" x14ac:dyDescent="0.85">
      <c r="B1989" s="46">
        <v>1983</v>
      </c>
      <c r="C1989" s="10"/>
      <c r="D1989" s="66"/>
      <c r="E1989" s="10"/>
      <c r="F1989" s="226"/>
      <c r="G1989" s="47">
        <v>1</v>
      </c>
      <c r="H1989" s="72"/>
      <c r="I1989" s="10"/>
      <c r="J1989" s="46">
        <f t="shared" si="90"/>
        <v>1</v>
      </c>
      <c r="K1989" s="46">
        <f t="shared" si="91"/>
        <v>0</v>
      </c>
      <c r="L1989" s="69">
        <f t="shared" si="92"/>
        <v>0</v>
      </c>
    </row>
    <row r="1990" spans="2:12" x14ac:dyDescent="0.85">
      <c r="B1990" s="48">
        <v>1984</v>
      </c>
      <c r="C1990" s="44"/>
      <c r="D1990" s="50"/>
      <c r="E1990" s="44"/>
      <c r="F1990" s="227"/>
      <c r="G1990" s="49">
        <v>1</v>
      </c>
      <c r="H1990" s="73"/>
      <c r="I1990" s="44"/>
      <c r="J1990" s="48">
        <f t="shared" si="90"/>
        <v>1</v>
      </c>
      <c r="K1990" s="48">
        <f t="shared" si="91"/>
        <v>0</v>
      </c>
      <c r="L1990" s="68">
        <f t="shared" si="92"/>
        <v>0</v>
      </c>
    </row>
    <row r="1991" spans="2:12" x14ac:dyDescent="0.85">
      <c r="B1991" s="46">
        <v>1985</v>
      </c>
      <c r="C1991" s="10"/>
      <c r="D1991" s="66"/>
      <c r="E1991" s="10"/>
      <c r="F1991" s="226"/>
      <c r="G1991" s="47">
        <v>1</v>
      </c>
      <c r="H1991" s="72"/>
      <c r="I1991" s="10"/>
      <c r="J1991" s="46">
        <f t="shared" ref="J1991:J2006" si="93">IF(ISBLANK(H1991),1,H1991)</f>
        <v>1</v>
      </c>
      <c r="K1991" s="46">
        <f t="shared" ref="K1991:K2006" si="94">IF(COUNTIF(FreeElements, E1991)&gt;0, F1991, 0)</f>
        <v>0</v>
      </c>
      <c r="L1991" s="69">
        <f t="shared" ref="L1991:L2006" si="95">J1991*K1991</f>
        <v>0</v>
      </c>
    </row>
    <row r="1992" spans="2:12" x14ac:dyDescent="0.85">
      <c r="B1992" s="48">
        <v>1986</v>
      </c>
      <c r="C1992" s="44"/>
      <c r="D1992" s="50"/>
      <c r="E1992" s="44"/>
      <c r="F1992" s="227"/>
      <c r="G1992" s="49">
        <v>1</v>
      </c>
      <c r="H1992" s="73"/>
      <c r="I1992" s="44"/>
      <c r="J1992" s="48">
        <f t="shared" si="93"/>
        <v>1</v>
      </c>
      <c r="K1992" s="48">
        <f t="shared" si="94"/>
        <v>0</v>
      </c>
      <c r="L1992" s="68">
        <f t="shared" si="95"/>
        <v>0</v>
      </c>
    </row>
    <row r="1993" spans="2:12" x14ac:dyDescent="0.85">
      <c r="B1993" s="46">
        <v>1987</v>
      </c>
      <c r="C1993" s="10"/>
      <c r="D1993" s="66"/>
      <c r="E1993" s="10"/>
      <c r="F1993" s="226"/>
      <c r="G1993" s="47">
        <v>1</v>
      </c>
      <c r="H1993" s="72"/>
      <c r="I1993" s="10"/>
      <c r="J1993" s="46">
        <f t="shared" si="93"/>
        <v>1</v>
      </c>
      <c r="K1993" s="46">
        <f t="shared" si="94"/>
        <v>0</v>
      </c>
      <c r="L1993" s="69">
        <f t="shared" si="95"/>
        <v>0</v>
      </c>
    </row>
    <row r="1994" spans="2:12" x14ac:dyDescent="0.85">
      <c r="B1994" s="48">
        <v>1988</v>
      </c>
      <c r="C1994" s="44"/>
      <c r="D1994" s="50"/>
      <c r="E1994" s="44"/>
      <c r="F1994" s="227"/>
      <c r="G1994" s="49">
        <v>1</v>
      </c>
      <c r="H1994" s="73"/>
      <c r="I1994" s="44"/>
      <c r="J1994" s="48">
        <f t="shared" si="93"/>
        <v>1</v>
      </c>
      <c r="K1994" s="48">
        <f t="shared" si="94"/>
        <v>0</v>
      </c>
      <c r="L1994" s="68">
        <f t="shared" si="95"/>
        <v>0</v>
      </c>
    </row>
    <row r="1995" spans="2:12" x14ac:dyDescent="0.85">
      <c r="B1995" s="46">
        <v>1989</v>
      </c>
      <c r="C1995" s="10"/>
      <c r="D1995" s="66"/>
      <c r="E1995" s="10"/>
      <c r="F1995" s="226"/>
      <c r="G1995" s="47">
        <v>1</v>
      </c>
      <c r="H1995" s="72"/>
      <c r="I1995" s="10"/>
      <c r="J1995" s="46">
        <f t="shared" si="93"/>
        <v>1</v>
      </c>
      <c r="K1995" s="46">
        <f t="shared" si="94"/>
        <v>0</v>
      </c>
      <c r="L1995" s="69">
        <f t="shared" si="95"/>
        <v>0</v>
      </c>
    </row>
    <row r="1996" spans="2:12" x14ac:dyDescent="0.85">
      <c r="B1996" s="48">
        <v>1990</v>
      </c>
      <c r="C1996" s="44"/>
      <c r="D1996" s="50"/>
      <c r="E1996" s="44"/>
      <c r="F1996" s="227"/>
      <c r="G1996" s="49">
        <v>1</v>
      </c>
      <c r="H1996" s="73"/>
      <c r="I1996" s="44"/>
      <c r="J1996" s="48">
        <f t="shared" si="93"/>
        <v>1</v>
      </c>
      <c r="K1996" s="48">
        <f t="shared" si="94"/>
        <v>0</v>
      </c>
      <c r="L1996" s="68">
        <f t="shared" si="95"/>
        <v>0</v>
      </c>
    </row>
    <row r="1997" spans="2:12" x14ac:dyDescent="0.85">
      <c r="B1997" s="46">
        <v>1991</v>
      </c>
      <c r="C1997" s="10"/>
      <c r="D1997" s="66"/>
      <c r="E1997" s="10"/>
      <c r="F1997" s="226"/>
      <c r="G1997" s="47">
        <v>1</v>
      </c>
      <c r="H1997" s="72"/>
      <c r="I1997" s="10"/>
      <c r="J1997" s="46">
        <f t="shared" si="93"/>
        <v>1</v>
      </c>
      <c r="K1997" s="46">
        <f t="shared" si="94"/>
        <v>0</v>
      </c>
      <c r="L1997" s="69">
        <f t="shared" si="95"/>
        <v>0</v>
      </c>
    </row>
    <row r="1998" spans="2:12" x14ac:dyDescent="0.85">
      <c r="B1998" s="48">
        <v>1992</v>
      </c>
      <c r="C1998" s="44"/>
      <c r="D1998" s="50"/>
      <c r="E1998" s="44"/>
      <c r="F1998" s="227"/>
      <c r="G1998" s="49">
        <v>1</v>
      </c>
      <c r="H1998" s="73"/>
      <c r="I1998" s="44"/>
      <c r="J1998" s="48">
        <f t="shared" si="93"/>
        <v>1</v>
      </c>
      <c r="K1998" s="48">
        <f t="shared" si="94"/>
        <v>0</v>
      </c>
      <c r="L1998" s="68">
        <f t="shared" si="95"/>
        <v>0</v>
      </c>
    </row>
    <row r="1999" spans="2:12" x14ac:dyDescent="0.85">
      <c r="B1999" s="46">
        <v>1993</v>
      </c>
      <c r="C1999" s="10"/>
      <c r="D1999" s="66"/>
      <c r="E1999" s="10"/>
      <c r="F1999" s="226"/>
      <c r="G1999" s="47">
        <v>1</v>
      </c>
      <c r="H1999" s="72"/>
      <c r="I1999" s="10"/>
      <c r="J1999" s="46">
        <f t="shared" si="93"/>
        <v>1</v>
      </c>
      <c r="K1999" s="46">
        <f t="shared" si="94"/>
        <v>0</v>
      </c>
      <c r="L1999" s="69">
        <f t="shared" si="95"/>
        <v>0</v>
      </c>
    </row>
    <row r="2000" spans="2:12" x14ac:dyDescent="0.85">
      <c r="B2000" s="48">
        <v>1994</v>
      </c>
      <c r="C2000" s="44"/>
      <c r="D2000" s="50"/>
      <c r="E2000" s="44"/>
      <c r="F2000" s="227"/>
      <c r="G2000" s="49">
        <v>1</v>
      </c>
      <c r="H2000" s="73"/>
      <c r="I2000" s="44"/>
      <c r="J2000" s="48">
        <f t="shared" si="93"/>
        <v>1</v>
      </c>
      <c r="K2000" s="48">
        <f t="shared" si="94"/>
        <v>0</v>
      </c>
      <c r="L2000" s="68">
        <f t="shared" si="95"/>
        <v>0</v>
      </c>
    </row>
    <row r="2001" spans="2:12" x14ac:dyDescent="0.85">
      <c r="B2001" s="46">
        <v>1995</v>
      </c>
      <c r="C2001" s="10"/>
      <c r="D2001" s="66"/>
      <c r="E2001" s="10"/>
      <c r="F2001" s="226"/>
      <c r="G2001" s="47">
        <v>1</v>
      </c>
      <c r="H2001" s="72"/>
      <c r="I2001" s="10"/>
      <c r="J2001" s="46">
        <f t="shared" si="93"/>
        <v>1</v>
      </c>
      <c r="K2001" s="46">
        <f t="shared" si="94"/>
        <v>0</v>
      </c>
      <c r="L2001" s="69">
        <f t="shared" si="95"/>
        <v>0</v>
      </c>
    </row>
    <row r="2002" spans="2:12" x14ac:dyDescent="0.85">
      <c r="B2002" s="48">
        <v>1996</v>
      </c>
      <c r="C2002" s="44"/>
      <c r="D2002" s="50"/>
      <c r="E2002" s="44"/>
      <c r="F2002" s="227"/>
      <c r="G2002" s="49">
        <v>1</v>
      </c>
      <c r="H2002" s="73"/>
      <c r="I2002" s="44"/>
      <c r="J2002" s="48">
        <f t="shared" si="93"/>
        <v>1</v>
      </c>
      <c r="K2002" s="48">
        <f t="shared" si="94"/>
        <v>0</v>
      </c>
      <c r="L2002" s="68">
        <f t="shared" si="95"/>
        <v>0</v>
      </c>
    </row>
    <row r="2003" spans="2:12" x14ac:dyDescent="0.85">
      <c r="B2003" s="46">
        <v>1997</v>
      </c>
      <c r="C2003" s="10"/>
      <c r="D2003" s="66"/>
      <c r="E2003" s="10"/>
      <c r="F2003" s="226"/>
      <c r="G2003" s="47">
        <v>1</v>
      </c>
      <c r="H2003" s="72"/>
      <c r="I2003" s="10"/>
      <c r="J2003" s="46">
        <f t="shared" si="93"/>
        <v>1</v>
      </c>
      <c r="K2003" s="46">
        <f t="shared" si="94"/>
        <v>0</v>
      </c>
      <c r="L2003" s="69">
        <f t="shared" si="95"/>
        <v>0</v>
      </c>
    </row>
    <row r="2004" spans="2:12" x14ac:dyDescent="0.85">
      <c r="B2004" s="48">
        <v>1998</v>
      </c>
      <c r="C2004" s="44"/>
      <c r="D2004" s="50"/>
      <c r="E2004" s="44"/>
      <c r="F2004" s="227"/>
      <c r="G2004" s="49">
        <v>1</v>
      </c>
      <c r="H2004" s="73"/>
      <c r="I2004" s="44"/>
      <c r="J2004" s="48">
        <f t="shared" si="93"/>
        <v>1</v>
      </c>
      <c r="K2004" s="48">
        <f t="shared" si="94"/>
        <v>0</v>
      </c>
      <c r="L2004" s="68">
        <f t="shared" si="95"/>
        <v>0</v>
      </c>
    </row>
    <row r="2005" spans="2:12" x14ac:dyDescent="0.85">
      <c r="B2005" s="46">
        <v>1999</v>
      </c>
      <c r="C2005" s="10"/>
      <c r="D2005" s="66"/>
      <c r="E2005" s="10"/>
      <c r="F2005" s="226"/>
      <c r="G2005" s="47">
        <v>1</v>
      </c>
      <c r="H2005" s="72"/>
      <c r="I2005" s="10"/>
      <c r="J2005" s="46">
        <f t="shared" si="93"/>
        <v>1</v>
      </c>
      <c r="K2005" s="46">
        <f t="shared" si="94"/>
        <v>0</v>
      </c>
      <c r="L2005" s="69">
        <f t="shared" si="95"/>
        <v>0</v>
      </c>
    </row>
    <row r="2006" spans="2:12" x14ac:dyDescent="0.85">
      <c r="B2006" s="48">
        <v>2000</v>
      </c>
      <c r="C2006" s="44"/>
      <c r="D2006" s="50"/>
      <c r="E2006" s="44"/>
      <c r="F2006" s="227"/>
      <c r="G2006" s="49">
        <v>1</v>
      </c>
      <c r="H2006" s="73"/>
      <c r="I2006" s="44"/>
      <c r="J2006" s="48">
        <f t="shared" si="93"/>
        <v>1</v>
      </c>
      <c r="K2006" s="48">
        <f t="shared" si="94"/>
        <v>0</v>
      </c>
      <c r="L2006" s="68">
        <f t="shared" si="95"/>
        <v>0</v>
      </c>
    </row>
    <row r="2007" spans="2:12" ht="9" customHeight="1" x14ac:dyDescent="0.85"/>
    <row r="2008" spans="2:12" ht="26.25" hidden="1" customHeight="1" x14ac:dyDescent="0.85">
      <c r="D2008" s="332" t="s">
        <v>33</v>
      </c>
      <c r="E2008" s="294"/>
      <c r="F2008" s="294"/>
      <c r="G2008" s="318">
        <f>SUM(L2010:L2013)</f>
        <v>0</v>
      </c>
      <c r="H2008" s="294"/>
      <c r="I2008" s="291"/>
      <c r="J2008" s="60"/>
      <c r="L2008" s="60"/>
    </row>
    <row r="2009" spans="2:12" ht="22.5" hidden="1" customHeight="1" x14ac:dyDescent="1">
      <c r="D2009" s="85" t="s">
        <v>34</v>
      </c>
      <c r="E2009" s="64" t="str">
        <f>Constants!W3</f>
        <v>ساده</v>
      </c>
      <c r="F2009" s="64" t="str">
        <f>Constants!X3</f>
        <v>معمولی</v>
      </c>
      <c r="G2009" s="64" t="str">
        <f>Constants!Y3</f>
        <v>پیچیده</v>
      </c>
      <c r="H2009" s="64" t="str">
        <f>Constants!Z3</f>
        <v>بسیار پیچیده</v>
      </c>
      <c r="I2009" s="64" t="str">
        <f>Constants!AA3</f>
        <v>فوق العاده پیچیده</v>
      </c>
      <c r="J2009" s="65"/>
      <c r="L2009" s="64" t="s">
        <v>35</v>
      </c>
    </row>
    <row r="2010" spans="2:12" ht="26.25" hidden="1" customHeight="1" x14ac:dyDescent="0.85">
      <c r="D2010" s="63" t="str">
        <f>Constants!A3</f>
        <v>فرم</v>
      </c>
      <c r="E2010" s="79">
        <f>SUMIFS(Elements_F!$J$7:$J$2006,Elements_F!$E$7:$E$2006,$D2010, Elements_F!$F$7:$F$2006,E$2009)</f>
        <v>0</v>
      </c>
      <c r="F2010" s="79">
        <f>SUMIFS(Elements_F!$J$7:$J$2006,Elements_F!$E$7:$E$2006,$D2010, Elements_F!$F$7:$F$2006,F$2009)</f>
        <v>0</v>
      </c>
      <c r="G2010" s="79">
        <f>SUMIFS(Elements_F!$J$7:$J$2006,Elements_F!$E$7:$E$2006,$D2010, Elements_F!$F$7:$F$2006,G$2009)</f>
        <v>0</v>
      </c>
      <c r="H2010" s="79">
        <f>SUMIFS(Elements_F!$J$7:$J$2006,Elements_F!$E$7:$E$2006,$D2010, Elements_F!$F$7:$F$2006,H$2009)</f>
        <v>0</v>
      </c>
      <c r="I2010" s="79">
        <f>SUMIFS(Elements_F!$J$7:$J$2006,Elements_F!$E$7:$E$2006,$D2010, Elements_F!$F$7:$F$2006,I$2009)</f>
        <v>0</v>
      </c>
      <c r="J2010" s="80"/>
      <c r="K2010" s="81"/>
      <c r="L2010" s="79">
        <f>SUM(E2010:I2010)</f>
        <v>0</v>
      </c>
    </row>
    <row r="2011" spans="2:12" ht="26.25" hidden="1" customHeight="1" x14ac:dyDescent="0.85">
      <c r="D2011" s="63" t="str">
        <f>Constants!A4</f>
        <v>پردازش</v>
      </c>
      <c r="E2011" s="79">
        <f>SUMIFS(Elements_F!$J$7:$J$2006,Elements_F!$E$7:$E$2006,$D2011, Elements_F!$F$7:$F$2006,E$2009)</f>
        <v>0</v>
      </c>
      <c r="F2011" s="79">
        <f>SUMIFS(Elements_F!$J$7:$J$2006,Elements_F!$E$7:$E$2006,$D2011, Elements_F!$F$7:$F$2006,F$2009)</f>
        <v>0</v>
      </c>
      <c r="G2011" s="79">
        <f>SUMIFS(Elements_F!$J$7:$J$2006,Elements_F!$E$7:$E$2006,$D2011, Elements_F!$F$7:$F$2006,G$2009)</f>
        <v>0</v>
      </c>
      <c r="H2011" s="79">
        <f>SUMIFS(Elements_F!$J$7:$J$2006,Elements_F!$E$7:$E$2006,$D2011, Elements_F!$F$7:$F$2006,H$2009)</f>
        <v>0</v>
      </c>
      <c r="I2011" s="79">
        <f>SUMIFS(Elements_F!$J$7:$J$2006,Elements_F!$E$7:$E$2006,$D2011, Elements_F!$F$7:$F$2006,I$2009)</f>
        <v>0</v>
      </c>
      <c r="J2011" s="80"/>
      <c r="K2011" s="81"/>
      <c r="L2011" s="79">
        <f>SUM(E2011:I2011)</f>
        <v>0</v>
      </c>
    </row>
    <row r="2012" spans="2:12" ht="26.25" hidden="1" customHeight="1" x14ac:dyDescent="0.85">
      <c r="D2012" s="63" t="str">
        <f>Constants!A5</f>
        <v>سرویس</v>
      </c>
      <c r="E2012" s="79">
        <f>SUMIFS(Elements_F!$J$7:$J$2006,Elements_F!$E$7:$E$2006,$D2012, Elements_F!$F$7:$F$2006,E$2009)</f>
        <v>0</v>
      </c>
      <c r="F2012" s="79">
        <f>SUMIFS(Elements_F!$J$7:$J$2006,Elements_F!$E$7:$E$2006,$D2012, Elements_F!$F$7:$F$2006,F$2009)</f>
        <v>0</v>
      </c>
      <c r="G2012" s="79">
        <f>SUMIFS(Elements_F!$J$7:$J$2006,Elements_F!$E$7:$E$2006,$D2012, Elements_F!$F$7:$F$2006,G$2009)</f>
        <v>0</v>
      </c>
      <c r="H2012" s="79">
        <f>SUMIFS(Elements_F!$J$7:$J$2006,Elements_F!$E$7:$E$2006,$D2012, Elements_F!$F$7:$F$2006,H$2009)</f>
        <v>0</v>
      </c>
      <c r="I2012" s="79">
        <f>SUMIFS(Elements_F!$J$7:$J$2006,Elements_F!$E$7:$E$2006,$D2012, Elements_F!$F$7:$F$2006,I$2009)</f>
        <v>0</v>
      </c>
      <c r="J2012" s="80"/>
      <c r="K2012" s="81"/>
      <c r="L2012" s="79">
        <f>SUM(E2012:I2012)</f>
        <v>0</v>
      </c>
    </row>
    <row r="2013" spans="2:12" ht="26.25" hidden="1" customHeight="1" x14ac:dyDescent="0.85">
      <c r="D2013" s="63" t="str">
        <f>Constants!A6</f>
        <v>گزارش</v>
      </c>
      <c r="E2013" s="79">
        <f>SUMIFS(Elements_F!$J$7:$J$2006,Elements_F!$E$7:$E$2006,$D2013, Elements_F!$F$7:$F$2006,E$2009)</f>
        <v>0</v>
      </c>
      <c r="F2013" s="79">
        <f>SUMIFS(Elements_F!$J$7:$J$2006,Elements_F!$E$7:$E$2006,$D2013, Elements_F!$F$7:$F$2006,F$2009)</f>
        <v>0</v>
      </c>
      <c r="G2013" s="79">
        <f>SUMIFS(Elements_F!$J$7:$J$2006,Elements_F!$E$7:$E$2006,$D2013, Elements_F!$F$7:$F$2006,G$2009)</f>
        <v>0</v>
      </c>
      <c r="H2013" s="79">
        <f>SUMIFS(Elements_F!$J$7:$J$2006,Elements_F!$E$7:$E$2006,$D2013, Elements_F!$F$7:$F$2006,H$2009)</f>
        <v>0</v>
      </c>
      <c r="I2013" s="79">
        <f>SUMIFS(Elements_F!$J$7:$J$2006,Elements_F!$E$7:$E$2006,$D2013, Elements_F!$F$7:$F$2006,I$2009)</f>
        <v>0</v>
      </c>
      <c r="J2013" s="80"/>
      <c r="K2013" s="81"/>
      <c r="L2013" s="79">
        <f>SUM(E2013:I2013)</f>
        <v>0</v>
      </c>
    </row>
    <row r="2014" spans="2:12" ht="31.5" hidden="1" customHeight="1" x14ac:dyDescent="0.85"/>
    <row r="2015" spans="2:12" ht="26.25" hidden="1" customHeight="1" x14ac:dyDescent="0.85">
      <c r="D2015" s="332" t="s">
        <v>36</v>
      </c>
      <c r="E2015" s="294"/>
      <c r="F2015" s="294"/>
      <c r="G2015" s="306">
        <f>SUM(L2017:L2020)</f>
        <v>0</v>
      </c>
      <c r="H2015" s="294"/>
      <c r="I2015" s="291"/>
    </row>
    <row r="2016" spans="2:12" ht="22.5" hidden="1" customHeight="1" x14ac:dyDescent="1">
      <c r="D2016" s="85" t="s">
        <v>34</v>
      </c>
      <c r="E2016" s="64" t="str">
        <f>Constants!W3</f>
        <v>ساده</v>
      </c>
      <c r="F2016" s="64" t="str">
        <f>Constants!X3</f>
        <v>معمولی</v>
      </c>
      <c r="G2016" s="64" t="str">
        <f>Constants!Y3</f>
        <v>پیچیده</v>
      </c>
      <c r="H2016" s="64" t="str">
        <f>Constants!Z3</f>
        <v>بسیار پیچیده</v>
      </c>
      <c r="I2016" s="64" t="str">
        <f>Constants!AA3</f>
        <v>فوق العاده پیچیده</v>
      </c>
      <c r="J2016" s="65"/>
      <c r="L2016" s="64" t="s">
        <v>35</v>
      </c>
    </row>
    <row r="2017" spans="4:12" ht="24" hidden="1" customHeight="1" x14ac:dyDescent="0.85">
      <c r="D2017" s="63" t="str">
        <f>Constants!A3</f>
        <v>فرم</v>
      </c>
      <c r="E2017" s="82">
        <f>SUMIFS(Elements_F!$L$7:$L$2006,Elements_F!$E$7:$E$2006,$D2017, Elements_F!$F$7:$F$2006,E$2016)</f>
        <v>0</v>
      </c>
      <c r="F2017" s="82">
        <f>SUMIFS(Elements_F!$L$7:$L$2006,Elements_F!$E$7:$E$2006,$D2017, Elements_F!$F$7:$F$2006,F$2016)</f>
        <v>0</v>
      </c>
      <c r="G2017" s="82">
        <f>SUMIFS(Elements_F!$L$7:$L$2006,Elements_F!$E$7:$E$2006,$D2017, Elements_F!$F$7:$F$2006,G$2016)</f>
        <v>0</v>
      </c>
      <c r="H2017" s="82">
        <f>SUMIFS(Elements_F!$L$7:$L$2006,Elements_F!$E$7:$E$2006,$D2017, Elements_F!$F$7:$F$2006,H$2016)</f>
        <v>0</v>
      </c>
      <c r="I2017" s="82">
        <f>SUMIFS(Elements_F!$L$7:$L$2006,Elements_F!$E$7:$E$2006,$D2017, Elements_F!$F$7:$F$2006,I$2016)</f>
        <v>0</v>
      </c>
      <c r="J2017" s="83"/>
      <c r="K2017" s="84"/>
      <c r="L2017" s="82">
        <f>SUM(E2017:I2017)</f>
        <v>0</v>
      </c>
    </row>
    <row r="2018" spans="4:12" ht="24" hidden="1" customHeight="1" x14ac:dyDescent="0.85">
      <c r="D2018" s="63" t="str">
        <f>Constants!A4</f>
        <v>پردازش</v>
      </c>
      <c r="E2018" s="82">
        <f>SUMIFS(Elements_F!$L$7:$L$2006,Elements_F!$E$7:$E$2006,$D2018, Elements_F!$F$7:$F$2006,E$2016)</f>
        <v>0</v>
      </c>
      <c r="F2018" s="82">
        <f>SUMIFS(Elements_F!$L$7:$L$2006,Elements_F!$E$7:$E$2006,$D2018, Elements_F!$F$7:$F$2006,F$2016)</f>
        <v>0</v>
      </c>
      <c r="G2018" s="82">
        <f>SUMIFS(Elements_F!$L$7:$L$2006,Elements_F!$E$7:$E$2006,$D2018, Elements_F!$F$7:$F$2006,G$2016)</f>
        <v>0</v>
      </c>
      <c r="H2018" s="82">
        <f>SUMIFS(Elements_F!$L$7:$L$2006,Elements_F!$E$7:$E$2006,$D2018, Elements_F!$F$7:$F$2006,H$2016)</f>
        <v>0</v>
      </c>
      <c r="I2018" s="82">
        <f>SUMIFS(Elements_F!$L$7:$L$2006,Elements_F!$E$7:$E$2006,$D2018, Elements_F!$F$7:$F$2006,I$2016)</f>
        <v>0</v>
      </c>
      <c r="J2018" s="83"/>
      <c r="K2018" s="84"/>
      <c r="L2018" s="82">
        <f>SUM(E2018:I2018)</f>
        <v>0</v>
      </c>
    </row>
    <row r="2019" spans="4:12" ht="24" hidden="1" customHeight="1" x14ac:dyDescent="0.85">
      <c r="D2019" s="63" t="str">
        <f>Constants!A5</f>
        <v>سرویس</v>
      </c>
      <c r="E2019" s="82">
        <f>SUMIFS(Elements_F!$L$7:$L$2006,Elements_F!$E$7:$E$2006,$D2019, Elements_F!$F$7:$F$2006,E$2016)</f>
        <v>0</v>
      </c>
      <c r="F2019" s="82">
        <f>SUMIFS(Elements_F!$L$7:$L$2006,Elements_F!$E$7:$E$2006,$D2019, Elements_F!$F$7:$F$2006,F$2016)</f>
        <v>0</v>
      </c>
      <c r="G2019" s="82">
        <f>SUMIFS(Elements_F!$L$7:$L$2006,Elements_F!$E$7:$E$2006,$D2019, Elements_F!$F$7:$F$2006,G$2016)</f>
        <v>0</v>
      </c>
      <c r="H2019" s="82">
        <f>SUMIFS(Elements_F!$L$7:$L$2006,Elements_F!$E$7:$E$2006,$D2019, Elements_F!$F$7:$F$2006,H$2016)</f>
        <v>0</v>
      </c>
      <c r="I2019" s="82">
        <f>SUMIFS(Elements_F!$L$7:$L$2006,Elements_F!$E$7:$E$2006,$D2019, Elements_F!$F$7:$F$2006,I$2016)</f>
        <v>0</v>
      </c>
      <c r="J2019" s="83"/>
      <c r="K2019" s="84"/>
      <c r="L2019" s="82">
        <f>SUM(E2019:I2019)</f>
        <v>0</v>
      </c>
    </row>
    <row r="2020" spans="4:12" ht="25.5" hidden="1" customHeight="1" x14ac:dyDescent="0.85">
      <c r="D2020" s="63" t="str">
        <f>Constants!A6</f>
        <v>گزارش</v>
      </c>
      <c r="E2020" s="82">
        <f>SUMIFS(Elements_F!$L$7:$L$2006,Elements_F!$E$7:$E$2006,$D2020, Elements_F!$F$7:$F$2006,E$2016)</f>
        <v>0</v>
      </c>
      <c r="F2020" s="82">
        <f>SUMIFS(Elements_F!$L$7:$L$2006,Elements_F!$E$7:$E$2006,$D2020, Elements_F!$F$7:$F$2006,F$2016)</f>
        <v>0</v>
      </c>
      <c r="G2020" s="82">
        <f>SUMIFS(Elements_F!$L$7:$L$2006,Elements_F!$E$7:$E$2006,$D2020, Elements_F!$F$7:$F$2006,G$2016)</f>
        <v>0</v>
      </c>
      <c r="H2020" s="82">
        <f>SUMIFS(Elements_F!$L$7:$L$2006,Elements_F!$E$7:$E$2006,$D2020, Elements_F!$F$7:$F$2006,H$2016)</f>
        <v>0</v>
      </c>
      <c r="I2020" s="82">
        <f>SUMIFS(Elements_F!$L$7:$L$2006,Elements_F!$E$7:$E$2006,$D2020, Elements_F!$F$7:$F$2006,I$2016)</f>
        <v>0</v>
      </c>
      <c r="L2020" s="82">
        <f>SUM(E2020:I2020)</f>
        <v>0</v>
      </c>
    </row>
  </sheetData>
  <mergeCells count="10">
    <mergeCell ref="B3:L3"/>
    <mergeCell ref="B2:L2"/>
    <mergeCell ref="B5:L5"/>
    <mergeCell ref="D2015:F2015"/>
    <mergeCell ref="B1:L1"/>
    <mergeCell ref="G2008:I2008"/>
    <mergeCell ref="B4:E4"/>
    <mergeCell ref="F4:I4"/>
    <mergeCell ref="D2008:F2008"/>
    <mergeCell ref="G2015:I2015"/>
  </mergeCells>
  <dataValidations count="7">
    <dataValidation type="whole" showInputMessage="1" showErrorMessage="1" errorTitle="خطا در ورود اطلاعات" error="فقط اعداد صحیح بزرگتر از صفر مورد پذیرش است." sqref="H7:H2006 J7:J2006" xr:uid="{00000000-0002-0000-0200-000000000000}">
      <formula1>1</formula1>
      <formula2>1000</formula2>
    </dataValidation>
    <dataValidation type="custom" allowBlank="1" showInputMessage="1" showErrorMessage="1" errorTitle="مقادیر مجاز" error="ضریب تعدیل =&gt; 1؛ برای تعرفه خیلی زیاد_x000a_ضریب تعدیل &lt;= 1؛ برای تعرفه خیلی کم_x000a_ضریب تعدیل = 1؛ برای سایر تعرفه ها_x000a_حداکثر یک رقم اعشار " sqref="G7:G2006" xr:uid="{00000000-0002-0000-0200-000001000000}">
      <formula1>AND(OR(AND(F7=Least,G7&lt;=1),AND(F7=Most,G7&gt;=1),G7=1),IF(G7=TRUNC(G7,1),TRUE,FALSE))</formula1>
    </dataValidation>
    <dataValidation type="list" allowBlank="1" showInputMessage="1" showErrorMessage="1" sqref="I7:I2006" xr:uid="{00000000-0002-0000-0200-000002000000}">
      <formula1>CompWorkType</formula1>
    </dataValidation>
    <dataValidation type="list" allowBlank="1" showInputMessage="1" showErrorMessage="1" sqref="C7:C2006" xr:uid="{00000000-0002-0000-0200-000003000000}">
      <formula1>SystemShortName</formula1>
    </dataValidation>
    <dataValidation type="list" allowBlank="1" showInputMessage="1" showErrorMessage="1" sqref="E7:E2006" xr:uid="{00000000-0002-0000-0200-000004000000}">
      <formula1>FreeElements</formula1>
    </dataValidation>
    <dataValidation type="whole" allowBlank="1" showInputMessage="1" showErrorMessage="1" error="حجم کار باید عدد صحیح بین 10 و 300 باشد." sqref="F7:F2006" xr:uid="{00000000-0002-0000-0200-000005000000}">
      <formula1>10</formula1>
      <formula2>300</formula2>
    </dataValidation>
    <dataValidation showInputMessage="1" showErrorMessage="1" errorTitle="خطا در ورود اطلاعات" error="فقط اعداد صحیح بزرگتر از صفر مورد پذیرش است." sqref="K7:K2006" xr:uid="{00000000-0002-0000-0200-000006000000}"/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scale="99" fitToHeight="0" orientation="landscape" blackAndWhite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R29"/>
  <sheetViews>
    <sheetView rightToLeft="1" topLeftCell="A13" workbookViewId="0">
      <selection activeCell="L24" sqref="L24:L25"/>
    </sheetView>
  </sheetViews>
  <sheetFormatPr defaultColWidth="0" defaultRowHeight="14.25" zeroHeight="1" x14ac:dyDescent="0.45"/>
  <cols>
    <col min="1" max="1" width="2.46484375" customWidth="1"/>
    <col min="2" max="2" width="15.1328125" customWidth="1"/>
    <col min="3" max="3" width="5.86328125" customWidth="1"/>
    <col min="4" max="10" width="9" customWidth="1"/>
    <col min="11" max="11" width="16.86328125" customWidth="1"/>
    <col min="12" max="12" width="28.46484375" customWidth="1"/>
    <col min="13" max="13" width="2.46484375" customWidth="1"/>
    <col min="14" max="14" width="6.46484375" hidden="1" customWidth="1"/>
    <col min="15" max="18" width="17.1328125" hidden="1" customWidth="1"/>
    <col min="19" max="19" width="9" hidden="1" customWidth="1"/>
    <col min="20" max="16384" width="9" hidden="1"/>
  </cols>
  <sheetData>
    <row r="1" spans="1:18" ht="51" customHeight="1" x14ac:dyDescent="0.45">
      <c r="A1" s="87"/>
      <c r="B1" s="354" t="str">
        <f>CONCATENATE("«",Scope!D4,"»")</f>
        <v>«طراحی کیف پول»</v>
      </c>
      <c r="C1" s="294"/>
      <c r="D1" s="294"/>
      <c r="E1" s="294"/>
      <c r="F1" s="294"/>
      <c r="G1" s="294"/>
      <c r="H1" s="294"/>
      <c r="I1" s="294"/>
      <c r="J1" s="294"/>
      <c r="K1" s="294"/>
      <c r="L1" s="291"/>
      <c r="M1" s="87"/>
    </row>
    <row r="2" spans="1:18" ht="24" customHeight="1" x14ac:dyDescent="0.45">
      <c r="A2" s="87"/>
      <c r="B2" s="349" t="s">
        <v>39</v>
      </c>
      <c r="C2" s="294"/>
      <c r="D2" s="294"/>
      <c r="E2" s="294"/>
      <c r="F2" s="294"/>
      <c r="G2" s="294"/>
      <c r="H2" s="294"/>
      <c r="I2" s="294"/>
      <c r="J2" s="294"/>
      <c r="K2" s="294"/>
      <c r="L2" s="291"/>
      <c r="M2" s="87"/>
    </row>
    <row r="3" spans="1:18" x14ac:dyDescent="0.45">
      <c r="A3" s="87"/>
      <c r="B3" s="340"/>
      <c r="C3" s="327"/>
      <c r="D3" s="327"/>
      <c r="E3" s="327"/>
      <c r="F3" s="327"/>
      <c r="G3" s="327"/>
      <c r="H3" s="327"/>
      <c r="I3" s="327"/>
      <c r="J3" s="327"/>
      <c r="K3" s="327"/>
      <c r="L3" s="327"/>
      <c r="M3" s="87"/>
    </row>
    <row r="4" spans="1:18" ht="21" customHeight="1" x14ac:dyDescent="0.45">
      <c r="A4" s="87"/>
      <c r="B4" s="123" t="s">
        <v>40</v>
      </c>
      <c r="C4" s="342"/>
      <c r="D4" s="343"/>
      <c r="E4" s="343"/>
      <c r="F4" s="343"/>
      <c r="G4" s="343"/>
      <c r="H4" s="343"/>
      <c r="I4" s="343"/>
      <c r="J4" s="343"/>
      <c r="K4" s="343"/>
      <c r="L4" s="289"/>
      <c r="M4" s="87"/>
    </row>
    <row r="5" spans="1:18" ht="21" customHeight="1" x14ac:dyDescent="0.45">
      <c r="A5" s="87"/>
      <c r="B5" s="123" t="s">
        <v>41</v>
      </c>
      <c r="C5" s="342"/>
      <c r="D5" s="343"/>
      <c r="E5" s="343"/>
      <c r="F5" s="343"/>
      <c r="G5" s="343"/>
      <c r="H5" s="343"/>
      <c r="I5" s="343"/>
      <c r="J5" s="343"/>
      <c r="K5" s="343"/>
      <c r="L5" s="289"/>
      <c r="M5" s="87"/>
    </row>
    <row r="6" spans="1:18" ht="21" customHeight="1" x14ac:dyDescent="0.45">
      <c r="A6" s="87"/>
      <c r="B6" s="123" t="s">
        <v>42</v>
      </c>
      <c r="C6" s="342"/>
      <c r="D6" s="343"/>
      <c r="E6" s="343"/>
      <c r="F6" s="343"/>
      <c r="G6" s="343"/>
      <c r="H6" s="343"/>
      <c r="I6" s="343"/>
      <c r="J6" s="343"/>
      <c r="K6" s="343"/>
      <c r="L6" s="289"/>
      <c r="M6" s="87"/>
    </row>
    <row r="7" spans="1:18" ht="21" customHeight="1" x14ac:dyDescent="0.45">
      <c r="A7" s="87"/>
      <c r="B7" s="123" t="s">
        <v>43</v>
      </c>
      <c r="C7" s="342"/>
      <c r="D7" s="343"/>
      <c r="E7" s="343"/>
      <c r="F7" s="343"/>
      <c r="G7" s="343"/>
      <c r="H7" s="343"/>
      <c r="I7" s="343"/>
      <c r="J7" s="343"/>
      <c r="K7" s="343"/>
      <c r="L7" s="289"/>
      <c r="M7" s="87"/>
    </row>
    <row r="8" spans="1:18" ht="9" customHeight="1" x14ac:dyDescent="0.45">
      <c r="A8" s="87"/>
      <c r="B8" s="356"/>
      <c r="C8" s="327"/>
      <c r="D8" s="327"/>
      <c r="E8" s="327"/>
      <c r="F8" s="327"/>
      <c r="G8" s="327"/>
      <c r="H8" s="327"/>
      <c r="I8" s="327"/>
      <c r="J8" s="327"/>
      <c r="K8" s="327"/>
      <c r="L8" s="327"/>
      <c r="M8" s="87"/>
    </row>
    <row r="9" spans="1:18" ht="10.5" customHeight="1" thickBot="1" x14ac:dyDescent="0.5">
      <c r="A9" s="87"/>
      <c r="B9" s="124"/>
      <c r="C9" s="124"/>
      <c r="D9" s="124"/>
      <c r="E9" s="124"/>
      <c r="F9" s="124"/>
      <c r="G9" s="124"/>
      <c r="H9" s="124"/>
      <c r="I9" s="124"/>
      <c r="J9" s="124"/>
      <c r="K9" s="341"/>
      <c r="L9" s="301"/>
      <c r="M9" s="87"/>
    </row>
    <row r="10" spans="1:18" ht="26.25" customHeight="1" x14ac:dyDescent="0.45">
      <c r="A10" s="87"/>
      <c r="B10" s="124"/>
      <c r="C10" s="124"/>
      <c r="D10" s="338" t="s">
        <v>44</v>
      </c>
      <c r="E10" s="294"/>
      <c r="F10" s="294"/>
      <c r="G10" s="294"/>
      <c r="H10" s="291"/>
      <c r="I10" s="127" t="s">
        <v>45</v>
      </c>
      <c r="J10" s="124"/>
      <c r="K10" s="350" t="s">
        <v>46</v>
      </c>
      <c r="L10" s="351"/>
      <c r="M10" s="87"/>
      <c r="O10" s="110" t="s">
        <v>47</v>
      </c>
      <c r="P10" s="110" t="s">
        <v>48</v>
      </c>
      <c r="Q10" s="110" t="s">
        <v>49</v>
      </c>
      <c r="R10" s="110"/>
    </row>
    <row r="11" spans="1:18" ht="21" customHeight="1" x14ac:dyDescent="0.45">
      <c r="A11" s="87"/>
      <c r="B11" s="338" t="s">
        <v>50</v>
      </c>
      <c r="C11" s="126">
        <v>1</v>
      </c>
      <c r="D11" s="339" t="str">
        <f>Shifter!C3</f>
        <v>مسئولیت در صحت انجام عملیات (اعمال جرایم)</v>
      </c>
      <c r="E11" s="294"/>
      <c r="F11" s="294"/>
      <c r="G11" s="294"/>
      <c r="H11" s="291"/>
      <c r="I11" s="166">
        <v>0</v>
      </c>
      <c r="J11" s="87"/>
      <c r="K11" s="200" t="s">
        <v>51</v>
      </c>
      <c r="L11" s="205" t="e">
        <f>R11</f>
        <v>#REF!</v>
      </c>
      <c r="M11" s="240" t="s">
        <v>52</v>
      </c>
      <c r="O11" s="148">
        <f>Elements!F4</f>
        <v>5780</v>
      </c>
      <c r="P11" s="148">
        <f>Elements!F4</f>
        <v>5780</v>
      </c>
      <c r="Q11" s="148">
        <f>Elements_F!F4</f>
        <v>0</v>
      </c>
      <c r="R11" s="128" t="e">
        <f>IF(OR(Scope!#REF! = "A", Scope!#REF! = "B", Scope!#REF! = "C" ), O11, Q11)</f>
        <v>#REF!</v>
      </c>
    </row>
    <row r="12" spans="1:18" ht="22.5" customHeight="1" x14ac:dyDescent="0.45">
      <c r="A12" s="87"/>
      <c r="B12" s="347"/>
      <c r="C12" s="126">
        <v>2</v>
      </c>
      <c r="D12" s="339" t="str">
        <f>Shifter!C4</f>
        <v>عدم وجود مستندات تعریف محدوده کار</v>
      </c>
      <c r="E12" s="294"/>
      <c r="F12" s="294"/>
      <c r="G12" s="294"/>
      <c r="H12" s="291"/>
      <c r="I12" s="166">
        <v>0</v>
      </c>
      <c r="J12" s="87"/>
      <c r="K12" s="352" t="s">
        <v>53</v>
      </c>
      <c r="L12" s="360" t="e">
        <f>R14</f>
        <v>#REF!</v>
      </c>
      <c r="M12" s="336" t="s">
        <v>54</v>
      </c>
      <c r="O12" s="169">
        <f>CL!H60</f>
        <v>0</v>
      </c>
      <c r="P12" s="169"/>
      <c r="Q12" s="128"/>
      <c r="R12" s="128"/>
    </row>
    <row r="13" spans="1:18" ht="22.5" customHeight="1" x14ac:dyDescent="0.45">
      <c r="A13" s="87"/>
      <c r="B13" s="347"/>
      <c r="C13" s="126">
        <v>3</v>
      </c>
      <c r="D13" s="339" t="str">
        <f>Shifter!C5</f>
        <v>عدم شناخت کارفرما از نیازمندیهای خود</v>
      </c>
      <c r="E13" s="294"/>
      <c r="F13" s="294"/>
      <c r="G13" s="294"/>
      <c r="H13" s="291"/>
      <c r="I13" s="166">
        <v>0</v>
      </c>
      <c r="J13" s="87"/>
      <c r="K13" s="355"/>
      <c r="L13" s="358"/>
      <c r="M13" s="337"/>
      <c r="O13" s="128">
        <f>IF(OR(ISBLANK(C4), ISBLANK(C5), ISBLANK(C6), ISBLANK(C7)), 0, 1)</f>
        <v>0</v>
      </c>
      <c r="P13" s="128"/>
      <c r="Q13" s="128"/>
      <c r="R13" s="128"/>
    </row>
    <row r="14" spans="1:18" ht="22.5" customHeight="1" x14ac:dyDescent="0.45">
      <c r="A14" s="87"/>
      <c r="B14" s="347"/>
      <c r="C14" s="126">
        <v>4</v>
      </c>
      <c r="D14" s="339" t="str">
        <f>Shifter!C6</f>
        <v>برخورداری از تکنولوژی بالا در فرایند و محصول</v>
      </c>
      <c r="E14" s="294"/>
      <c r="F14" s="294"/>
      <c r="G14" s="294"/>
      <c r="H14" s="291"/>
      <c r="I14" s="166">
        <v>0</v>
      </c>
      <c r="J14" s="87"/>
      <c r="K14" s="353"/>
      <c r="L14" s="359"/>
      <c r="M14" s="337"/>
      <c r="O14" s="128">
        <f>IFERROR(CEILING((1+O12)*O11,1),0)*O13</f>
        <v>0</v>
      </c>
      <c r="P14" s="148">
        <f>P11</f>
        <v>5780</v>
      </c>
      <c r="Q14" s="148">
        <f>Q11</f>
        <v>0</v>
      </c>
      <c r="R14" s="128" t="e">
        <f>IF(OR(Scope!#REF! = "A", Scope!#REF! = "C"), O14, IF(Scope!#REF! = "B", P14, Q14))</f>
        <v>#REF!</v>
      </c>
    </row>
    <row r="15" spans="1:18" ht="22.5" customHeight="1" x14ac:dyDescent="0.45">
      <c r="A15" s="87"/>
      <c r="B15" s="347"/>
      <c r="C15" s="126">
        <v>5</v>
      </c>
      <c r="D15" s="339" t="str">
        <f>Shifter!C7</f>
        <v>استفاده از سکوی توسعه رده Main Frame</v>
      </c>
      <c r="E15" s="294"/>
      <c r="F15" s="294"/>
      <c r="G15" s="294"/>
      <c r="H15" s="291"/>
      <c r="I15" s="166">
        <v>0</v>
      </c>
      <c r="J15" s="87"/>
      <c r="K15" s="352" t="s">
        <v>55</v>
      </c>
      <c r="L15" s="357" t="e">
        <f>L12+CEILING(I23*L12,1)+CEILING(I24*L12,1)+CEILING(I25*L12,1)</f>
        <v>#REF!</v>
      </c>
      <c r="M15" s="344" t="s">
        <v>56</v>
      </c>
    </row>
    <row r="16" spans="1:18" ht="22.5" customHeight="1" x14ac:dyDescent="0.45">
      <c r="A16" s="87"/>
      <c r="B16" s="347"/>
      <c r="C16" s="126">
        <v>6</v>
      </c>
      <c r="D16" s="339" t="str">
        <f>Shifter!C8</f>
        <v>سرعت در انجام پروژه</v>
      </c>
      <c r="E16" s="294"/>
      <c r="F16" s="294"/>
      <c r="G16" s="294"/>
      <c r="H16" s="291"/>
      <c r="I16" s="166">
        <v>0</v>
      </c>
      <c r="J16" s="87"/>
      <c r="K16" s="355"/>
      <c r="L16" s="358"/>
      <c r="M16" s="337"/>
    </row>
    <row r="17" spans="1:13" ht="22.5" customHeight="1" x14ac:dyDescent="0.45">
      <c r="A17" s="87"/>
      <c r="B17" s="347"/>
      <c r="C17" s="126">
        <v>7</v>
      </c>
      <c r="D17" s="339" t="str">
        <f>Shifter!C9</f>
        <v>ظرفیت خالی</v>
      </c>
      <c r="E17" s="294"/>
      <c r="F17" s="294"/>
      <c r="G17" s="294"/>
      <c r="H17" s="291"/>
      <c r="I17" s="166">
        <v>0</v>
      </c>
      <c r="J17" s="87"/>
      <c r="K17" s="355"/>
      <c r="L17" s="358"/>
      <c r="M17" s="337"/>
    </row>
    <row r="18" spans="1:13" ht="23.25" customHeight="1" x14ac:dyDescent="0.45">
      <c r="A18" s="87"/>
      <c r="B18" s="347"/>
      <c r="C18" s="126">
        <v>8</v>
      </c>
      <c r="D18" s="339" t="str">
        <f>Shifter!C10</f>
        <v>اتصال به سیستم های خارجی</v>
      </c>
      <c r="E18" s="294"/>
      <c r="F18" s="294"/>
      <c r="G18" s="294"/>
      <c r="H18" s="291"/>
      <c r="I18" s="166">
        <v>0</v>
      </c>
      <c r="J18" s="87"/>
      <c r="K18" s="355"/>
      <c r="L18" s="358"/>
      <c r="M18" s="337"/>
    </row>
    <row r="19" spans="1:13" ht="23.25" customHeight="1" thickBot="1" x14ac:dyDescent="0.5">
      <c r="A19" s="87"/>
      <c r="B19" s="347"/>
      <c r="C19" s="126">
        <v>9</v>
      </c>
      <c r="D19" s="339" t="str">
        <f>Shifter!C11</f>
        <v>حضور عوامل بیرونی</v>
      </c>
      <c r="E19" s="294"/>
      <c r="F19" s="294"/>
      <c r="G19" s="294"/>
      <c r="H19" s="291"/>
      <c r="I19" s="166">
        <v>0</v>
      </c>
      <c r="J19" s="87"/>
      <c r="K19" s="353"/>
      <c r="L19" s="359"/>
      <c r="M19" s="337"/>
    </row>
    <row r="20" spans="1:13" ht="22.5" customHeight="1" x14ac:dyDescent="0.45">
      <c r="A20" s="87"/>
      <c r="B20" s="348"/>
      <c r="C20" s="126">
        <v>10</v>
      </c>
      <c r="D20" s="339" t="str">
        <f>Shifter!C12</f>
        <v>پیچیدگی محصول</v>
      </c>
      <c r="E20" s="294"/>
      <c r="F20" s="294"/>
      <c r="G20" s="294"/>
      <c r="H20" s="291"/>
      <c r="I20" s="166">
        <v>0</v>
      </c>
      <c r="J20" s="87"/>
      <c r="K20" s="87"/>
      <c r="L20" s="125"/>
      <c r="M20" s="87"/>
    </row>
    <row r="21" spans="1:13" ht="18.75" customHeight="1" x14ac:dyDescent="0.45">
      <c r="A21" s="87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</row>
    <row r="22" spans="1:13" ht="22.5" customHeight="1" thickBot="1" x14ac:dyDescent="0.5">
      <c r="A22" s="87"/>
      <c r="B22" s="87"/>
      <c r="C22" s="87"/>
      <c r="D22" s="87"/>
      <c r="E22" s="87"/>
      <c r="F22" s="87"/>
      <c r="G22" s="87"/>
      <c r="H22" s="87"/>
      <c r="I22" s="87"/>
      <c r="J22" s="87"/>
      <c r="K22" s="341"/>
      <c r="L22" s="301"/>
      <c r="M22" s="87"/>
    </row>
    <row r="23" spans="1:13" ht="22.5" customHeight="1" x14ac:dyDescent="0.45">
      <c r="A23" s="87"/>
      <c r="B23" s="338" t="s">
        <v>57</v>
      </c>
      <c r="C23" s="126">
        <v>1</v>
      </c>
      <c r="D23" s="339" t="s">
        <v>58</v>
      </c>
      <c r="E23" s="294"/>
      <c r="F23" s="294"/>
      <c r="G23" s="294"/>
      <c r="H23" s="291"/>
      <c r="I23" s="167">
        <f>Constants!F36</f>
        <v>0</v>
      </c>
      <c r="J23" s="87"/>
      <c r="K23" s="350" t="s">
        <v>59</v>
      </c>
      <c r="L23" s="351"/>
      <c r="M23" s="87"/>
    </row>
    <row r="24" spans="1:13" ht="22.5" customHeight="1" x14ac:dyDescent="0.45">
      <c r="A24" s="87"/>
      <c r="B24" s="347"/>
      <c r="C24" s="126">
        <v>2</v>
      </c>
      <c r="D24" s="339" t="s">
        <v>60</v>
      </c>
      <c r="E24" s="294"/>
      <c r="F24" s="294"/>
      <c r="G24" s="294"/>
      <c r="H24" s="291"/>
      <c r="I24" s="167">
        <f>Constants!G36</f>
        <v>0</v>
      </c>
      <c r="J24" s="87"/>
      <c r="K24" s="352" t="s">
        <v>61</v>
      </c>
      <c r="L24" s="345">
        <v>0</v>
      </c>
      <c r="M24" s="87"/>
    </row>
    <row r="25" spans="1:13" ht="23.25" customHeight="1" thickBot="1" x14ac:dyDescent="0.5">
      <c r="A25" s="87"/>
      <c r="B25" s="347"/>
      <c r="C25" s="126">
        <v>3</v>
      </c>
      <c r="D25" s="339" t="s">
        <v>62</v>
      </c>
      <c r="E25" s="294"/>
      <c r="F25" s="294"/>
      <c r="G25" s="294"/>
      <c r="H25" s="291"/>
      <c r="I25" s="167">
        <f>Constants!H36</f>
        <v>0</v>
      </c>
      <c r="J25" s="87"/>
      <c r="K25" s="353"/>
      <c r="L25" s="346"/>
      <c r="M25" s="87"/>
    </row>
    <row r="26" spans="1:13" ht="22.5" customHeight="1" x14ac:dyDescent="0.45">
      <c r="A26" s="87"/>
      <c r="B26" s="348"/>
      <c r="C26" s="126">
        <v>4</v>
      </c>
      <c r="D26" s="339" t="s">
        <v>63</v>
      </c>
      <c r="E26" s="294"/>
      <c r="F26" s="294"/>
      <c r="G26" s="294"/>
      <c r="H26" s="291"/>
      <c r="I26" s="166">
        <v>0.05</v>
      </c>
      <c r="J26" s="87"/>
      <c r="K26" s="87"/>
      <c r="L26" s="87"/>
      <c r="M26" s="87"/>
    </row>
    <row r="27" spans="1:13" ht="14.25" customHeight="1" x14ac:dyDescent="0.4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</row>
    <row r="28" spans="1:13" hidden="1" x14ac:dyDescent="0.4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</row>
    <row r="29" spans="1:13" hidden="1" x14ac:dyDescent="0.45">
      <c r="A29" s="87"/>
      <c r="M29" s="87"/>
    </row>
  </sheetData>
  <mergeCells count="37">
    <mergeCell ref="B1:L1"/>
    <mergeCell ref="K15:K19"/>
    <mergeCell ref="B8:L8"/>
    <mergeCell ref="C5:L5"/>
    <mergeCell ref="D17:H17"/>
    <mergeCell ref="D16:H16"/>
    <mergeCell ref="B11:B20"/>
    <mergeCell ref="C4:L4"/>
    <mergeCell ref="D18:H18"/>
    <mergeCell ref="D12:H12"/>
    <mergeCell ref="L15:L19"/>
    <mergeCell ref="L12:L14"/>
    <mergeCell ref="D15:H15"/>
    <mergeCell ref="K10:L10"/>
    <mergeCell ref="K12:K14"/>
    <mergeCell ref="D14:H14"/>
    <mergeCell ref="L24:L25"/>
    <mergeCell ref="B23:B26"/>
    <mergeCell ref="D11:H11"/>
    <mergeCell ref="B2:L2"/>
    <mergeCell ref="D13:H13"/>
    <mergeCell ref="C6:L6"/>
    <mergeCell ref="K22:L22"/>
    <mergeCell ref="K23:L23"/>
    <mergeCell ref="D25:H25"/>
    <mergeCell ref="D24:H24"/>
    <mergeCell ref="K24:K25"/>
    <mergeCell ref="D23:H23"/>
    <mergeCell ref="D26:H26"/>
    <mergeCell ref="D20:H20"/>
    <mergeCell ref="M12:M14"/>
    <mergeCell ref="D10:H10"/>
    <mergeCell ref="D19:H19"/>
    <mergeCell ref="B3:L3"/>
    <mergeCell ref="K9:L9"/>
    <mergeCell ref="C7:L7"/>
    <mergeCell ref="M15:M19"/>
  </mergeCells>
  <conditionalFormatting sqref="C4:C7 I11:I20 L24">
    <cfRule type="expression" dxfId="16" priority="10">
      <formula>ISBLANK(C4)</formula>
    </cfRule>
  </conditionalFormatting>
  <conditionalFormatting sqref="C11:C20">
    <cfRule type="expression" dxfId="15" priority="9">
      <formula>ISBLANK(C11)</formula>
    </cfRule>
  </conditionalFormatting>
  <conditionalFormatting sqref="D11:D20">
    <cfRule type="expression" dxfId="14" priority="7">
      <formula>ISBLANK(D11)</formula>
    </cfRule>
  </conditionalFormatting>
  <conditionalFormatting sqref="I23:I25">
    <cfRule type="expression" dxfId="13" priority="6">
      <formula>ISBLANK(I23)</formula>
    </cfRule>
  </conditionalFormatting>
  <conditionalFormatting sqref="C23:C25">
    <cfRule type="expression" dxfId="12" priority="5">
      <formula>ISBLANK(C23)</formula>
    </cfRule>
  </conditionalFormatting>
  <conditionalFormatting sqref="D23:D25">
    <cfRule type="expression" dxfId="11" priority="4">
      <formula>ISBLANK(D23)</formula>
    </cfRule>
  </conditionalFormatting>
  <conditionalFormatting sqref="I26">
    <cfRule type="expression" dxfId="10" priority="3">
      <formula>ISBLANK(I26)</formula>
    </cfRule>
  </conditionalFormatting>
  <conditionalFormatting sqref="C26">
    <cfRule type="expression" dxfId="9" priority="2">
      <formula>ISBLANK(C26)</formula>
    </cfRule>
  </conditionalFormatting>
  <conditionalFormatting sqref="D26">
    <cfRule type="expression" dxfId="8" priority="1">
      <formula>ISBLANK(D26)</formula>
    </cfRule>
  </conditionalFormatting>
  <dataValidations count="7">
    <dataValidation type="list" allowBlank="1" showInputMessage="1" showErrorMessage="1" sqref="C7" xr:uid="{00000000-0002-0000-0300-000000000000}">
      <formula1>project_methodology</formula1>
    </dataValidation>
    <dataValidation type="list" allowBlank="1" showInputMessage="1" showErrorMessage="1" sqref="C6" xr:uid="{00000000-0002-0000-0300-000001000000}">
      <formula1>project_status</formula1>
    </dataValidation>
    <dataValidation type="list" allowBlank="1" showInputMessage="1" showErrorMessage="1" sqref="C5" xr:uid="{00000000-0002-0000-0300-000002000000}">
      <formula1>project_type</formula1>
    </dataValidation>
    <dataValidation type="list" allowBlank="1" showInputMessage="1" showErrorMessage="1" sqref="C4" xr:uid="{00000000-0002-0000-0300-000003000000}">
      <formula1>project_group</formula1>
    </dataValidation>
    <dataValidation type="decimal" allowBlank="1" showInputMessage="1" showErrorMessage="1" errorTitle="خطا در ورود اطلاعات" error="اعداد بین 0% تا 100% مورد قبول است." sqref="I11:I20" xr:uid="{00000000-0002-0000-0300-000004000000}">
      <formula1>0</formula1>
      <formula2>1</formula2>
    </dataValidation>
    <dataValidation type="whole" allowBlank="1" showInputMessage="1" showErrorMessage="1" errorTitle="خطا در ورود اطلاعات" error="اعداد صحیح بین 0 تا 24 مورد قبول است." sqref="L24:L25" xr:uid="{00000000-0002-0000-0300-000005000000}">
      <formula1>0</formula1>
      <formula2>24</formula2>
    </dataValidation>
    <dataValidation type="decimal" allowBlank="1" showInputMessage="1" showErrorMessage="1" errorTitle="خطا" error="این عدد می‌تواند بین ۳ تا ۵ درصد باشد" sqref="I26" xr:uid="{00000000-0002-0000-0300-000006000000}">
      <formula1>0.03</formula1>
      <formula2>0.05</formula2>
    </dataValidation>
  </dataValidation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pageSetUpPr fitToPage="1"/>
  </sheetPr>
  <dimension ref="A1:P35"/>
  <sheetViews>
    <sheetView showGridLines="0" rightToLeft="1" zoomScaleNormal="100" zoomScaleSheetLayoutView="100" workbookViewId="0">
      <selection sqref="A1:M1"/>
    </sheetView>
  </sheetViews>
  <sheetFormatPr defaultColWidth="0" defaultRowHeight="14.25" zeroHeight="1" x14ac:dyDescent="0.45"/>
  <cols>
    <col min="1" max="1" width="23.6640625" customWidth="1"/>
    <col min="2" max="11" width="13.53125" customWidth="1"/>
    <col min="12" max="12" width="10.53125" customWidth="1"/>
    <col min="13" max="13" width="12" customWidth="1"/>
    <col min="14" max="14" width="2.1328125" customWidth="1"/>
    <col min="15" max="15" width="9.1328125" hidden="1" customWidth="1"/>
    <col min="16" max="16" width="16.1328125" hidden="1" customWidth="1"/>
    <col min="17" max="17" width="9.1328125" hidden="1" customWidth="1"/>
    <col min="18" max="16384" width="9.1328125" hidden="1"/>
  </cols>
  <sheetData>
    <row r="1" spans="1:16" ht="42.75" customHeight="1" x14ac:dyDescent="0.45">
      <c r="A1" s="354" t="str">
        <f>CONCATENATE("«",Scope!D4,"»")</f>
        <v>«طراحی کیف پول»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1"/>
    </row>
    <row r="2" spans="1:16" ht="26.25" customHeight="1" x14ac:dyDescent="0.45">
      <c r="A2" s="349" t="s">
        <v>64</v>
      </c>
      <c r="B2" s="294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1"/>
    </row>
    <row r="3" spans="1:16" ht="12" customHeight="1" x14ac:dyDescent="0.45">
      <c r="A3" s="367"/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8"/>
    </row>
    <row r="4" spans="1:16" ht="22.5" customHeight="1" x14ac:dyDescent="0.45">
      <c r="A4" s="77"/>
      <c r="B4" s="77"/>
      <c r="C4" s="77"/>
      <c r="D4" s="77"/>
      <c r="E4" s="77"/>
      <c r="F4" s="77"/>
      <c r="G4" s="361" t="s">
        <v>65</v>
      </c>
      <c r="H4" s="291"/>
      <c r="I4" s="86" t="e">
        <f>M4-L18</f>
        <v>#REF!</v>
      </c>
      <c r="J4" s="77"/>
      <c r="K4" s="371" t="s">
        <v>66</v>
      </c>
      <c r="L4" s="291"/>
      <c r="M4" s="78" t="e">
        <f>ProjectDef!L15</f>
        <v>#REF!</v>
      </c>
      <c r="P4" s="110"/>
    </row>
    <row r="5" spans="1:16" ht="19.5" customHeight="1" x14ac:dyDescent="0.45">
      <c r="A5" s="372" t="s">
        <v>67</v>
      </c>
      <c r="B5" s="364"/>
      <c r="C5" s="364"/>
      <c r="D5" s="364"/>
      <c r="E5" s="364"/>
      <c r="F5" s="364"/>
      <c r="G5" s="373"/>
      <c r="H5" s="362" t="s">
        <v>58</v>
      </c>
      <c r="I5" s="362" t="s">
        <v>60</v>
      </c>
      <c r="J5" s="362" t="s">
        <v>62</v>
      </c>
      <c r="K5" s="362" t="s">
        <v>68</v>
      </c>
      <c r="L5" s="369" t="s">
        <v>35</v>
      </c>
      <c r="M5" s="370"/>
    </row>
    <row r="6" spans="1:16" ht="20.25" customHeight="1" x14ac:dyDescent="0.45">
      <c r="A6" s="363"/>
      <c r="B6" s="365"/>
      <c r="C6" s="365"/>
      <c r="D6" s="365"/>
      <c r="E6" s="365"/>
      <c r="F6" s="365"/>
      <c r="G6" s="365"/>
      <c r="H6" s="363"/>
      <c r="I6" s="363"/>
      <c r="J6" s="363"/>
      <c r="K6" s="363"/>
      <c r="L6" s="34" t="s">
        <v>69</v>
      </c>
      <c r="M6" s="34" t="s">
        <v>45</v>
      </c>
    </row>
    <row r="7" spans="1:16" ht="18.75" customHeight="1" x14ac:dyDescent="0.85">
      <c r="A7" s="33" t="s">
        <v>5</v>
      </c>
      <c r="B7" s="38"/>
      <c r="C7" s="38"/>
      <c r="D7" s="38"/>
      <c r="E7" s="38"/>
      <c r="F7" s="38"/>
      <c r="G7" s="38"/>
      <c r="H7" s="39"/>
      <c r="I7" s="39"/>
      <c r="J7" s="39"/>
      <c r="K7" s="39"/>
      <c r="L7" s="39">
        <f t="shared" ref="L7:L18" si="0">SUM(B7:K7)</f>
        <v>0</v>
      </c>
      <c r="M7" s="8">
        <f t="shared" ref="M7:M17" si="1">IF(L7=0, 0,ROUND(L7/$L$18,2))</f>
        <v>0</v>
      </c>
    </row>
    <row r="8" spans="1:16" ht="18.75" customHeight="1" x14ac:dyDescent="0.85">
      <c r="A8" s="35" t="s">
        <v>70</v>
      </c>
      <c r="B8" s="40"/>
      <c r="C8" s="40"/>
      <c r="D8" s="40"/>
      <c r="E8" s="40"/>
      <c r="F8" s="40"/>
      <c r="G8" s="40"/>
      <c r="H8" s="41"/>
      <c r="I8" s="41"/>
      <c r="J8" s="41"/>
      <c r="K8" s="41"/>
      <c r="L8" s="41">
        <f t="shared" si="0"/>
        <v>0</v>
      </c>
      <c r="M8" s="9">
        <f t="shared" si="1"/>
        <v>0</v>
      </c>
    </row>
    <row r="9" spans="1:16" ht="18.75" customHeight="1" x14ac:dyDescent="0.85">
      <c r="A9" s="33" t="s">
        <v>71</v>
      </c>
      <c r="B9" s="38"/>
      <c r="C9" s="38"/>
      <c r="D9" s="38"/>
      <c r="E9" s="38"/>
      <c r="F9" s="38"/>
      <c r="G9" s="38"/>
      <c r="H9" s="39"/>
      <c r="I9" s="39"/>
      <c r="J9" s="39"/>
      <c r="K9" s="39"/>
      <c r="L9" s="39">
        <f t="shared" si="0"/>
        <v>0</v>
      </c>
      <c r="M9" s="8">
        <f t="shared" si="1"/>
        <v>0</v>
      </c>
    </row>
    <row r="10" spans="1:16" ht="18.75" customHeight="1" x14ac:dyDescent="0.85">
      <c r="A10" s="35" t="s">
        <v>72</v>
      </c>
      <c r="B10" s="40"/>
      <c r="C10" s="40"/>
      <c r="D10" s="40"/>
      <c r="E10" s="40"/>
      <c r="F10" s="40"/>
      <c r="G10" s="40"/>
      <c r="H10" s="41"/>
      <c r="I10" s="41"/>
      <c r="J10" s="41"/>
      <c r="K10" s="41"/>
      <c r="L10" s="41">
        <f t="shared" si="0"/>
        <v>0</v>
      </c>
      <c r="M10" s="9">
        <f t="shared" si="1"/>
        <v>0</v>
      </c>
    </row>
    <row r="11" spans="1:16" ht="18.75" customHeight="1" x14ac:dyDescent="0.85">
      <c r="A11" s="33" t="s">
        <v>73</v>
      </c>
      <c r="B11" s="38"/>
      <c r="C11" s="38"/>
      <c r="D11" s="38"/>
      <c r="E11" s="38"/>
      <c r="F11" s="38"/>
      <c r="G11" s="38"/>
      <c r="H11" s="75"/>
      <c r="I11" s="75"/>
      <c r="J11" s="75"/>
      <c r="K11" s="75"/>
      <c r="L11" s="39">
        <f t="shared" si="0"/>
        <v>0</v>
      </c>
      <c r="M11" s="8">
        <f t="shared" si="1"/>
        <v>0</v>
      </c>
    </row>
    <row r="12" spans="1:16" ht="18.75" customHeight="1" x14ac:dyDescent="0.85">
      <c r="A12" s="35" t="s">
        <v>74</v>
      </c>
      <c r="B12" s="40"/>
      <c r="C12" s="40"/>
      <c r="D12" s="40"/>
      <c r="E12" s="40"/>
      <c r="F12" s="40"/>
      <c r="G12" s="40"/>
      <c r="H12" s="67"/>
      <c r="I12" s="67"/>
      <c r="J12" s="67"/>
      <c r="K12" s="67"/>
      <c r="L12" s="41">
        <f t="shared" si="0"/>
        <v>0</v>
      </c>
      <c r="M12" s="9">
        <f t="shared" si="1"/>
        <v>0</v>
      </c>
    </row>
    <row r="13" spans="1:16" ht="18.75" customHeight="1" x14ac:dyDescent="0.85">
      <c r="A13" s="33" t="s">
        <v>75</v>
      </c>
      <c r="B13" s="38"/>
      <c r="C13" s="38"/>
      <c r="D13" s="38"/>
      <c r="E13" s="38"/>
      <c r="F13" s="38"/>
      <c r="G13" s="38"/>
      <c r="H13" s="75" t="e">
        <f>CEILING(ProjectDef!L12*ProjectDef!I23,1)</f>
        <v>#REF!</v>
      </c>
      <c r="I13" s="75"/>
      <c r="J13" s="75"/>
      <c r="K13" s="75"/>
      <c r="L13" s="39" t="e">
        <f t="shared" si="0"/>
        <v>#REF!</v>
      </c>
      <c r="M13" s="8" t="e">
        <f t="shared" si="1"/>
        <v>#REF!</v>
      </c>
    </row>
    <row r="14" spans="1:16" ht="18.75" customHeight="1" x14ac:dyDescent="0.85">
      <c r="A14" s="35" t="s">
        <v>76</v>
      </c>
      <c r="B14" s="40"/>
      <c r="C14" s="40"/>
      <c r="D14" s="40"/>
      <c r="E14" s="40"/>
      <c r="F14" s="40"/>
      <c r="G14" s="40"/>
      <c r="H14" s="67"/>
      <c r="I14" s="67" t="e">
        <f>CEILING(ProjectDef!L12*ProjectDef!I24,1)</f>
        <v>#REF!</v>
      </c>
      <c r="J14" s="67"/>
      <c r="K14" s="67"/>
      <c r="L14" s="41" t="e">
        <f t="shared" si="0"/>
        <v>#REF!</v>
      </c>
      <c r="M14" s="9" t="e">
        <f t="shared" si="1"/>
        <v>#REF!</v>
      </c>
    </row>
    <row r="15" spans="1:16" ht="18.75" customHeight="1" x14ac:dyDescent="0.85">
      <c r="A15" s="33" t="s">
        <v>77</v>
      </c>
      <c r="B15" s="38"/>
      <c r="C15" s="38"/>
      <c r="D15" s="38"/>
      <c r="E15" s="38"/>
      <c r="F15" s="38"/>
      <c r="G15" s="38"/>
      <c r="H15" s="75"/>
      <c r="I15" s="75"/>
      <c r="J15" s="75"/>
      <c r="K15" s="75"/>
      <c r="L15" s="39">
        <f t="shared" si="0"/>
        <v>0</v>
      </c>
      <c r="M15" s="8">
        <f t="shared" si="1"/>
        <v>0</v>
      </c>
    </row>
    <row r="16" spans="1:16" ht="18.75" customHeight="1" x14ac:dyDescent="0.85">
      <c r="A16" s="35" t="s">
        <v>78</v>
      </c>
      <c r="B16" s="40"/>
      <c r="C16" s="40"/>
      <c r="D16" s="40"/>
      <c r="E16" s="40"/>
      <c r="F16" s="40"/>
      <c r="G16" s="40"/>
      <c r="H16" s="67"/>
      <c r="I16" s="67"/>
      <c r="J16" s="67" t="e">
        <f>CEILING(ProjectDef!L12*ProjectDef!I25,1)</f>
        <v>#REF!</v>
      </c>
      <c r="K16" s="67"/>
      <c r="L16" s="41" t="e">
        <f t="shared" si="0"/>
        <v>#REF!</v>
      </c>
      <c r="M16" s="9" t="e">
        <f t="shared" si="1"/>
        <v>#REF!</v>
      </c>
    </row>
    <row r="17" spans="1:13" ht="18.75" customHeight="1" x14ac:dyDescent="0.85">
      <c r="A17" s="33" t="s">
        <v>9</v>
      </c>
      <c r="B17" s="38"/>
      <c r="C17" s="38"/>
      <c r="D17" s="38"/>
      <c r="E17" s="38"/>
      <c r="F17" s="38"/>
      <c r="G17" s="38"/>
      <c r="H17" s="75"/>
      <c r="I17" s="75"/>
      <c r="J17" s="75"/>
      <c r="K17" s="75" t="e">
        <f>ROUNDDOWN(ProjectDef!L12*Constants!I36,0)</f>
        <v>#REF!</v>
      </c>
      <c r="L17" s="39" t="e">
        <f t="shared" si="0"/>
        <v>#REF!</v>
      </c>
      <c r="M17" s="8" t="e">
        <f t="shared" si="1"/>
        <v>#REF!</v>
      </c>
    </row>
    <row r="18" spans="1:13" ht="18.75" customHeight="1" x14ac:dyDescent="0.85">
      <c r="A18" s="76"/>
      <c r="B18" s="42">
        <f t="shared" ref="B18:K18" si="2">SUM(B7:B17)</f>
        <v>0</v>
      </c>
      <c r="C18" s="42">
        <f t="shared" si="2"/>
        <v>0</v>
      </c>
      <c r="D18" s="42">
        <f t="shared" si="2"/>
        <v>0</v>
      </c>
      <c r="E18" s="42">
        <f t="shared" si="2"/>
        <v>0</v>
      </c>
      <c r="F18" s="42">
        <f t="shared" si="2"/>
        <v>0</v>
      </c>
      <c r="G18" s="42">
        <f t="shared" si="2"/>
        <v>0</v>
      </c>
      <c r="H18" s="42" t="e">
        <f t="shared" si="2"/>
        <v>#REF!</v>
      </c>
      <c r="I18" s="42" t="e">
        <f t="shared" si="2"/>
        <v>#REF!</v>
      </c>
      <c r="J18" s="42" t="e">
        <f t="shared" si="2"/>
        <v>#REF!</v>
      </c>
      <c r="K18" s="42" t="e">
        <f t="shared" si="2"/>
        <v>#REF!</v>
      </c>
      <c r="L18" s="43" t="e">
        <f t="shared" si="0"/>
        <v>#REF!</v>
      </c>
      <c r="M18" s="36" t="e">
        <f>IF(L18=0,0,SUM(L7:L17)/L18)</f>
        <v>#REF!</v>
      </c>
    </row>
    <row r="19" spans="1:13" s="20" customFormat="1" ht="24" customHeight="1" x14ac:dyDescent="0.45">
      <c r="A19" s="194" t="s">
        <v>79</v>
      </c>
      <c r="B19" s="193">
        <f t="shared" ref="B19:G19" si="3">IFERROR(B18/$H$34,0)</f>
        <v>0</v>
      </c>
      <c r="C19" s="193">
        <f t="shared" si="3"/>
        <v>0</v>
      </c>
      <c r="D19" s="193">
        <f t="shared" si="3"/>
        <v>0</v>
      </c>
      <c r="E19" s="193">
        <f t="shared" si="3"/>
        <v>0</v>
      </c>
      <c r="F19" s="193">
        <f t="shared" si="3"/>
        <v>0</v>
      </c>
      <c r="G19" s="193">
        <f t="shared" si="3"/>
        <v>0</v>
      </c>
      <c r="H19" s="192"/>
      <c r="I19" s="192"/>
      <c r="J19" s="192"/>
      <c r="K19" s="193">
        <f>IFERROR(K18/$H$34,0)</f>
        <v>0</v>
      </c>
      <c r="L19" s="191"/>
      <c r="M19" s="192"/>
    </row>
    <row r="20" spans="1:13" s="20" customFormat="1" ht="9" customHeight="1" x14ac:dyDescent="0.45">
      <c r="A20" s="197"/>
      <c r="B20" s="198"/>
      <c r="C20" s="198"/>
      <c r="D20" s="198"/>
      <c r="E20" s="198"/>
      <c r="F20" s="198"/>
      <c r="G20" s="198"/>
      <c r="H20" s="171"/>
      <c r="I20" s="171"/>
      <c r="J20" s="171"/>
      <c r="K20" s="198"/>
      <c r="L20" s="171"/>
      <c r="M20" s="171"/>
    </row>
    <row r="21" spans="1:13" ht="8.25" customHeight="1" x14ac:dyDescent="0.45"/>
    <row r="22" spans="1:13" ht="25.5" customHeight="1" x14ac:dyDescent="0.45">
      <c r="A22" s="219" t="s">
        <v>80</v>
      </c>
      <c r="B22" s="366" t="s">
        <v>81</v>
      </c>
      <c r="C22" s="294"/>
      <c r="D22" s="294"/>
      <c r="E22" s="294"/>
      <c r="F22" s="294"/>
      <c r="G22" s="294"/>
      <c r="H22" s="294"/>
      <c r="I22" s="294"/>
      <c r="J22" s="291"/>
    </row>
    <row r="30" spans="1:13" ht="24" hidden="1" customHeight="1" x14ac:dyDescent="0.45">
      <c r="H30" s="173"/>
    </row>
    <row r="34" spans="7:8" hidden="1" x14ac:dyDescent="0.45">
      <c r="H34" s="196" t="e">
        <f>M4-H13-I14-J16</f>
        <v>#REF!</v>
      </c>
    </row>
    <row r="35" spans="7:8" hidden="1" x14ac:dyDescent="0.45">
      <c r="G35" s="172"/>
      <c r="H35" s="172" t="e">
        <f>SUM(B18:G18)+K18</f>
        <v>#REF!</v>
      </c>
    </row>
  </sheetData>
  <mergeCells count="18">
    <mergeCell ref="B22:J22"/>
    <mergeCell ref="A3:M3"/>
    <mergeCell ref="C5:C6"/>
    <mergeCell ref="L5:M5"/>
    <mergeCell ref="F5:F6"/>
    <mergeCell ref="K4:L4"/>
    <mergeCell ref="K5:K6"/>
    <mergeCell ref="I5:I6"/>
    <mergeCell ref="D5:D6"/>
    <mergeCell ref="A5:A6"/>
    <mergeCell ref="G5:G6"/>
    <mergeCell ref="E5:E6"/>
    <mergeCell ref="G4:H4"/>
    <mergeCell ref="H5:H6"/>
    <mergeCell ref="A1:M1"/>
    <mergeCell ref="J5:J6"/>
    <mergeCell ref="B5:B6"/>
    <mergeCell ref="A2:M2"/>
  </mergeCells>
  <conditionalFormatting sqref="L7:L17">
    <cfRule type="cellIs" dxfId="7" priority="46" operator="notEqual">
      <formula>#REF!</formula>
    </cfRule>
  </conditionalFormatting>
  <conditionalFormatting sqref="M18">
    <cfRule type="expression" dxfId="6" priority="36">
      <formula>AND($M$18 &lt;&gt; 0, $M$18 &lt;&gt; 1)</formula>
    </cfRule>
  </conditionalFormatting>
  <conditionalFormatting sqref="L18">
    <cfRule type="cellIs" dxfId="5" priority="12" operator="notEqual">
      <formula>$M$4</formula>
    </cfRule>
  </conditionalFormatting>
  <conditionalFormatting sqref="B5:G5 B6:C6 G6">
    <cfRule type="expression" dxfId="4" priority="7">
      <formula>OR(AND(ISBLANK(B5),B18&lt;&gt;0),AND(NOT(ISBLANK(B5)),B18=0))</formula>
    </cfRule>
    <cfRule type="duplicateValues" dxfId="3" priority="10"/>
  </conditionalFormatting>
  <conditionalFormatting sqref="B7:K17">
    <cfRule type="expression" dxfId="2" priority="1">
      <formula>IF(AND(INDEX(GroupExpert,MATCH($A7,Expert,0),MATCH(B$5,Group,0))=0,NOT(ISBLANK(B7))),TRUE,FALSE)</formula>
    </cfRule>
  </conditionalFormatting>
  <dataValidations count="3">
    <dataValidation type="list" allowBlank="1" showInputMessage="1" showErrorMessage="1" sqref="B5:G5" xr:uid="{00000000-0002-0000-0400-000000000000}">
      <formula1>WorkingGroups</formula1>
    </dataValidation>
    <dataValidation type="whole" allowBlank="1" showInputMessage="1" showErrorMessage="1" sqref="L18" xr:uid="{00000000-0002-0000-0400-000001000000}">
      <formula1>M4</formula1>
      <formula2>M4</formula2>
    </dataValidation>
    <dataValidation type="whole" allowBlank="1" showInputMessage="1" showErrorMessage="1" errorTitle="خطا در ورود اطلاعات" error="مقادیر مورد پذیرش: اعدا صحیح غیر منفی" sqref="B7:K17" xr:uid="{00000000-0002-0000-0400-000002000000}">
      <formula1>0</formula1>
      <formula2>100000</formula2>
    </dataValidation>
  </dataValidations>
  <printOptions horizontalCentered="1"/>
  <pageMargins left="0.57999999999999996" right="0.48" top="0.74803149606299213" bottom="0.74803149606299213" header="0.31496062992125978" footer="0.31496062992125978"/>
  <pageSetup paperSize="9" scale="80" orientation="landscape" blackAndWhite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D36"/>
  <sheetViews>
    <sheetView showGridLines="0" rightToLeft="1" zoomScaleNormal="100" zoomScaleSheetLayoutView="100" workbookViewId="0">
      <selection activeCell="A11" sqref="A11"/>
    </sheetView>
  </sheetViews>
  <sheetFormatPr defaultColWidth="0" defaultRowHeight="18.399999999999999" zeroHeight="1" x14ac:dyDescent="0.85"/>
  <cols>
    <col min="1" max="1" width="84.86328125" style="37" customWidth="1"/>
    <col min="2" max="2" width="24.46484375" style="37" customWidth="1"/>
    <col min="3" max="3" width="33.46484375" style="37" customWidth="1"/>
    <col min="4" max="4" width="2.6640625" style="1" customWidth="1"/>
    <col min="5" max="5" width="9.1328125" style="1" hidden="1" customWidth="1"/>
    <col min="6" max="16384" width="9.1328125" style="1" hidden="1"/>
  </cols>
  <sheetData>
    <row r="1" spans="1:3" ht="45.75" customHeight="1" x14ac:dyDescent="0.85">
      <c r="A1" s="354"/>
      <c r="B1" s="294"/>
      <c r="C1" s="291"/>
    </row>
    <row r="2" spans="1:3" ht="25.5" customHeight="1" x14ac:dyDescent="0.85">
      <c r="A2" s="349" t="s">
        <v>82</v>
      </c>
      <c r="B2" s="294"/>
      <c r="C2" s="291"/>
    </row>
    <row r="3" spans="1:3" ht="12" customHeight="1" x14ac:dyDescent="0.85"/>
    <row r="4" spans="1:3" ht="26.25" customHeight="1" x14ac:dyDescent="0.85">
      <c r="A4" s="230" t="s">
        <v>83</v>
      </c>
      <c r="B4" s="374">
        <f>SUM(C7:C36)</f>
        <v>0</v>
      </c>
      <c r="C4" s="291"/>
    </row>
    <row r="5" spans="1:3" ht="12" customHeight="1" x14ac:dyDescent="0.85"/>
    <row r="6" spans="1:3" ht="25.5" customHeight="1" x14ac:dyDescent="0.85">
      <c r="A6" s="229" t="s">
        <v>84</v>
      </c>
      <c r="B6" s="229" t="s">
        <v>85</v>
      </c>
      <c r="C6" s="201" t="s">
        <v>86</v>
      </c>
    </row>
    <row r="7" spans="1:3" ht="21" customHeight="1" x14ac:dyDescent="0.85">
      <c r="A7" s="231"/>
      <c r="B7" s="231"/>
      <c r="C7" s="232"/>
    </row>
    <row r="8" spans="1:3" ht="21" customHeight="1" x14ac:dyDescent="0.85">
      <c r="A8" s="233"/>
      <c r="B8" s="233"/>
      <c r="C8" s="234"/>
    </row>
    <row r="9" spans="1:3" ht="21" customHeight="1" x14ac:dyDescent="0.85">
      <c r="A9" s="231"/>
      <c r="B9" s="231"/>
      <c r="C9" s="232"/>
    </row>
    <row r="10" spans="1:3" ht="21" customHeight="1" x14ac:dyDescent="0.85">
      <c r="A10" s="233"/>
      <c r="B10" s="233"/>
      <c r="C10" s="234"/>
    </row>
    <row r="11" spans="1:3" ht="21" customHeight="1" x14ac:dyDescent="0.85">
      <c r="A11" s="231"/>
      <c r="B11" s="231"/>
      <c r="C11" s="232"/>
    </row>
    <row r="12" spans="1:3" ht="21" customHeight="1" x14ac:dyDescent="0.85">
      <c r="A12" s="233"/>
      <c r="B12" s="233"/>
      <c r="C12" s="234"/>
    </row>
    <row r="13" spans="1:3" ht="21" customHeight="1" x14ac:dyDescent="0.85">
      <c r="A13" s="231"/>
      <c r="B13" s="231"/>
      <c r="C13" s="232"/>
    </row>
    <row r="14" spans="1:3" ht="21" customHeight="1" x14ac:dyDescent="0.85">
      <c r="A14" s="233"/>
      <c r="B14" s="233"/>
      <c r="C14" s="234"/>
    </row>
    <row r="15" spans="1:3" ht="21" customHeight="1" x14ac:dyDescent="0.85">
      <c r="A15" s="231"/>
      <c r="B15" s="231"/>
      <c r="C15" s="232"/>
    </row>
    <row r="16" spans="1:3" ht="21" customHeight="1" x14ac:dyDescent="0.85">
      <c r="A16" s="233"/>
      <c r="B16" s="233"/>
      <c r="C16" s="234"/>
    </row>
    <row r="17" spans="1:3" ht="21" customHeight="1" x14ac:dyDescent="0.85">
      <c r="A17" s="231"/>
      <c r="B17" s="231"/>
      <c r="C17" s="232"/>
    </row>
    <row r="18" spans="1:3" ht="21" customHeight="1" x14ac:dyDescent="0.85">
      <c r="A18" s="233"/>
      <c r="B18" s="233"/>
      <c r="C18" s="234"/>
    </row>
    <row r="19" spans="1:3" ht="21" customHeight="1" x14ac:dyDescent="0.85">
      <c r="A19" s="231"/>
      <c r="B19" s="231"/>
      <c r="C19" s="232"/>
    </row>
    <row r="20" spans="1:3" ht="21" customHeight="1" x14ac:dyDescent="0.85">
      <c r="A20" s="233"/>
      <c r="B20" s="233"/>
      <c r="C20" s="234"/>
    </row>
    <row r="21" spans="1:3" ht="21" customHeight="1" x14ac:dyDescent="0.85">
      <c r="A21" s="231"/>
      <c r="B21" s="231"/>
      <c r="C21" s="232"/>
    </row>
    <row r="22" spans="1:3" ht="21" customHeight="1" x14ac:dyDescent="0.85">
      <c r="A22" s="233"/>
      <c r="B22" s="233"/>
      <c r="C22" s="234"/>
    </row>
    <row r="23" spans="1:3" ht="21" customHeight="1" x14ac:dyDescent="0.85">
      <c r="A23" s="231"/>
      <c r="B23" s="231"/>
      <c r="C23" s="232"/>
    </row>
    <row r="24" spans="1:3" ht="21" customHeight="1" x14ac:dyDescent="0.85">
      <c r="A24" s="233"/>
      <c r="B24" s="233"/>
      <c r="C24" s="234"/>
    </row>
    <row r="25" spans="1:3" ht="21" customHeight="1" x14ac:dyDescent="0.85">
      <c r="A25" s="231"/>
      <c r="B25" s="231"/>
      <c r="C25" s="232"/>
    </row>
    <row r="26" spans="1:3" ht="21" customHeight="1" x14ac:dyDescent="0.85">
      <c r="A26" s="233"/>
      <c r="B26" s="233"/>
      <c r="C26" s="234"/>
    </row>
    <row r="27" spans="1:3" ht="21" customHeight="1" x14ac:dyDescent="0.85">
      <c r="A27" s="231"/>
      <c r="B27" s="231"/>
      <c r="C27" s="232"/>
    </row>
    <row r="28" spans="1:3" ht="21" customHeight="1" x14ac:dyDescent="0.85">
      <c r="A28" s="233"/>
      <c r="B28" s="233"/>
      <c r="C28" s="234"/>
    </row>
    <row r="29" spans="1:3" ht="21" customHeight="1" x14ac:dyDescent="0.85">
      <c r="A29" s="231"/>
      <c r="B29" s="231"/>
      <c r="C29" s="232"/>
    </row>
    <row r="30" spans="1:3" ht="21" customHeight="1" x14ac:dyDescent="0.85">
      <c r="A30" s="233"/>
      <c r="B30" s="233"/>
      <c r="C30" s="234"/>
    </row>
    <row r="31" spans="1:3" ht="21" customHeight="1" x14ac:dyDescent="0.85">
      <c r="A31" s="231"/>
      <c r="B31" s="231"/>
      <c r="C31" s="232"/>
    </row>
    <row r="32" spans="1:3" ht="21" customHeight="1" x14ac:dyDescent="0.85">
      <c r="A32" s="233"/>
      <c r="B32" s="233"/>
      <c r="C32" s="234"/>
    </row>
    <row r="33" spans="1:3" ht="21" customHeight="1" x14ac:dyDescent="0.85">
      <c r="A33" s="231"/>
      <c r="B33" s="231"/>
      <c r="C33" s="232"/>
    </row>
    <row r="34" spans="1:3" ht="21" customHeight="1" x14ac:dyDescent="0.85">
      <c r="A34" s="233"/>
      <c r="B34" s="233"/>
      <c r="C34" s="234"/>
    </row>
    <row r="35" spans="1:3" ht="21" customHeight="1" x14ac:dyDescent="0.85">
      <c r="A35" s="231"/>
      <c r="B35" s="231"/>
      <c r="C35" s="232"/>
    </row>
    <row r="36" spans="1:3" ht="21" customHeight="1" x14ac:dyDescent="0.85">
      <c r="A36" s="233"/>
      <c r="B36" s="233"/>
      <c r="C36" s="234"/>
    </row>
  </sheetData>
  <mergeCells count="3">
    <mergeCell ref="A1:C1"/>
    <mergeCell ref="B4:C4"/>
    <mergeCell ref="A2:C2"/>
  </mergeCells>
  <dataValidations count="2">
    <dataValidation type="whole" allowBlank="1" showInputMessage="1" showErrorMessage="1" errorTitle="خطا در ورود اطلاعات" error="فقط اعداد صحیح نا منفی مورد پذیرش است." sqref="C7:C36" xr:uid="{00000000-0002-0000-0500-000000000000}">
      <formula1>0</formula1>
      <formula2>1000000000000</formula2>
    </dataValidation>
    <dataValidation type="list" allowBlank="1" showInputMessage="1" showErrorMessage="1" sqref="B7:B36" xr:uid="{00000000-0002-0000-0500-000001000000}">
      <formula1>OtherCost_type</formula1>
    </dataValidation>
  </dataValidations>
  <printOptions horizontalCentered="1"/>
  <pageMargins left="0.70866141732283472" right="0.70866141732283472" top="0.74803149606299213" bottom="0.74803149606299213" header="0.31496062992125978" footer="0.31496062992125978"/>
  <pageSetup paperSize="9" orientation="landscape" blackAndWhite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2:M48"/>
  <sheetViews>
    <sheetView rightToLeft="1" topLeftCell="A6" workbookViewId="0"/>
  </sheetViews>
  <sheetFormatPr defaultColWidth="0" defaultRowHeight="14.25" zeroHeight="1" x14ac:dyDescent="0.45"/>
  <cols>
    <col min="1" max="1" width="3.1328125" customWidth="1"/>
    <col min="2" max="2" width="3.6640625" customWidth="1"/>
    <col min="3" max="3" width="97.33203125" customWidth="1"/>
    <col min="4" max="11" width="11.53125" customWidth="1"/>
    <col min="12" max="12" width="9" customWidth="1"/>
    <col min="13" max="13" width="4.46484375" customWidth="1"/>
    <col min="14" max="14" width="9" hidden="1" customWidth="1"/>
    <col min="15" max="16384" width="9" hidden="1"/>
  </cols>
  <sheetData>
    <row r="2" spans="2:12" ht="21" customHeight="1" x14ac:dyDescent="0.45">
      <c r="C2" s="375" t="s">
        <v>87</v>
      </c>
      <c r="D2" s="301"/>
      <c r="E2" s="301"/>
      <c r="F2" s="301"/>
      <c r="G2" s="301"/>
      <c r="H2" s="301"/>
      <c r="I2" s="301"/>
      <c r="J2" s="301"/>
      <c r="K2" s="301"/>
    </row>
    <row r="3" spans="2:12" ht="21" customHeight="1" x14ac:dyDescent="0.45">
      <c r="C3" s="119" t="s">
        <v>40</v>
      </c>
      <c r="D3" s="120" t="s">
        <v>88</v>
      </c>
      <c r="E3" s="120" t="s">
        <v>89</v>
      </c>
      <c r="F3" s="120" t="s">
        <v>90</v>
      </c>
      <c r="G3" s="120" t="s">
        <v>91</v>
      </c>
      <c r="H3" s="120" t="s">
        <v>92</v>
      </c>
      <c r="I3" s="120" t="s">
        <v>93</v>
      </c>
      <c r="J3" s="120" t="s">
        <v>94</v>
      </c>
      <c r="K3" s="120" t="s">
        <v>95</v>
      </c>
      <c r="L3" s="121" t="s">
        <v>35</v>
      </c>
    </row>
    <row r="4" spans="2:12" ht="18" customHeight="1" x14ac:dyDescent="0.8">
      <c r="B4" s="105">
        <v>1</v>
      </c>
      <c r="C4" s="114" t="s">
        <v>96</v>
      </c>
      <c r="D4" s="106">
        <v>0.05</v>
      </c>
      <c r="E4" s="106">
        <v>0.1</v>
      </c>
      <c r="F4" s="106">
        <v>0.15</v>
      </c>
      <c r="G4" s="107">
        <v>0.5</v>
      </c>
      <c r="H4" s="106">
        <v>0.05</v>
      </c>
      <c r="I4" s="106">
        <v>0.08</v>
      </c>
      <c r="J4" s="106">
        <v>0.05</v>
      </c>
      <c r="K4" s="106">
        <v>0.02</v>
      </c>
      <c r="L4" s="108">
        <f t="shared" ref="L4:L17" si="0">SUM(D4:K4)</f>
        <v>1</v>
      </c>
    </row>
    <row r="5" spans="2:12" ht="18" customHeight="1" x14ac:dyDescent="0.8">
      <c r="B5" s="105">
        <v>2</v>
      </c>
      <c r="C5" s="114" t="s">
        <v>97</v>
      </c>
      <c r="D5" s="106">
        <v>0.02</v>
      </c>
      <c r="E5" s="106">
        <v>0.03</v>
      </c>
      <c r="F5" s="106">
        <v>0.1</v>
      </c>
      <c r="G5" s="107">
        <v>0.65</v>
      </c>
      <c r="H5" s="106">
        <v>0.08</v>
      </c>
      <c r="I5" s="106">
        <v>0.05</v>
      </c>
      <c r="J5" s="106">
        <v>0.05</v>
      </c>
      <c r="K5" s="106">
        <v>0.02</v>
      </c>
      <c r="L5" s="108">
        <f t="shared" si="0"/>
        <v>1</v>
      </c>
    </row>
    <row r="6" spans="2:12" ht="18" customHeight="1" x14ac:dyDescent="0.8">
      <c r="B6" s="105">
        <v>3</v>
      </c>
      <c r="C6" s="114" t="s">
        <v>98</v>
      </c>
      <c r="D6" s="106">
        <v>0.08</v>
      </c>
      <c r="E6" s="106">
        <v>0.1</v>
      </c>
      <c r="F6" s="106">
        <v>0.15</v>
      </c>
      <c r="G6" s="107">
        <v>0.35</v>
      </c>
      <c r="H6" s="106">
        <v>0.1</v>
      </c>
      <c r="I6" s="106">
        <v>0.1</v>
      </c>
      <c r="J6" s="106">
        <v>7.0000000000000007E-2</v>
      </c>
      <c r="K6" s="106">
        <v>0.05</v>
      </c>
      <c r="L6" s="108">
        <f t="shared" si="0"/>
        <v>1</v>
      </c>
    </row>
    <row r="7" spans="2:12" ht="18" customHeight="1" x14ac:dyDescent="0.8">
      <c r="B7" s="105">
        <v>4</v>
      </c>
      <c r="C7" s="114" t="s">
        <v>99</v>
      </c>
      <c r="D7" s="106">
        <v>0.1</v>
      </c>
      <c r="E7" s="106">
        <v>0.1</v>
      </c>
      <c r="F7" s="106">
        <v>0.2</v>
      </c>
      <c r="G7" s="107">
        <v>0.3</v>
      </c>
      <c r="H7" s="106">
        <v>0.1</v>
      </c>
      <c r="I7" s="106">
        <v>0.1</v>
      </c>
      <c r="J7" s="106">
        <v>7.0000000000000007E-2</v>
      </c>
      <c r="K7" s="106">
        <v>0.03</v>
      </c>
      <c r="L7" s="108">
        <f t="shared" si="0"/>
        <v>1</v>
      </c>
    </row>
    <row r="8" spans="2:12" ht="18" customHeight="1" x14ac:dyDescent="0.8">
      <c r="B8" s="105">
        <v>5</v>
      </c>
      <c r="C8" s="114" t="s">
        <v>100</v>
      </c>
      <c r="D8" s="106">
        <v>0.03</v>
      </c>
      <c r="E8" s="106">
        <v>0.05</v>
      </c>
      <c r="F8" s="106">
        <v>0.1</v>
      </c>
      <c r="G8" s="107">
        <v>0.6</v>
      </c>
      <c r="H8" s="106">
        <v>0.1</v>
      </c>
      <c r="I8" s="106">
        <v>0.05</v>
      </c>
      <c r="J8" s="106">
        <v>0.05</v>
      </c>
      <c r="K8" s="106">
        <v>0.02</v>
      </c>
      <c r="L8" s="108">
        <f t="shared" si="0"/>
        <v>1</v>
      </c>
    </row>
    <row r="9" spans="2:12" ht="18" customHeight="1" x14ac:dyDescent="0.8">
      <c r="B9" s="105">
        <v>6</v>
      </c>
      <c r="C9" s="114" t="s">
        <v>101</v>
      </c>
      <c r="D9" s="106">
        <v>0.03</v>
      </c>
      <c r="E9" s="106">
        <v>0.05</v>
      </c>
      <c r="F9" s="106">
        <v>0.1</v>
      </c>
      <c r="G9" s="107">
        <v>0.6</v>
      </c>
      <c r="H9" s="106">
        <v>0.1</v>
      </c>
      <c r="I9" s="106">
        <v>0.05</v>
      </c>
      <c r="J9" s="106">
        <v>0.05</v>
      </c>
      <c r="K9" s="106">
        <v>0.02</v>
      </c>
      <c r="L9" s="108">
        <f t="shared" si="0"/>
        <v>1</v>
      </c>
    </row>
    <row r="10" spans="2:12" ht="18" customHeight="1" x14ac:dyDescent="0.8">
      <c r="B10" s="105">
        <v>7</v>
      </c>
      <c r="C10" s="114" t="s">
        <v>102</v>
      </c>
      <c r="D10" s="106">
        <v>0.1</v>
      </c>
      <c r="E10" s="106">
        <v>0.11</v>
      </c>
      <c r="F10" s="106">
        <v>0.2</v>
      </c>
      <c r="G10" s="107">
        <v>0.48</v>
      </c>
      <c r="H10" s="106">
        <v>7.0000000000000007E-2</v>
      </c>
      <c r="I10" s="106">
        <v>0.02</v>
      </c>
      <c r="J10" s="106">
        <v>0.01</v>
      </c>
      <c r="K10" s="106">
        <v>0.01</v>
      </c>
      <c r="L10" s="108">
        <f t="shared" si="0"/>
        <v>1</v>
      </c>
    </row>
    <row r="11" spans="2:12" ht="18" customHeight="1" x14ac:dyDescent="0.8">
      <c r="B11" s="105">
        <v>8</v>
      </c>
      <c r="C11" s="114" t="s">
        <v>103</v>
      </c>
      <c r="D11" s="106">
        <v>0.12</v>
      </c>
      <c r="E11" s="106">
        <v>0.15</v>
      </c>
      <c r="F11" s="106">
        <v>0.23</v>
      </c>
      <c r="G11" s="107">
        <v>0.35</v>
      </c>
      <c r="H11" s="106">
        <v>0.1</v>
      </c>
      <c r="I11" s="106">
        <v>0.03</v>
      </c>
      <c r="J11" s="106">
        <v>0.01</v>
      </c>
      <c r="K11" s="106">
        <v>0.01</v>
      </c>
      <c r="L11" s="108">
        <f t="shared" si="0"/>
        <v>1</v>
      </c>
    </row>
    <row r="12" spans="2:12" ht="18" customHeight="1" x14ac:dyDescent="0.8">
      <c r="B12" s="105">
        <v>9</v>
      </c>
      <c r="C12" s="115" t="s">
        <v>104</v>
      </c>
      <c r="D12" s="106">
        <v>0.13</v>
      </c>
      <c r="E12" s="106">
        <v>0.14000000000000001</v>
      </c>
      <c r="F12" s="106">
        <v>0.23</v>
      </c>
      <c r="G12" s="107">
        <v>0.34</v>
      </c>
      <c r="H12" s="106">
        <v>0.11</v>
      </c>
      <c r="I12" s="106">
        <v>0.03</v>
      </c>
      <c r="J12" s="106">
        <v>0.01</v>
      </c>
      <c r="K12" s="106">
        <v>0.01</v>
      </c>
      <c r="L12" s="108">
        <f t="shared" si="0"/>
        <v>1</v>
      </c>
    </row>
    <row r="13" spans="2:12" ht="18.75" customHeight="1" x14ac:dyDescent="0.8">
      <c r="B13" s="105">
        <v>10</v>
      </c>
      <c r="C13" s="116" t="s">
        <v>105</v>
      </c>
      <c r="D13" s="106">
        <v>0.1</v>
      </c>
      <c r="E13" s="106">
        <v>0.12</v>
      </c>
      <c r="F13" s="106">
        <v>0.2</v>
      </c>
      <c r="G13" s="107">
        <v>0.4</v>
      </c>
      <c r="H13" s="106">
        <v>0.12</v>
      </c>
      <c r="I13" s="106">
        <v>0.04</v>
      </c>
      <c r="J13" s="106">
        <v>0.01</v>
      </c>
      <c r="K13" s="106">
        <v>0.01</v>
      </c>
      <c r="L13" s="108">
        <f t="shared" si="0"/>
        <v>1</v>
      </c>
    </row>
    <row r="14" spans="2:12" ht="18" customHeight="1" x14ac:dyDescent="0.8">
      <c r="B14" s="105">
        <v>11</v>
      </c>
      <c r="C14" s="115" t="s">
        <v>106</v>
      </c>
      <c r="D14" s="106">
        <v>0.11</v>
      </c>
      <c r="E14" s="106">
        <v>0.14000000000000001</v>
      </c>
      <c r="F14" s="106">
        <v>0.2</v>
      </c>
      <c r="G14" s="107">
        <v>0.4</v>
      </c>
      <c r="H14" s="106">
        <v>0.11</v>
      </c>
      <c r="I14" s="106">
        <v>0.02</v>
      </c>
      <c r="J14" s="106">
        <v>0.01</v>
      </c>
      <c r="K14" s="106">
        <v>0.01</v>
      </c>
      <c r="L14" s="108">
        <f t="shared" si="0"/>
        <v>1</v>
      </c>
    </row>
    <row r="15" spans="2:12" ht="18" customHeight="1" x14ac:dyDescent="0.8">
      <c r="B15" s="105">
        <v>12</v>
      </c>
      <c r="C15" s="115" t="s">
        <v>107</v>
      </c>
      <c r="D15" s="106">
        <v>0.12</v>
      </c>
      <c r="E15" s="106">
        <v>0.12</v>
      </c>
      <c r="F15" s="106">
        <v>0.2</v>
      </c>
      <c r="G15" s="107">
        <v>0.4</v>
      </c>
      <c r="H15" s="106">
        <v>0.12</v>
      </c>
      <c r="I15" s="106">
        <v>0.02</v>
      </c>
      <c r="J15" s="106">
        <v>0.01</v>
      </c>
      <c r="K15" s="106">
        <v>0.01</v>
      </c>
      <c r="L15" s="108">
        <f t="shared" si="0"/>
        <v>1</v>
      </c>
    </row>
    <row r="16" spans="2:12" ht="18" customHeight="1" x14ac:dyDescent="0.8">
      <c r="B16" s="105">
        <v>13</v>
      </c>
      <c r="C16" s="115" t="s">
        <v>108</v>
      </c>
      <c r="D16" s="106">
        <v>0.1</v>
      </c>
      <c r="E16" s="106">
        <v>0.12</v>
      </c>
      <c r="F16" s="106">
        <v>0.17</v>
      </c>
      <c r="G16" s="107">
        <v>0.45</v>
      </c>
      <c r="H16" s="106">
        <v>0.12</v>
      </c>
      <c r="I16" s="106">
        <v>0.02</v>
      </c>
      <c r="J16" s="106">
        <v>0.01</v>
      </c>
      <c r="K16" s="106">
        <v>0.01</v>
      </c>
      <c r="L16" s="108">
        <f t="shared" si="0"/>
        <v>1</v>
      </c>
    </row>
    <row r="17" spans="2:12" ht="18" customHeight="1" x14ac:dyDescent="0.8">
      <c r="B17" s="105">
        <v>14</v>
      </c>
      <c r="C17" s="115" t="s">
        <v>109</v>
      </c>
      <c r="D17" s="106">
        <v>0.09</v>
      </c>
      <c r="E17" s="106">
        <v>0.17</v>
      </c>
      <c r="F17" s="106">
        <v>0.26</v>
      </c>
      <c r="G17" s="107">
        <v>0.32</v>
      </c>
      <c r="H17" s="106">
        <v>0.1</v>
      </c>
      <c r="I17" s="106">
        <v>0.02</v>
      </c>
      <c r="J17" s="106">
        <v>0.03</v>
      </c>
      <c r="K17" s="106">
        <v>0.01</v>
      </c>
      <c r="L17" s="108">
        <f t="shared" si="0"/>
        <v>1</v>
      </c>
    </row>
    <row r="18" spans="2:12" ht="18" customHeight="1" x14ac:dyDescent="0.8">
      <c r="C18" s="109">
        <f>ProjectDef!C4</f>
        <v>0</v>
      </c>
      <c r="D18" s="110">
        <f>IFERROR(VLOOKUP(C18,C4:K17,2,FALSE),0)</f>
        <v>0</v>
      </c>
      <c r="E18" s="110">
        <f>IFERROR(VLOOKUP(C18,C4:K17,3,FALSE),0)</f>
        <v>0</v>
      </c>
      <c r="F18" s="110">
        <f>IFERROR(VLOOKUP(C18,C4:K17,4,FALSE),0)</f>
        <v>0</v>
      </c>
      <c r="G18" s="110">
        <f>IFERROR(VLOOKUP(C18,C4:K17,5,FALSE),0)</f>
        <v>0</v>
      </c>
      <c r="H18" s="110">
        <f>IFERROR(VLOOKUP(C18,C4:K17,6,FALSE),0)</f>
        <v>0</v>
      </c>
      <c r="I18" s="110">
        <f>IFERROR(VLOOKUP(C18,C4:K17,7,FALSE),0)</f>
        <v>0</v>
      </c>
      <c r="J18" s="110">
        <f>IFERROR(VLOOKUP(C18,C4:K17,8,FALSE),0)</f>
        <v>0</v>
      </c>
      <c r="K18" s="110">
        <f>IFERROR(VLOOKUP(C18,C4:K17,9,FALSE),0)</f>
        <v>0</v>
      </c>
    </row>
    <row r="19" spans="2:12" x14ac:dyDescent="0.45">
      <c r="D19" s="110"/>
      <c r="E19" s="110"/>
      <c r="F19" s="110"/>
      <c r="G19" s="110"/>
      <c r="H19" s="110"/>
      <c r="I19" s="110"/>
      <c r="J19" s="110"/>
      <c r="K19" s="110"/>
    </row>
    <row r="23" spans="2:12" ht="21" customHeight="1" x14ac:dyDescent="0.45">
      <c r="B23" s="122">
        <v>5</v>
      </c>
      <c r="C23" s="377" t="s">
        <v>41</v>
      </c>
      <c r="D23" s="301"/>
      <c r="E23" s="301"/>
      <c r="F23" s="301"/>
      <c r="G23" s="301"/>
      <c r="H23" s="301"/>
      <c r="I23" s="301"/>
      <c r="J23" s="301"/>
      <c r="K23" s="301"/>
    </row>
    <row r="24" spans="2:12" ht="18" customHeight="1" x14ac:dyDescent="0.8">
      <c r="B24" s="376"/>
      <c r="C24" s="325"/>
      <c r="D24" s="120" t="s">
        <v>88</v>
      </c>
      <c r="E24" s="120" t="s">
        <v>89</v>
      </c>
      <c r="F24" s="120" t="s">
        <v>90</v>
      </c>
      <c r="G24" s="120" t="s">
        <v>91</v>
      </c>
      <c r="H24" s="120" t="s">
        <v>92</v>
      </c>
      <c r="I24" s="120" t="s">
        <v>93</v>
      </c>
      <c r="J24" s="120" t="s">
        <v>94</v>
      </c>
      <c r="K24" s="120" t="s">
        <v>95</v>
      </c>
    </row>
    <row r="25" spans="2:12" ht="18" customHeight="1" x14ac:dyDescent="0.8">
      <c r="B25" s="111">
        <v>1</v>
      </c>
      <c r="C25" s="117" t="s">
        <v>110</v>
      </c>
      <c r="D25" s="112">
        <v>5</v>
      </c>
      <c r="E25" s="112">
        <v>1</v>
      </c>
      <c r="F25" s="112">
        <v>0</v>
      </c>
      <c r="G25" s="113">
        <v>0.5</v>
      </c>
      <c r="H25" s="112">
        <v>0.5</v>
      </c>
      <c r="I25" s="112">
        <v>0</v>
      </c>
      <c r="J25" s="112">
        <v>1</v>
      </c>
      <c r="K25" s="112">
        <v>1</v>
      </c>
    </row>
    <row r="26" spans="2:12" ht="18" customHeight="1" x14ac:dyDescent="0.8">
      <c r="B26" s="111">
        <v>2</v>
      </c>
      <c r="C26" s="117" t="s">
        <v>111</v>
      </c>
      <c r="D26" s="112">
        <v>1</v>
      </c>
      <c r="E26" s="112">
        <v>1</v>
      </c>
      <c r="F26" s="112">
        <v>1</v>
      </c>
      <c r="G26" s="113">
        <v>1</v>
      </c>
      <c r="H26" s="112">
        <v>1</v>
      </c>
      <c r="I26" s="112">
        <v>1</v>
      </c>
      <c r="J26" s="112">
        <v>1</v>
      </c>
      <c r="K26" s="112">
        <v>1</v>
      </c>
    </row>
    <row r="27" spans="2:12" ht="18" customHeight="1" x14ac:dyDescent="0.8">
      <c r="B27" s="111">
        <v>3</v>
      </c>
      <c r="C27" s="117" t="s">
        <v>112</v>
      </c>
      <c r="D27" s="112">
        <v>0.5</v>
      </c>
      <c r="E27" s="112">
        <v>0.7</v>
      </c>
      <c r="F27" s="112">
        <v>1</v>
      </c>
      <c r="G27" s="113">
        <v>1</v>
      </c>
      <c r="H27" s="112">
        <v>1.5</v>
      </c>
      <c r="I27" s="112">
        <v>1</v>
      </c>
      <c r="J27" s="112">
        <v>0.5</v>
      </c>
      <c r="K27" s="112">
        <v>0.5</v>
      </c>
    </row>
    <row r="28" spans="2:12" ht="18" customHeight="1" x14ac:dyDescent="0.8">
      <c r="B28" s="111">
        <v>4</v>
      </c>
      <c r="C28" s="117" t="s">
        <v>113</v>
      </c>
      <c r="D28" s="112">
        <v>0</v>
      </c>
      <c r="E28" s="112">
        <v>0</v>
      </c>
      <c r="F28" s="112">
        <v>0.5</v>
      </c>
      <c r="G28" s="113">
        <v>1</v>
      </c>
      <c r="H28" s="112">
        <v>3</v>
      </c>
      <c r="I28" s="112">
        <v>1.5</v>
      </c>
      <c r="J28" s="112">
        <v>1</v>
      </c>
      <c r="K28" s="112">
        <v>1</v>
      </c>
    </row>
    <row r="29" spans="2:12" ht="18" customHeight="1" x14ac:dyDescent="0.8">
      <c r="B29" s="111">
        <v>5</v>
      </c>
      <c r="C29" s="117" t="s">
        <v>114</v>
      </c>
      <c r="D29" s="112">
        <v>0.5</v>
      </c>
      <c r="E29" s="112">
        <v>0.5</v>
      </c>
      <c r="F29" s="112">
        <v>1</v>
      </c>
      <c r="G29" s="113">
        <v>1</v>
      </c>
      <c r="H29" s="112">
        <v>2</v>
      </c>
      <c r="I29" s="112">
        <v>1.5</v>
      </c>
      <c r="J29" s="112">
        <v>1</v>
      </c>
      <c r="K29" s="112">
        <v>1</v>
      </c>
    </row>
    <row r="30" spans="2:12" ht="18" customHeight="1" x14ac:dyDescent="0.8">
      <c r="C30" s="109">
        <f>ProjectDef!C5</f>
        <v>0</v>
      </c>
      <c r="D30" s="110">
        <f>IFERROR(VLOOKUP(C30,C25:K29,2,FALSE),0)</f>
        <v>0</v>
      </c>
      <c r="E30" s="110">
        <f>IFERROR(VLOOKUP(C30,C25:K29,3,FALSE),0)</f>
        <v>0</v>
      </c>
      <c r="F30" s="110">
        <f>IFERROR(VLOOKUP(C30,C25:K29,4,FALSE),0)</f>
        <v>0</v>
      </c>
      <c r="G30" s="110">
        <f>IFERROR(VLOOKUP(C30,C25:K29,5,FALSE),0)</f>
        <v>0</v>
      </c>
      <c r="H30" s="110">
        <f>IFERROR(VLOOKUP(C30,C25:K29,6,FALSE),0)</f>
        <v>0</v>
      </c>
      <c r="I30" s="110">
        <f>IFERROR(VLOOKUP(C30,C25:K29,7,FALSE),0)</f>
        <v>0</v>
      </c>
      <c r="J30" s="110">
        <f>IFERROR(VLOOKUP(C30,C25:K29,8,FALSE),0)</f>
        <v>0</v>
      </c>
      <c r="K30" s="110">
        <f>IFERROR(VLOOKUP(C30,C25:K29,9,FALSE),0)</f>
        <v>0</v>
      </c>
    </row>
    <row r="35" spans="2:11" ht="21" customHeight="1" x14ac:dyDescent="0.45">
      <c r="B35" s="122">
        <v>2</v>
      </c>
      <c r="C35" s="377" t="s">
        <v>42</v>
      </c>
      <c r="D35" s="301"/>
      <c r="E35" s="301"/>
      <c r="F35" s="301"/>
      <c r="G35" s="301"/>
      <c r="H35" s="301"/>
      <c r="I35" s="301"/>
      <c r="J35" s="301"/>
      <c r="K35" s="301"/>
    </row>
    <row r="36" spans="2:11" ht="18" customHeight="1" x14ac:dyDescent="0.8">
      <c r="B36" s="376"/>
      <c r="C36" s="325"/>
      <c r="D36" s="120" t="s">
        <v>88</v>
      </c>
      <c r="E36" s="120" t="s">
        <v>89</v>
      </c>
      <c r="F36" s="120" t="s">
        <v>90</v>
      </c>
      <c r="G36" s="120" t="s">
        <v>91</v>
      </c>
      <c r="H36" s="120" t="s">
        <v>92</v>
      </c>
      <c r="I36" s="120" t="s">
        <v>93</v>
      </c>
      <c r="J36" s="120" t="s">
        <v>94</v>
      </c>
      <c r="K36" s="120" t="s">
        <v>95</v>
      </c>
    </row>
    <row r="37" spans="2:11" ht="18" customHeight="1" x14ac:dyDescent="0.8">
      <c r="B37" s="111">
        <v>1</v>
      </c>
      <c r="C37" s="117" t="s">
        <v>115</v>
      </c>
      <c r="D37" s="112">
        <v>1</v>
      </c>
      <c r="E37" s="112">
        <v>1</v>
      </c>
      <c r="F37" s="112">
        <v>1</v>
      </c>
      <c r="G37" s="113">
        <v>1</v>
      </c>
      <c r="H37" s="112">
        <v>1</v>
      </c>
      <c r="I37" s="112">
        <v>1</v>
      </c>
      <c r="J37" s="112">
        <v>1</v>
      </c>
      <c r="K37" s="112">
        <v>1</v>
      </c>
    </row>
    <row r="38" spans="2:11" ht="18" customHeight="1" x14ac:dyDescent="0.8">
      <c r="B38" s="111">
        <v>2</v>
      </c>
      <c r="C38" s="117" t="s">
        <v>116</v>
      </c>
      <c r="D38" s="112">
        <v>3</v>
      </c>
      <c r="E38" s="112">
        <v>3</v>
      </c>
      <c r="F38" s="112">
        <v>1</v>
      </c>
      <c r="G38" s="113">
        <v>1</v>
      </c>
      <c r="H38" s="112">
        <v>3</v>
      </c>
      <c r="I38" s="112">
        <v>2</v>
      </c>
      <c r="J38" s="112">
        <v>1</v>
      </c>
      <c r="K38" s="112">
        <v>1</v>
      </c>
    </row>
    <row r="39" spans="2:11" ht="18" customHeight="1" x14ac:dyDescent="0.8">
      <c r="C39" s="109">
        <f>ProjectDef!C6</f>
        <v>0</v>
      </c>
      <c r="D39" s="110">
        <f>IFERROR(VLOOKUP(C39,C37:K38,2,FALSE),0)</f>
        <v>0</v>
      </c>
      <c r="E39" s="110">
        <f>IFERROR(VLOOKUP(C39,C37:K38,3,FALSE),0)</f>
        <v>0</v>
      </c>
      <c r="F39" s="110">
        <f>IFERROR(VLOOKUP(C39,C37:K38,4,FALSE),0)</f>
        <v>0</v>
      </c>
      <c r="G39" s="110">
        <f>IFERROR(VLOOKUP(C39,C37:K38,5,FALSE),0)</f>
        <v>0</v>
      </c>
      <c r="H39" s="110">
        <f>IFERROR(VLOOKUP(C39,C37:K38,6,FALSE),0)</f>
        <v>0</v>
      </c>
      <c r="I39" s="110">
        <f>IFERROR(VLOOKUP(C39,C37:K38,7,FALSE),0)</f>
        <v>0</v>
      </c>
      <c r="J39" s="110">
        <f>IFERROR(VLOOKUP(C39,C37:K38,8,FALSE),0)</f>
        <v>0</v>
      </c>
      <c r="K39" s="110">
        <f>IFERROR(VLOOKUP(C39,C37:K38,9,FALSE),0)</f>
        <v>0</v>
      </c>
    </row>
    <row r="44" spans="2:11" ht="21" customHeight="1" x14ac:dyDescent="0.45">
      <c r="B44" s="122">
        <v>2</v>
      </c>
      <c r="C44" s="377" t="s">
        <v>43</v>
      </c>
      <c r="D44" s="301"/>
      <c r="E44" s="301"/>
      <c r="F44" s="301"/>
      <c r="G44" s="301"/>
      <c r="H44" s="301"/>
      <c r="I44" s="301"/>
      <c r="J44" s="301"/>
      <c r="K44" s="301"/>
    </row>
    <row r="45" spans="2:11" ht="18" customHeight="1" x14ac:dyDescent="0.8">
      <c r="B45" s="376"/>
      <c r="C45" s="325"/>
      <c r="D45" s="120" t="s">
        <v>88</v>
      </c>
      <c r="E45" s="120" t="s">
        <v>89</v>
      </c>
      <c r="F45" s="120" t="s">
        <v>90</v>
      </c>
      <c r="G45" s="120" t="s">
        <v>91</v>
      </c>
      <c r="H45" s="120" t="s">
        <v>92</v>
      </c>
      <c r="I45" s="120" t="s">
        <v>93</v>
      </c>
      <c r="J45" s="120" t="s">
        <v>94</v>
      </c>
      <c r="K45" s="120" t="s">
        <v>95</v>
      </c>
    </row>
    <row r="46" spans="2:11" ht="18" customHeight="1" x14ac:dyDescent="0.8">
      <c r="B46" s="111">
        <v>1</v>
      </c>
      <c r="C46" s="117" t="s">
        <v>117</v>
      </c>
      <c r="D46" s="112">
        <v>1</v>
      </c>
      <c r="E46" s="112">
        <v>1</v>
      </c>
      <c r="F46" s="112">
        <v>1</v>
      </c>
      <c r="G46" s="113">
        <v>1</v>
      </c>
      <c r="H46" s="112">
        <v>1</v>
      </c>
      <c r="I46" s="112">
        <v>1</v>
      </c>
      <c r="J46" s="112">
        <v>1</v>
      </c>
      <c r="K46" s="112">
        <v>1</v>
      </c>
    </row>
    <row r="47" spans="2:11" ht="18" customHeight="1" x14ac:dyDescent="0.8">
      <c r="B47" s="111">
        <v>2</v>
      </c>
      <c r="C47" s="118" t="s">
        <v>118</v>
      </c>
      <c r="D47" s="112">
        <v>2</v>
      </c>
      <c r="E47" s="112">
        <v>2</v>
      </c>
      <c r="F47" s="112">
        <v>2.5</v>
      </c>
      <c r="G47" s="113">
        <v>1</v>
      </c>
      <c r="H47" s="112">
        <v>2</v>
      </c>
      <c r="I47" s="112">
        <v>1</v>
      </c>
      <c r="J47" s="112">
        <v>1</v>
      </c>
      <c r="K47" s="112">
        <v>1</v>
      </c>
    </row>
    <row r="48" spans="2:11" ht="18" customHeight="1" x14ac:dyDescent="0.8">
      <c r="C48" s="109">
        <f>ProjectDef!C7</f>
        <v>0</v>
      </c>
      <c r="D48" s="110">
        <f>IFERROR(VLOOKUP(C48,C46:K47,2,FALSE),0)</f>
        <v>0</v>
      </c>
      <c r="E48" s="110">
        <f>IFERROR(VLOOKUP(C48,C46:K47,3,FALSE),0)</f>
        <v>0</v>
      </c>
      <c r="F48" s="110">
        <f>IFERROR(VLOOKUP(C48,C46:K47,4,FALSE),0)</f>
        <v>0</v>
      </c>
      <c r="G48" s="110">
        <f>IFERROR(VLOOKUP(C48,C46:K47,5,FALSE),0)</f>
        <v>0</v>
      </c>
      <c r="H48" s="110">
        <f>IFERROR(VLOOKUP(C48,C46:K47,6,FALSE),0)</f>
        <v>0</v>
      </c>
      <c r="I48" s="110">
        <f>IFERROR(VLOOKUP(C48,C46:K47,7,FALSE),0)</f>
        <v>0</v>
      </c>
      <c r="J48" s="110">
        <f>IFERROR(VLOOKUP(C48,C46:K47,8,FALSE),0)</f>
        <v>0</v>
      </c>
      <c r="K48" s="110">
        <f>IFERROR(VLOOKUP(C48,C46:K47,9,FALSE),0)</f>
        <v>0</v>
      </c>
    </row>
  </sheetData>
  <mergeCells count="7">
    <mergeCell ref="C2:K2"/>
    <mergeCell ref="B24:C24"/>
    <mergeCell ref="C44:K44"/>
    <mergeCell ref="B45:C45"/>
    <mergeCell ref="B36:C36"/>
    <mergeCell ref="C23:K23"/>
    <mergeCell ref="C35:K3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38"/>
  <sheetViews>
    <sheetView rightToLeft="1" workbookViewId="0"/>
  </sheetViews>
  <sheetFormatPr defaultColWidth="0" defaultRowHeight="14.25" zeroHeight="1" x14ac:dyDescent="0.45"/>
  <cols>
    <col min="1" max="1" width="4" customWidth="1"/>
    <col min="2" max="2" width="9" customWidth="1"/>
    <col min="3" max="3" width="38.33203125" customWidth="1"/>
    <col min="4" max="11" width="12" customWidth="1"/>
    <col min="12" max="12" width="9" customWidth="1"/>
    <col min="13" max="13" width="9" hidden="1" customWidth="1"/>
    <col min="14" max="16384" width="9" hidden="1"/>
  </cols>
  <sheetData>
    <row r="1" spans="2:12" ht="21" customHeight="1" x14ac:dyDescent="0.45">
      <c r="B1" s="379" t="s">
        <v>50</v>
      </c>
      <c r="C1" s="301"/>
      <c r="D1" s="301"/>
      <c r="E1" s="301"/>
      <c r="F1" s="301"/>
      <c r="G1" s="301"/>
      <c r="H1" s="301"/>
      <c r="I1" s="301"/>
      <c r="J1" s="301"/>
      <c r="K1" s="301"/>
    </row>
    <row r="2" spans="2:12" ht="19.5" customHeight="1" x14ac:dyDescent="0.45">
      <c r="B2" s="378"/>
      <c r="C2" s="325"/>
      <c r="D2" s="120" t="s">
        <v>88</v>
      </c>
      <c r="E2" s="120" t="s">
        <v>89</v>
      </c>
      <c r="F2" s="120" t="s">
        <v>90</v>
      </c>
      <c r="G2" s="120" t="s">
        <v>91</v>
      </c>
      <c r="H2" s="120" t="s">
        <v>92</v>
      </c>
      <c r="I2" s="120" t="s">
        <v>93</v>
      </c>
      <c r="J2" s="120" t="s">
        <v>94</v>
      </c>
      <c r="K2" s="120" t="s">
        <v>95</v>
      </c>
    </row>
    <row r="3" spans="2:12" ht="18" customHeight="1" x14ac:dyDescent="0.8">
      <c r="B3" s="111">
        <v>1</v>
      </c>
      <c r="C3" s="117" t="s">
        <v>119</v>
      </c>
      <c r="D3" s="112">
        <v>1</v>
      </c>
      <c r="E3" s="112">
        <v>1</v>
      </c>
      <c r="F3" s="112">
        <v>1.2</v>
      </c>
      <c r="G3" s="113">
        <v>1.2</v>
      </c>
      <c r="H3" s="112">
        <v>2</v>
      </c>
      <c r="I3" s="112">
        <v>1</v>
      </c>
      <c r="J3" s="112">
        <v>1</v>
      </c>
      <c r="K3" s="112">
        <v>1</v>
      </c>
      <c r="L3" s="102">
        <f>ProjectDef!I11</f>
        <v>0</v>
      </c>
    </row>
    <row r="4" spans="2:12" ht="18" customHeight="1" x14ac:dyDescent="0.8">
      <c r="B4" s="111">
        <v>2</v>
      </c>
      <c r="C4" s="117" t="s">
        <v>120</v>
      </c>
      <c r="D4" s="112">
        <v>1.5</v>
      </c>
      <c r="E4" s="112">
        <v>2.5</v>
      </c>
      <c r="F4" s="112">
        <v>1</v>
      </c>
      <c r="G4" s="113">
        <v>1</v>
      </c>
      <c r="H4" s="112">
        <v>1</v>
      </c>
      <c r="I4" s="112">
        <v>1</v>
      </c>
      <c r="J4" s="112">
        <v>1</v>
      </c>
      <c r="K4" s="112">
        <v>1</v>
      </c>
      <c r="L4" s="102">
        <f>ProjectDef!I12</f>
        <v>0</v>
      </c>
    </row>
    <row r="5" spans="2:12" ht="18" customHeight="1" x14ac:dyDescent="0.8">
      <c r="B5" s="111">
        <v>3</v>
      </c>
      <c r="C5" s="117" t="s">
        <v>121</v>
      </c>
      <c r="D5" s="112">
        <v>2.5</v>
      </c>
      <c r="E5" s="112">
        <v>1.5</v>
      </c>
      <c r="F5" s="112">
        <v>1.5</v>
      </c>
      <c r="G5" s="113">
        <v>1.2</v>
      </c>
      <c r="H5" s="112">
        <v>1.2</v>
      </c>
      <c r="I5" s="112">
        <v>1.5</v>
      </c>
      <c r="J5" s="112">
        <v>1.2</v>
      </c>
      <c r="K5" s="112">
        <v>1.5</v>
      </c>
      <c r="L5" s="102">
        <f>ProjectDef!I13</f>
        <v>0</v>
      </c>
    </row>
    <row r="6" spans="2:12" ht="18" customHeight="1" x14ac:dyDescent="0.45">
      <c r="B6" s="111">
        <v>4</v>
      </c>
      <c r="C6" s="188" t="s">
        <v>122</v>
      </c>
      <c r="D6" s="112">
        <v>1.2</v>
      </c>
      <c r="E6" s="112">
        <v>1.1000000000000001</v>
      </c>
      <c r="F6" s="112">
        <v>1.2</v>
      </c>
      <c r="G6" s="113">
        <v>1.5</v>
      </c>
      <c r="H6" s="112">
        <v>1.2</v>
      </c>
      <c r="I6" s="112">
        <v>1.5</v>
      </c>
      <c r="J6" s="112">
        <v>1</v>
      </c>
      <c r="K6" s="112">
        <v>1.2</v>
      </c>
      <c r="L6" s="102">
        <f>ProjectDef!I14</f>
        <v>0</v>
      </c>
    </row>
    <row r="7" spans="2:12" ht="18" customHeight="1" x14ac:dyDescent="0.45">
      <c r="B7" s="111">
        <v>5</v>
      </c>
      <c r="C7" s="188" t="s">
        <v>123</v>
      </c>
      <c r="D7" s="112">
        <v>1</v>
      </c>
      <c r="E7" s="112">
        <v>1.1000000000000001</v>
      </c>
      <c r="F7" s="112">
        <v>1.4</v>
      </c>
      <c r="G7" s="113">
        <v>1.5</v>
      </c>
      <c r="H7" s="112">
        <v>1.4</v>
      </c>
      <c r="I7" s="112">
        <v>1.5</v>
      </c>
      <c r="J7" s="112">
        <v>1.1000000000000001</v>
      </c>
      <c r="K7" s="112">
        <v>1.2</v>
      </c>
      <c r="L7" s="102">
        <f>ProjectDef!I15</f>
        <v>0</v>
      </c>
    </row>
    <row r="8" spans="2:12" ht="18" customHeight="1" x14ac:dyDescent="0.45">
      <c r="B8" s="111">
        <v>6</v>
      </c>
      <c r="C8" s="188" t="s">
        <v>124</v>
      </c>
      <c r="D8" s="112">
        <v>1</v>
      </c>
      <c r="E8" s="112">
        <v>1.2</v>
      </c>
      <c r="F8" s="112">
        <v>1.2</v>
      </c>
      <c r="G8" s="113">
        <v>1.5</v>
      </c>
      <c r="H8" s="112">
        <v>1.1000000000000001</v>
      </c>
      <c r="I8" s="112">
        <v>1.5</v>
      </c>
      <c r="J8" s="112">
        <v>1</v>
      </c>
      <c r="K8" s="112">
        <v>1</v>
      </c>
      <c r="L8" s="102">
        <f>ProjectDef!I16</f>
        <v>0</v>
      </c>
    </row>
    <row r="9" spans="2:12" ht="18" customHeight="1" x14ac:dyDescent="0.45">
      <c r="B9" s="111">
        <v>7</v>
      </c>
      <c r="C9" s="188" t="s">
        <v>125</v>
      </c>
      <c r="D9" s="112">
        <v>1.3</v>
      </c>
      <c r="E9" s="112">
        <v>1.2</v>
      </c>
      <c r="F9" s="112">
        <v>1.2</v>
      </c>
      <c r="G9" s="113">
        <v>1.2</v>
      </c>
      <c r="H9" s="112">
        <v>2</v>
      </c>
      <c r="I9" s="112">
        <v>1</v>
      </c>
      <c r="J9" s="112">
        <v>1.1000000000000001</v>
      </c>
      <c r="K9" s="112">
        <v>1</v>
      </c>
      <c r="L9" s="102">
        <f>ProjectDef!I17</f>
        <v>0</v>
      </c>
    </row>
    <row r="10" spans="2:12" ht="18" customHeight="1" x14ac:dyDescent="0.45">
      <c r="B10" s="111">
        <v>8</v>
      </c>
      <c r="C10" s="188" t="s">
        <v>126</v>
      </c>
      <c r="D10" s="112">
        <v>1.2</v>
      </c>
      <c r="E10" s="112">
        <v>1.1000000000000001</v>
      </c>
      <c r="F10" s="112">
        <v>1.5</v>
      </c>
      <c r="G10" s="113">
        <v>1.5</v>
      </c>
      <c r="H10" s="112">
        <v>1.2</v>
      </c>
      <c r="I10" s="112">
        <v>1.5</v>
      </c>
      <c r="J10" s="112">
        <v>1.1000000000000001</v>
      </c>
      <c r="K10" s="112">
        <v>1.3</v>
      </c>
      <c r="L10" s="102">
        <f>ProjectDef!I18</f>
        <v>0</v>
      </c>
    </row>
    <row r="11" spans="2:12" ht="18" customHeight="1" x14ac:dyDescent="0.45">
      <c r="B11" s="111">
        <v>9</v>
      </c>
      <c r="C11" s="188" t="s">
        <v>127</v>
      </c>
      <c r="D11" s="112">
        <v>2</v>
      </c>
      <c r="E11" s="112">
        <v>1.5</v>
      </c>
      <c r="F11" s="112">
        <v>1.2</v>
      </c>
      <c r="G11" s="113">
        <v>1.3</v>
      </c>
      <c r="H11" s="112">
        <v>1.3</v>
      </c>
      <c r="I11" s="112">
        <v>1.5</v>
      </c>
      <c r="J11" s="112">
        <v>1</v>
      </c>
      <c r="K11" s="112">
        <v>1.5</v>
      </c>
      <c r="L11" s="102">
        <f>ProjectDef!I19</f>
        <v>0</v>
      </c>
    </row>
    <row r="12" spans="2:12" ht="18" customHeight="1" x14ac:dyDescent="0.45">
      <c r="B12" s="111">
        <v>10</v>
      </c>
      <c r="C12" s="188" t="s">
        <v>128</v>
      </c>
      <c r="D12" s="112">
        <v>1.3</v>
      </c>
      <c r="E12" s="112">
        <v>1.3</v>
      </c>
      <c r="F12" s="112">
        <v>1.5</v>
      </c>
      <c r="G12" s="113">
        <v>1.5</v>
      </c>
      <c r="H12" s="112">
        <v>2</v>
      </c>
      <c r="I12" s="112">
        <v>1.1000000000000001</v>
      </c>
      <c r="J12" s="112">
        <v>1</v>
      </c>
      <c r="K12" s="112">
        <v>1.2</v>
      </c>
      <c r="L12" s="102">
        <f>ProjectDef!I20</f>
        <v>0</v>
      </c>
    </row>
    <row r="14" spans="2:12" hidden="1" x14ac:dyDescent="0.45">
      <c r="D14" s="128">
        <f t="shared" ref="D14:K23" si="0">1+D3*$L3</f>
        <v>1</v>
      </c>
      <c r="E14" s="128">
        <f t="shared" si="0"/>
        <v>1</v>
      </c>
      <c r="F14" s="128">
        <f t="shared" si="0"/>
        <v>1</v>
      </c>
      <c r="G14" s="128">
        <f t="shared" si="0"/>
        <v>1</v>
      </c>
      <c r="H14" s="128">
        <f t="shared" si="0"/>
        <v>1</v>
      </c>
      <c r="I14" s="128">
        <f t="shared" si="0"/>
        <v>1</v>
      </c>
      <c r="J14" s="128">
        <f t="shared" si="0"/>
        <v>1</v>
      </c>
      <c r="K14" s="189">
        <f t="shared" si="0"/>
        <v>1</v>
      </c>
      <c r="L14" s="380" t="s">
        <v>129</v>
      </c>
    </row>
    <row r="15" spans="2:12" hidden="1" x14ac:dyDescent="0.45">
      <c r="D15" s="128">
        <f t="shared" si="0"/>
        <v>1</v>
      </c>
      <c r="E15" s="128">
        <f t="shared" si="0"/>
        <v>1</v>
      </c>
      <c r="F15" s="128">
        <f t="shared" si="0"/>
        <v>1</v>
      </c>
      <c r="G15" s="128">
        <f t="shared" si="0"/>
        <v>1</v>
      </c>
      <c r="H15" s="128">
        <f t="shared" si="0"/>
        <v>1</v>
      </c>
      <c r="I15" s="128">
        <f t="shared" si="0"/>
        <v>1</v>
      </c>
      <c r="J15" s="128">
        <f t="shared" si="0"/>
        <v>1</v>
      </c>
      <c r="K15" s="189">
        <f t="shared" si="0"/>
        <v>1</v>
      </c>
      <c r="L15" s="347"/>
    </row>
    <row r="16" spans="2:12" hidden="1" x14ac:dyDescent="0.45">
      <c r="D16" s="128">
        <f t="shared" si="0"/>
        <v>1</v>
      </c>
      <c r="E16" s="128">
        <f t="shared" si="0"/>
        <v>1</v>
      </c>
      <c r="F16" s="128">
        <f t="shared" si="0"/>
        <v>1</v>
      </c>
      <c r="G16" s="128">
        <f t="shared" si="0"/>
        <v>1</v>
      </c>
      <c r="H16" s="128">
        <f t="shared" si="0"/>
        <v>1</v>
      </c>
      <c r="I16" s="128">
        <f t="shared" si="0"/>
        <v>1</v>
      </c>
      <c r="J16" s="128">
        <f t="shared" si="0"/>
        <v>1</v>
      </c>
      <c r="K16" s="189">
        <f t="shared" si="0"/>
        <v>1</v>
      </c>
      <c r="L16" s="347"/>
    </row>
    <row r="17" spans="3:12" hidden="1" x14ac:dyDescent="0.45">
      <c r="D17" s="128">
        <f t="shared" si="0"/>
        <v>1</v>
      </c>
      <c r="E17" s="128">
        <f t="shared" si="0"/>
        <v>1</v>
      </c>
      <c r="F17" s="128">
        <f t="shared" si="0"/>
        <v>1</v>
      </c>
      <c r="G17" s="128">
        <f t="shared" si="0"/>
        <v>1</v>
      </c>
      <c r="H17" s="128">
        <f t="shared" si="0"/>
        <v>1</v>
      </c>
      <c r="I17" s="128">
        <f t="shared" si="0"/>
        <v>1</v>
      </c>
      <c r="J17" s="128">
        <f t="shared" si="0"/>
        <v>1</v>
      </c>
      <c r="K17" s="189">
        <f t="shared" si="0"/>
        <v>1</v>
      </c>
      <c r="L17" s="347"/>
    </row>
    <row r="18" spans="3:12" hidden="1" x14ac:dyDescent="0.45">
      <c r="D18" s="128">
        <f t="shared" si="0"/>
        <v>1</v>
      </c>
      <c r="E18" s="128">
        <f t="shared" si="0"/>
        <v>1</v>
      </c>
      <c r="F18" s="128">
        <f t="shared" si="0"/>
        <v>1</v>
      </c>
      <c r="G18" s="128">
        <f t="shared" si="0"/>
        <v>1</v>
      </c>
      <c r="H18" s="128">
        <f t="shared" si="0"/>
        <v>1</v>
      </c>
      <c r="I18" s="128">
        <f t="shared" si="0"/>
        <v>1</v>
      </c>
      <c r="J18" s="128">
        <f t="shared" si="0"/>
        <v>1</v>
      </c>
      <c r="K18" s="189">
        <f t="shared" si="0"/>
        <v>1</v>
      </c>
      <c r="L18" s="347"/>
    </row>
    <row r="19" spans="3:12" hidden="1" x14ac:dyDescent="0.45">
      <c r="D19" s="128">
        <f t="shared" si="0"/>
        <v>1</v>
      </c>
      <c r="E19" s="128">
        <f t="shared" si="0"/>
        <v>1</v>
      </c>
      <c r="F19" s="128">
        <f t="shared" si="0"/>
        <v>1</v>
      </c>
      <c r="G19" s="128">
        <f t="shared" si="0"/>
        <v>1</v>
      </c>
      <c r="H19" s="128">
        <f t="shared" si="0"/>
        <v>1</v>
      </c>
      <c r="I19" s="128">
        <f t="shared" si="0"/>
        <v>1</v>
      </c>
      <c r="J19" s="128">
        <f t="shared" si="0"/>
        <v>1</v>
      </c>
      <c r="K19" s="189">
        <f t="shared" si="0"/>
        <v>1</v>
      </c>
      <c r="L19" s="347"/>
    </row>
    <row r="20" spans="3:12" hidden="1" x14ac:dyDescent="0.45">
      <c r="D20" s="128">
        <f t="shared" si="0"/>
        <v>1</v>
      </c>
      <c r="E20" s="128">
        <f t="shared" si="0"/>
        <v>1</v>
      </c>
      <c r="F20" s="128">
        <f t="shared" si="0"/>
        <v>1</v>
      </c>
      <c r="G20" s="128">
        <f t="shared" si="0"/>
        <v>1</v>
      </c>
      <c r="H20" s="128">
        <f t="shared" si="0"/>
        <v>1</v>
      </c>
      <c r="I20" s="128">
        <f t="shared" si="0"/>
        <v>1</v>
      </c>
      <c r="J20" s="128">
        <f t="shared" si="0"/>
        <v>1</v>
      </c>
      <c r="K20" s="189">
        <f t="shared" si="0"/>
        <v>1</v>
      </c>
      <c r="L20" s="347"/>
    </row>
    <row r="21" spans="3:12" hidden="1" x14ac:dyDescent="0.45">
      <c r="D21" s="128">
        <f t="shared" si="0"/>
        <v>1</v>
      </c>
      <c r="E21" s="128">
        <f t="shared" si="0"/>
        <v>1</v>
      </c>
      <c r="F21" s="128">
        <f t="shared" si="0"/>
        <v>1</v>
      </c>
      <c r="G21" s="128">
        <f t="shared" si="0"/>
        <v>1</v>
      </c>
      <c r="H21" s="128">
        <f t="shared" si="0"/>
        <v>1</v>
      </c>
      <c r="I21" s="128">
        <f t="shared" si="0"/>
        <v>1</v>
      </c>
      <c r="J21" s="128">
        <f t="shared" si="0"/>
        <v>1</v>
      </c>
      <c r="K21" s="189">
        <f t="shared" si="0"/>
        <v>1</v>
      </c>
      <c r="L21" s="347"/>
    </row>
    <row r="22" spans="3:12" hidden="1" x14ac:dyDescent="0.45">
      <c r="D22" s="128">
        <f t="shared" si="0"/>
        <v>1</v>
      </c>
      <c r="E22" s="128">
        <f t="shared" si="0"/>
        <v>1</v>
      </c>
      <c r="F22" s="128">
        <f t="shared" si="0"/>
        <v>1</v>
      </c>
      <c r="G22" s="128">
        <f t="shared" si="0"/>
        <v>1</v>
      </c>
      <c r="H22" s="128">
        <f t="shared" si="0"/>
        <v>1</v>
      </c>
      <c r="I22" s="128">
        <f t="shared" si="0"/>
        <v>1</v>
      </c>
      <c r="J22" s="128">
        <f t="shared" si="0"/>
        <v>1</v>
      </c>
      <c r="K22" s="189">
        <f t="shared" si="0"/>
        <v>1</v>
      </c>
      <c r="L22" s="347"/>
    </row>
    <row r="23" spans="3:12" hidden="1" x14ac:dyDescent="0.45">
      <c r="D23" s="128">
        <f t="shared" si="0"/>
        <v>1</v>
      </c>
      <c r="E23" s="128">
        <f t="shared" si="0"/>
        <v>1</v>
      </c>
      <c r="F23" s="128">
        <f t="shared" si="0"/>
        <v>1</v>
      </c>
      <c r="G23" s="128">
        <f t="shared" si="0"/>
        <v>1</v>
      </c>
      <c r="H23" s="128">
        <f t="shared" si="0"/>
        <v>1</v>
      </c>
      <c r="I23" s="128">
        <f t="shared" si="0"/>
        <v>1</v>
      </c>
      <c r="J23" s="128">
        <f t="shared" si="0"/>
        <v>1</v>
      </c>
      <c r="K23" s="189">
        <f t="shared" si="0"/>
        <v>1</v>
      </c>
      <c r="L23" s="347"/>
    </row>
    <row r="24" spans="3:12" ht="23.25" hidden="1" customHeight="1" x14ac:dyDescent="0.45">
      <c r="C24" s="190" t="s">
        <v>130</v>
      </c>
      <c r="D24" s="110">
        <f t="shared" ref="D24:K24" si="1">PRODUCT(D14:D23)</f>
        <v>1</v>
      </c>
      <c r="E24" s="110">
        <f t="shared" si="1"/>
        <v>1</v>
      </c>
      <c r="F24" s="110">
        <f t="shared" si="1"/>
        <v>1</v>
      </c>
      <c r="G24" s="110">
        <f t="shared" si="1"/>
        <v>1</v>
      </c>
      <c r="H24" s="110">
        <f t="shared" si="1"/>
        <v>1</v>
      </c>
      <c r="I24" s="110">
        <f t="shared" si="1"/>
        <v>1</v>
      </c>
      <c r="J24" s="110">
        <f t="shared" si="1"/>
        <v>1</v>
      </c>
      <c r="K24" s="110">
        <f t="shared" si="1"/>
        <v>1</v>
      </c>
      <c r="L24" s="348"/>
    </row>
    <row r="28" spans="3:12" hidden="1" x14ac:dyDescent="0.45">
      <c r="D28" s="128">
        <f t="shared" ref="D28:K37" si="2">$L3*(D3-1)+1</f>
        <v>1</v>
      </c>
      <c r="E28" s="128">
        <f t="shared" si="2"/>
        <v>1</v>
      </c>
      <c r="F28" s="128">
        <f t="shared" si="2"/>
        <v>1</v>
      </c>
      <c r="G28" s="128">
        <f t="shared" si="2"/>
        <v>1</v>
      </c>
      <c r="H28" s="128">
        <f t="shared" si="2"/>
        <v>1</v>
      </c>
      <c r="I28" s="128">
        <f t="shared" si="2"/>
        <v>1</v>
      </c>
      <c r="J28" s="128">
        <f t="shared" si="2"/>
        <v>1</v>
      </c>
      <c r="K28" s="128">
        <f t="shared" si="2"/>
        <v>1</v>
      </c>
    </row>
    <row r="29" spans="3:12" hidden="1" x14ac:dyDescent="0.45">
      <c r="D29" s="128">
        <f t="shared" si="2"/>
        <v>1</v>
      </c>
      <c r="E29" s="128">
        <f t="shared" si="2"/>
        <v>1</v>
      </c>
      <c r="F29" s="128">
        <f t="shared" si="2"/>
        <v>1</v>
      </c>
      <c r="G29" s="128">
        <f t="shared" si="2"/>
        <v>1</v>
      </c>
      <c r="H29" s="128">
        <f t="shared" si="2"/>
        <v>1</v>
      </c>
      <c r="I29" s="128">
        <f t="shared" si="2"/>
        <v>1</v>
      </c>
      <c r="J29" s="128">
        <f t="shared" si="2"/>
        <v>1</v>
      </c>
      <c r="K29" s="128">
        <f t="shared" si="2"/>
        <v>1</v>
      </c>
    </row>
    <row r="30" spans="3:12" hidden="1" x14ac:dyDescent="0.45">
      <c r="D30" s="128">
        <f t="shared" si="2"/>
        <v>1</v>
      </c>
      <c r="E30" s="128">
        <f t="shared" si="2"/>
        <v>1</v>
      </c>
      <c r="F30" s="128">
        <f t="shared" si="2"/>
        <v>1</v>
      </c>
      <c r="G30" s="128">
        <f t="shared" si="2"/>
        <v>1</v>
      </c>
      <c r="H30" s="128">
        <f t="shared" si="2"/>
        <v>1</v>
      </c>
      <c r="I30" s="128">
        <f t="shared" si="2"/>
        <v>1</v>
      </c>
      <c r="J30" s="128">
        <f t="shared" si="2"/>
        <v>1</v>
      </c>
      <c r="K30" s="128">
        <f t="shared" si="2"/>
        <v>1</v>
      </c>
    </row>
    <row r="31" spans="3:12" hidden="1" x14ac:dyDescent="0.45">
      <c r="D31" s="128">
        <f t="shared" si="2"/>
        <v>1</v>
      </c>
      <c r="E31" s="128">
        <f t="shared" si="2"/>
        <v>1</v>
      </c>
      <c r="F31" s="128">
        <f t="shared" si="2"/>
        <v>1</v>
      </c>
      <c r="G31" s="128">
        <f t="shared" si="2"/>
        <v>1</v>
      </c>
      <c r="H31" s="128">
        <f t="shared" si="2"/>
        <v>1</v>
      </c>
      <c r="I31" s="128">
        <f t="shared" si="2"/>
        <v>1</v>
      </c>
      <c r="J31" s="128">
        <f t="shared" si="2"/>
        <v>1</v>
      </c>
      <c r="K31" s="128">
        <f t="shared" si="2"/>
        <v>1</v>
      </c>
    </row>
    <row r="32" spans="3:12" hidden="1" x14ac:dyDescent="0.45">
      <c r="D32" s="128">
        <f t="shared" si="2"/>
        <v>1</v>
      </c>
      <c r="E32" s="128">
        <f t="shared" si="2"/>
        <v>1</v>
      </c>
      <c r="F32" s="128">
        <f t="shared" si="2"/>
        <v>1</v>
      </c>
      <c r="G32" s="128">
        <f t="shared" si="2"/>
        <v>1</v>
      </c>
      <c r="H32" s="128">
        <f t="shared" si="2"/>
        <v>1</v>
      </c>
      <c r="I32" s="128">
        <f t="shared" si="2"/>
        <v>1</v>
      </c>
      <c r="J32" s="128">
        <f t="shared" si="2"/>
        <v>1</v>
      </c>
      <c r="K32" s="128">
        <f t="shared" si="2"/>
        <v>1</v>
      </c>
    </row>
    <row r="33" spans="3:11" hidden="1" x14ac:dyDescent="0.45">
      <c r="D33" s="128">
        <f t="shared" si="2"/>
        <v>1</v>
      </c>
      <c r="E33" s="128">
        <f t="shared" si="2"/>
        <v>1</v>
      </c>
      <c r="F33" s="128">
        <f t="shared" si="2"/>
        <v>1</v>
      </c>
      <c r="G33" s="128">
        <f t="shared" si="2"/>
        <v>1</v>
      </c>
      <c r="H33" s="128">
        <f t="shared" si="2"/>
        <v>1</v>
      </c>
      <c r="I33" s="128">
        <f t="shared" si="2"/>
        <v>1</v>
      </c>
      <c r="J33" s="128">
        <f t="shared" si="2"/>
        <v>1</v>
      </c>
      <c r="K33" s="128">
        <f t="shared" si="2"/>
        <v>1</v>
      </c>
    </row>
    <row r="34" spans="3:11" hidden="1" x14ac:dyDescent="0.45">
      <c r="D34" s="128">
        <f t="shared" si="2"/>
        <v>1</v>
      </c>
      <c r="E34" s="128">
        <f t="shared" si="2"/>
        <v>1</v>
      </c>
      <c r="F34" s="128">
        <f t="shared" si="2"/>
        <v>1</v>
      </c>
      <c r="G34" s="128">
        <f t="shared" si="2"/>
        <v>1</v>
      </c>
      <c r="H34" s="128">
        <f t="shared" si="2"/>
        <v>1</v>
      </c>
      <c r="I34" s="128">
        <f t="shared" si="2"/>
        <v>1</v>
      </c>
      <c r="J34" s="128">
        <f t="shared" si="2"/>
        <v>1</v>
      </c>
      <c r="K34" s="128">
        <f t="shared" si="2"/>
        <v>1</v>
      </c>
    </row>
    <row r="35" spans="3:11" hidden="1" x14ac:dyDescent="0.45">
      <c r="D35" s="128">
        <f t="shared" si="2"/>
        <v>1</v>
      </c>
      <c r="E35" s="128">
        <f t="shared" si="2"/>
        <v>1</v>
      </c>
      <c r="F35" s="128">
        <f t="shared" si="2"/>
        <v>1</v>
      </c>
      <c r="G35" s="128">
        <f t="shared" si="2"/>
        <v>1</v>
      </c>
      <c r="H35" s="128">
        <f t="shared" si="2"/>
        <v>1</v>
      </c>
      <c r="I35" s="128">
        <f t="shared" si="2"/>
        <v>1</v>
      </c>
      <c r="J35" s="128">
        <f t="shared" si="2"/>
        <v>1</v>
      </c>
      <c r="K35" s="128">
        <f t="shared" si="2"/>
        <v>1</v>
      </c>
    </row>
    <row r="36" spans="3:11" hidden="1" x14ac:dyDescent="0.45">
      <c r="D36" s="128">
        <f t="shared" si="2"/>
        <v>1</v>
      </c>
      <c r="E36" s="128">
        <f t="shared" si="2"/>
        <v>1</v>
      </c>
      <c r="F36" s="128">
        <f t="shared" si="2"/>
        <v>1</v>
      </c>
      <c r="G36" s="128">
        <f t="shared" si="2"/>
        <v>1</v>
      </c>
      <c r="H36" s="128">
        <f t="shared" si="2"/>
        <v>1</v>
      </c>
      <c r="I36" s="128">
        <f t="shared" si="2"/>
        <v>1</v>
      </c>
      <c r="J36" s="128">
        <f t="shared" si="2"/>
        <v>1</v>
      </c>
      <c r="K36" s="128">
        <f t="shared" si="2"/>
        <v>1</v>
      </c>
    </row>
    <row r="37" spans="3:11" hidden="1" x14ac:dyDescent="0.45">
      <c r="D37" s="128">
        <f t="shared" si="2"/>
        <v>1</v>
      </c>
      <c r="E37" s="128">
        <f t="shared" si="2"/>
        <v>1</v>
      </c>
      <c r="F37" s="128">
        <f t="shared" si="2"/>
        <v>1</v>
      </c>
      <c r="G37" s="128">
        <f t="shared" si="2"/>
        <v>1</v>
      </c>
      <c r="H37" s="128">
        <f t="shared" si="2"/>
        <v>1</v>
      </c>
      <c r="I37" s="128">
        <f t="shared" si="2"/>
        <v>1</v>
      </c>
      <c r="J37" s="128">
        <f t="shared" si="2"/>
        <v>1</v>
      </c>
      <c r="K37" s="128">
        <f t="shared" si="2"/>
        <v>1</v>
      </c>
    </row>
    <row r="38" spans="3:11" ht="21.75" hidden="1" customHeight="1" x14ac:dyDescent="0.45">
      <c r="C38" s="190" t="s">
        <v>130</v>
      </c>
      <c r="D38" s="110">
        <f t="shared" ref="D38:K38" si="3">PRODUCT(D28:D37)</f>
        <v>1</v>
      </c>
      <c r="E38" s="110">
        <f t="shared" si="3"/>
        <v>1</v>
      </c>
      <c r="F38" s="110">
        <f t="shared" si="3"/>
        <v>1</v>
      </c>
      <c r="G38" s="110">
        <f t="shared" si="3"/>
        <v>1</v>
      </c>
      <c r="H38" s="110">
        <f t="shared" si="3"/>
        <v>1</v>
      </c>
      <c r="I38" s="110">
        <f t="shared" si="3"/>
        <v>1</v>
      </c>
      <c r="J38" s="110">
        <f t="shared" si="3"/>
        <v>1</v>
      </c>
      <c r="K38" s="110">
        <f t="shared" si="3"/>
        <v>1</v>
      </c>
    </row>
  </sheetData>
  <mergeCells count="3">
    <mergeCell ref="B2:C2"/>
    <mergeCell ref="B1:K1"/>
    <mergeCell ref="L14:L2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J39"/>
  <sheetViews>
    <sheetView showGridLines="0" rightToLeft="1" zoomScale="55" zoomScaleNormal="55" zoomScaleSheetLayoutView="100" workbookViewId="0">
      <selection activeCell="F7" sqref="F7"/>
    </sheetView>
  </sheetViews>
  <sheetFormatPr defaultColWidth="0" defaultRowHeight="18.399999999999999" zeroHeight="1" x14ac:dyDescent="0.85"/>
  <cols>
    <col min="1" max="1" width="39.1328125" style="37" customWidth="1"/>
    <col min="2" max="2" width="62.53125" style="37" customWidth="1"/>
    <col min="3" max="3" width="25.796875" style="37" customWidth="1"/>
    <col min="4" max="4" width="24.53125" style="37" customWidth="1"/>
    <col min="5" max="5" width="24.796875" style="37" customWidth="1"/>
    <col min="6" max="6" width="44.46484375" style="37" customWidth="1"/>
    <col min="7" max="7" width="62.53125" style="37" customWidth="1"/>
    <col min="8" max="8" width="9.1328125" style="1" hidden="1" customWidth="1"/>
    <col min="9" max="16384" width="0" style="1" hidden="1"/>
  </cols>
  <sheetData>
    <row r="1" spans="1:10" ht="45.75" customHeight="1" x14ac:dyDescent="0.85">
      <c r="A1" s="384"/>
      <c r="B1" s="385"/>
      <c r="C1" s="385"/>
      <c r="D1" s="385"/>
      <c r="E1" s="385"/>
      <c r="F1" s="384"/>
      <c r="G1" s="384"/>
      <c r="H1" s="385"/>
      <c r="I1" s="385"/>
      <c r="J1" s="385"/>
    </row>
    <row r="2" spans="1:10" ht="45.75" customHeight="1" x14ac:dyDescent="0.85">
      <c r="A2" s="400" t="s">
        <v>131</v>
      </c>
      <c r="B2" s="387"/>
      <c r="C2" s="387"/>
      <c r="D2" s="387"/>
      <c r="E2" s="387"/>
      <c r="F2" s="386"/>
      <c r="G2" s="387"/>
      <c r="H2" s="387"/>
      <c r="I2" s="387"/>
      <c r="J2" s="387"/>
    </row>
    <row r="3" spans="1:10" ht="12" customHeight="1" x14ac:dyDescent="0.85"/>
    <row r="4" spans="1:10" ht="26.25" customHeight="1" x14ac:dyDescent="0.85">
      <c r="A4" s="396" t="s">
        <v>132</v>
      </c>
      <c r="B4" s="291"/>
      <c r="C4" s="393" t="s">
        <v>441</v>
      </c>
      <c r="D4" s="394"/>
      <c r="E4" s="395"/>
      <c r="F4" s="253"/>
      <c r="G4" s="253"/>
    </row>
    <row r="5" spans="1:10" ht="12" customHeight="1" x14ac:dyDescent="0.85"/>
    <row r="6" spans="1:10" ht="25.5" customHeight="1" thickBot="1" x14ac:dyDescent="0.9">
      <c r="A6" s="242" t="s">
        <v>133</v>
      </c>
      <c r="B6" s="242" t="s">
        <v>134</v>
      </c>
      <c r="C6" s="242" t="s">
        <v>368</v>
      </c>
      <c r="D6" s="242" t="s">
        <v>369</v>
      </c>
      <c r="E6" s="242" t="s">
        <v>370</v>
      </c>
      <c r="F6" s="242" t="s">
        <v>366</v>
      </c>
      <c r="G6" s="242" t="s">
        <v>367</v>
      </c>
    </row>
    <row r="7" spans="1:10" ht="67.5" customHeight="1" thickBot="1" x14ac:dyDescent="0.9">
      <c r="A7" s="390" t="s">
        <v>135</v>
      </c>
      <c r="B7" s="243" t="s">
        <v>136</v>
      </c>
      <c r="C7" s="254" t="s">
        <v>376</v>
      </c>
      <c r="D7" s="254" t="s">
        <v>379</v>
      </c>
      <c r="E7" s="254" t="s">
        <v>377</v>
      </c>
      <c r="F7" s="254"/>
      <c r="G7" s="254" t="s">
        <v>432</v>
      </c>
    </row>
    <row r="8" spans="1:10" ht="72" customHeight="1" thickBot="1" x14ac:dyDescent="0.9">
      <c r="A8" s="389"/>
      <c r="B8" s="244" t="s">
        <v>137</v>
      </c>
      <c r="C8" s="255" t="s">
        <v>409</v>
      </c>
      <c r="D8" s="255" t="s">
        <v>398</v>
      </c>
      <c r="E8" s="255" t="s">
        <v>373</v>
      </c>
      <c r="F8" s="255"/>
      <c r="G8" s="255" t="s">
        <v>410</v>
      </c>
    </row>
    <row r="9" spans="1:10" ht="105" customHeight="1" thickBot="1" x14ac:dyDescent="0.9">
      <c r="A9" s="390" t="s">
        <v>138</v>
      </c>
      <c r="B9" s="243" t="s">
        <v>139</v>
      </c>
      <c r="C9" s="254" t="s">
        <v>411</v>
      </c>
      <c r="D9" s="254" t="s">
        <v>379</v>
      </c>
      <c r="E9" s="254" t="s">
        <v>412</v>
      </c>
      <c r="F9" s="254"/>
      <c r="G9" s="254" t="s">
        <v>431</v>
      </c>
    </row>
    <row r="10" spans="1:10" ht="91.25" customHeight="1" thickBot="1" x14ac:dyDescent="0.9">
      <c r="A10" s="389"/>
      <c r="B10" s="244" t="s">
        <v>140</v>
      </c>
      <c r="C10" s="255" t="s">
        <v>395</v>
      </c>
      <c r="D10" s="255" t="s">
        <v>398</v>
      </c>
      <c r="E10" s="255" t="s">
        <v>412</v>
      </c>
      <c r="F10" s="255"/>
      <c r="G10" s="255" t="s">
        <v>427</v>
      </c>
    </row>
    <row r="11" spans="1:10" ht="99.6" customHeight="1" thickBot="1" x14ac:dyDescent="0.9">
      <c r="A11" s="390" t="s">
        <v>141</v>
      </c>
      <c r="B11" s="243" t="s">
        <v>142</v>
      </c>
      <c r="C11" s="254" t="s">
        <v>396</v>
      </c>
      <c r="D11" s="254" t="s">
        <v>379</v>
      </c>
      <c r="E11" s="254" t="s">
        <v>383</v>
      </c>
      <c r="F11" s="254"/>
      <c r="G11" s="254" t="s">
        <v>428</v>
      </c>
    </row>
    <row r="12" spans="1:10" ht="90" customHeight="1" x14ac:dyDescent="0.85">
      <c r="A12" s="391"/>
      <c r="B12" s="245" t="s">
        <v>143</v>
      </c>
      <c r="C12" s="256" t="s">
        <v>395</v>
      </c>
      <c r="D12" s="256" t="s">
        <v>398</v>
      </c>
      <c r="E12" s="256" t="s">
        <v>383</v>
      </c>
      <c r="F12" s="256"/>
      <c r="G12" s="256" t="s">
        <v>429</v>
      </c>
    </row>
    <row r="13" spans="1:10" ht="98.45" customHeight="1" thickBot="1" x14ac:dyDescent="0.9">
      <c r="A13" s="392"/>
      <c r="B13" s="246" t="s">
        <v>144</v>
      </c>
      <c r="C13" s="257" t="s">
        <v>411</v>
      </c>
      <c r="D13" s="257" t="s">
        <v>379</v>
      </c>
      <c r="E13" s="257" t="s">
        <v>377</v>
      </c>
      <c r="F13" s="257"/>
      <c r="G13" s="257" t="s">
        <v>430</v>
      </c>
    </row>
    <row r="14" spans="1:10" ht="96" customHeight="1" thickBot="1" x14ac:dyDescent="0.9">
      <c r="A14" s="388" t="s">
        <v>145</v>
      </c>
      <c r="B14" s="247" t="s">
        <v>146</v>
      </c>
      <c r="C14" s="258" t="s">
        <v>409</v>
      </c>
      <c r="D14" s="258" t="s">
        <v>398</v>
      </c>
      <c r="E14" s="258" t="s">
        <v>383</v>
      </c>
      <c r="F14" s="258"/>
      <c r="G14" s="258" t="s">
        <v>414</v>
      </c>
    </row>
    <row r="15" spans="1:10" ht="91.25" customHeight="1" x14ac:dyDescent="0.85">
      <c r="A15" s="355"/>
      <c r="B15" s="248" t="s">
        <v>147</v>
      </c>
      <c r="C15" s="259" t="s">
        <v>395</v>
      </c>
      <c r="D15" s="259" t="s">
        <v>379</v>
      </c>
      <c r="E15" s="259" t="s">
        <v>383</v>
      </c>
      <c r="F15" s="259"/>
      <c r="G15" s="259" t="s">
        <v>415</v>
      </c>
    </row>
    <row r="16" spans="1:10" ht="90.6" customHeight="1" thickBot="1" x14ac:dyDescent="0.9">
      <c r="A16" s="389"/>
      <c r="B16" s="244" t="s">
        <v>148</v>
      </c>
      <c r="C16" s="255" t="s">
        <v>396</v>
      </c>
      <c r="D16" s="255" t="s">
        <v>398</v>
      </c>
      <c r="E16" s="255" t="s">
        <v>416</v>
      </c>
      <c r="F16" s="255"/>
      <c r="G16" s="255" t="s">
        <v>426</v>
      </c>
    </row>
    <row r="17" spans="1:7" ht="115.25" customHeight="1" thickBot="1" x14ac:dyDescent="0.9">
      <c r="A17" s="388" t="s">
        <v>149</v>
      </c>
      <c r="B17" s="243" t="s">
        <v>150</v>
      </c>
      <c r="C17" s="254" t="s">
        <v>411</v>
      </c>
      <c r="D17" s="254" t="s">
        <v>398</v>
      </c>
      <c r="E17" s="254" t="s">
        <v>373</v>
      </c>
      <c r="F17" s="254"/>
      <c r="G17" s="254" t="s">
        <v>425</v>
      </c>
    </row>
    <row r="18" spans="1:7" ht="99.6" customHeight="1" x14ac:dyDescent="0.85">
      <c r="A18" s="355"/>
      <c r="B18" s="245" t="s">
        <v>151</v>
      </c>
      <c r="C18" s="256" t="s">
        <v>417</v>
      </c>
      <c r="D18" s="256" t="s">
        <v>379</v>
      </c>
      <c r="E18" s="256" t="s">
        <v>366</v>
      </c>
      <c r="F18" s="256"/>
      <c r="G18" s="256" t="s">
        <v>424</v>
      </c>
    </row>
    <row r="19" spans="1:7" ht="92.45" customHeight="1" thickBot="1" x14ac:dyDescent="0.9">
      <c r="A19" s="389"/>
      <c r="B19" s="246" t="s">
        <v>152</v>
      </c>
      <c r="C19" s="257" t="s">
        <v>395</v>
      </c>
      <c r="D19" s="257" t="s">
        <v>398</v>
      </c>
      <c r="E19" s="257" t="s">
        <v>412</v>
      </c>
      <c r="F19" s="257"/>
      <c r="G19" s="257" t="s">
        <v>422</v>
      </c>
    </row>
    <row r="20" spans="1:7" ht="113.45" customHeight="1" thickBot="1" x14ac:dyDescent="0.9">
      <c r="A20" s="249" t="s">
        <v>153</v>
      </c>
      <c r="B20" s="250" t="s">
        <v>154</v>
      </c>
      <c r="C20" s="260" t="s">
        <v>411</v>
      </c>
      <c r="D20" s="260" t="s">
        <v>398</v>
      </c>
      <c r="E20" s="260" t="s">
        <v>418</v>
      </c>
      <c r="F20" s="260"/>
      <c r="G20" s="260" t="s">
        <v>423</v>
      </c>
    </row>
    <row r="21" spans="1:7" ht="96.6" customHeight="1" x14ac:dyDescent="0.85">
      <c r="A21" s="397" t="s">
        <v>155</v>
      </c>
      <c r="B21" s="243" t="s">
        <v>156</v>
      </c>
      <c r="C21" s="254" t="s">
        <v>395</v>
      </c>
      <c r="D21" s="254" t="s">
        <v>398</v>
      </c>
      <c r="E21" s="254" t="s">
        <v>419</v>
      </c>
      <c r="F21" s="254"/>
      <c r="G21" s="254" t="s">
        <v>420</v>
      </c>
    </row>
    <row r="22" spans="1:7" ht="85.25" customHeight="1" x14ac:dyDescent="0.85">
      <c r="A22" s="398"/>
      <c r="B22" s="245" t="s">
        <v>157</v>
      </c>
      <c r="C22" s="256" t="s">
        <v>411</v>
      </c>
      <c r="D22" s="256" t="s">
        <v>379</v>
      </c>
      <c r="E22" s="256" t="s">
        <v>418</v>
      </c>
      <c r="F22" s="256"/>
      <c r="G22" s="256" t="s">
        <v>421</v>
      </c>
    </row>
    <row r="23" spans="1:7" ht="93.6" customHeight="1" thickBot="1" x14ac:dyDescent="0.9">
      <c r="A23" s="399"/>
      <c r="B23" s="246" t="s">
        <v>158</v>
      </c>
      <c r="C23" s="257" t="s">
        <v>409</v>
      </c>
      <c r="D23" s="257" t="s">
        <v>398</v>
      </c>
      <c r="E23" s="257" t="s">
        <v>383</v>
      </c>
      <c r="F23" s="257"/>
      <c r="G23" s="257" t="s">
        <v>433</v>
      </c>
    </row>
    <row r="24" spans="1:7" ht="91.8" customHeight="1" thickBot="1" x14ac:dyDescent="0.9">
      <c r="A24" s="388" t="s">
        <v>159</v>
      </c>
      <c r="B24" s="247" t="s">
        <v>160</v>
      </c>
      <c r="C24" s="258" t="s">
        <v>395</v>
      </c>
      <c r="D24" s="258" t="s">
        <v>379</v>
      </c>
      <c r="E24" s="258" t="s">
        <v>383</v>
      </c>
      <c r="F24" s="258"/>
      <c r="G24" s="258" t="s">
        <v>434</v>
      </c>
    </row>
    <row r="25" spans="1:7" ht="90" customHeight="1" thickBot="1" x14ac:dyDescent="0.9">
      <c r="A25" s="389"/>
      <c r="B25" s="246" t="s">
        <v>161</v>
      </c>
      <c r="C25" s="257" t="s">
        <v>411</v>
      </c>
      <c r="D25" s="257" t="s">
        <v>398</v>
      </c>
      <c r="E25" s="257" t="s">
        <v>383</v>
      </c>
      <c r="F25" s="257"/>
      <c r="G25" s="257" t="s">
        <v>435</v>
      </c>
    </row>
    <row r="26" spans="1:7" ht="115.8" customHeight="1" thickBot="1" x14ac:dyDescent="0.9">
      <c r="A26" s="388" t="s">
        <v>162</v>
      </c>
      <c r="B26" s="247" t="s">
        <v>163</v>
      </c>
      <c r="C26" s="258" t="s">
        <v>396</v>
      </c>
      <c r="D26" s="258" t="s">
        <v>398</v>
      </c>
      <c r="E26" s="258" t="s">
        <v>377</v>
      </c>
      <c r="F26" s="258"/>
      <c r="G26" s="258" t="s">
        <v>436</v>
      </c>
    </row>
    <row r="27" spans="1:7" ht="86.45" customHeight="1" x14ac:dyDescent="0.85">
      <c r="A27" s="355"/>
      <c r="B27" s="248" t="s">
        <v>164</v>
      </c>
      <c r="C27" s="259" t="s">
        <v>411</v>
      </c>
      <c r="D27" s="259" t="s">
        <v>379</v>
      </c>
      <c r="E27" s="259" t="s">
        <v>412</v>
      </c>
      <c r="F27" s="259"/>
      <c r="G27" s="259" t="s">
        <v>437</v>
      </c>
    </row>
    <row r="28" spans="1:7" ht="94.25" customHeight="1" x14ac:dyDescent="0.85">
      <c r="A28" s="355"/>
      <c r="B28" s="245" t="s">
        <v>438</v>
      </c>
      <c r="C28" s="256" t="s">
        <v>396</v>
      </c>
      <c r="D28" s="256" t="s">
        <v>398</v>
      </c>
      <c r="E28" s="256" t="s">
        <v>416</v>
      </c>
      <c r="F28" s="256"/>
      <c r="G28" s="256" t="s">
        <v>439</v>
      </c>
    </row>
    <row r="29" spans="1:7" ht="94.8" customHeight="1" thickBot="1" x14ac:dyDescent="0.9">
      <c r="A29" s="389"/>
      <c r="B29" s="246" t="s">
        <v>165</v>
      </c>
      <c r="C29" s="257" t="s">
        <v>396</v>
      </c>
      <c r="D29" s="257" t="s">
        <v>379</v>
      </c>
      <c r="E29" s="257" t="s">
        <v>377</v>
      </c>
      <c r="F29" s="257"/>
      <c r="G29" s="257" t="s">
        <v>440</v>
      </c>
    </row>
    <row r="30" spans="1:7" ht="53.45" customHeight="1" x14ac:dyDescent="0.85">
      <c r="A30" s="381" t="s">
        <v>413</v>
      </c>
      <c r="B30" s="261" t="s">
        <v>371</v>
      </c>
      <c r="C30" s="262" t="s">
        <v>374</v>
      </c>
      <c r="D30" s="262" t="s">
        <v>379</v>
      </c>
      <c r="E30" s="262" t="s">
        <v>373</v>
      </c>
      <c r="F30" s="262" t="s">
        <v>402</v>
      </c>
      <c r="G30" s="262" t="s">
        <v>372</v>
      </c>
    </row>
    <row r="31" spans="1:7" ht="66" customHeight="1" x14ac:dyDescent="0.85">
      <c r="A31" s="382"/>
      <c r="B31" s="248" t="s">
        <v>375</v>
      </c>
      <c r="C31" s="259" t="s">
        <v>376</v>
      </c>
      <c r="D31" s="259" t="s">
        <v>378</v>
      </c>
      <c r="E31" s="259" t="s">
        <v>377</v>
      </c>
      <c r="F31" s="259" t="s">
        <v>403</v>
      </c>
      <c r="G31" s="259" t="s">
        <v>380</v>
      </c>
    </row>
    <row r="32" spans="1:7" ht="44.45" customHeight="1" x14ac:dyDescent="0.85">
      <c r="A32" s="382"/>
      <c r="B32" s="245" t="s">
        <v>381</v>
      </c>
      <c r="C32" s="256" t="s">
        <v>382</v>
      </c>
      <c r="D32" s="256" t="s">
        <v>379</v>
      </c>
      <c r="E32" s="256" t="s">
        <v>383</v>
      </c>
      <c r="F32" s="256"/>
      <c r="G32" s="256" t="s">
        <v>384</v>
      </c>
    </row>
    <row r="33" spans="1:7" ht="23.45" customHeight="1" x14ac:dyDescent="0.85">
      <c r="A33" s="382"/>
      <c r="B33" s="248" t="s">
        <v>385</v>
      </c>
      <c r="C33" s="259" t="s">
        <v>382</v>
      </c>
      <c r="D33" s="259" t="s">
        <v>379</v>
      </c>
      <c r="E33" s="259" t="s">
        <v>383</v>
      </c>
      <c r="F33" s="259"/>
      <c r="G33" s="259" t="s">
        <v>386</v>
      </c>
    </row>
    <row r="34" spans="1:7" ht="23.45" customHeight="1" x14ac:dyDescent="0.85">
      <c r="A34" s="383"/>
      <c r="B34" s="263" t="s">
        <v>387</v>
      </c>
      <c r="C34" s="264" t="s">
        <v>374</v>
      </c>
      <c r="D34" s="264" t="s">
        <v>379</v>
      </c>
      <c r="E34" s="264" t="s">
        <v>373</v>
      </c>
      <c r="F34" s="264"/>
      <c r="G34" s="264" t="s">
        <v>388</v>
      </c>
    </row>
    <row r="35" spans="1:7" ht="23.45" customHeight="1" x14ac:dyDescent="0.85">
      <c r="A35" s="383"/>
      <c r="B35" s="248" t="s">
        <v>389</v>
      </c>
      <c r="C35" s="259" t="s">
        <v>390</v>
      </c>
      <c r="D35" s="259" t="s">
        <v>378</v>
      </c>
      <c r="E35" s="259" t="s">
        <v>383</v>
      </c>
      <c r="F35" s="259" t="s">
        <v>404</v>
      </c>
      <c r="G35" s="259" t="s">
        <v>391</v>
      </c>
    </row>
    <row r="36" spans="1:7" ht="39.6" customHeight="1" x14ac:dyDescent="0.85">
      <c r="A36" s="383"/>
      <c r="B36" s="261" t="s">
        <v>392</v>
      </c>
      <c r="C36" s="262" t="s">
        <v>395</v>
      </c>
      <c r="D36" s="262" t="s">
        <v>397</v>
      </c>
      <c r="E36" s="262" t="s">
        <v>373</v>
      </c>
      <c r="F36" s="262"/>
      <c r="G36" s="262" t="s">
        <v>399</v>
      </c>
    </row>
    <row r="37" spans="1:7" ht="42" customHeight="1" x14ac:dyDescent="0.85">
      <c r="A37" s="382"/>
      <c r="B37" s="248" t="s">
        <v>393</v>
      </c>
      <c r="C37" s="259" t="s">
        <v>396</v>
      </c>
      <c r="D37" s="259" t="s">
        <v>398</v>
      </c>
      <c r="E37" s="259" t="s">
        <v>377</v>
      </c>
      <c r="F37" s="259" t="s">
        <v>405</v>
      </c>
      <c r="G37" s="259" t="s">
        <v>400</v>
      </c>
    </row>
    <row r="38" spans="1:7" ht="54.6" customHeight="1" x14ac:dyDescent="0.85">
      <c r="A38" s="383"/>
      <c r="B38" s="263" t="s">
        <v>394</v>
      </c>
      <c r="C38" s="264" t="s">
        <v>396</v>
      </c>
      <c r="D38" s="264" t="s">
        <v>397</v>
      </c>
      <c r="E38" s="264" t="s">
        <v>383</v>
      </c>
      <c r="F38" s="264" t="s">
        <v>402</v>
      </c>
      <c r="G38" s="264" t="s">
        <v>401</v>
      </c>
    </row>
    <row r="39" spans="1:7" ht="43.15" thickBot="1" x14ac:dyDescent="0.9">
      <c r="A39" s="383"/>
      <c r="B39" s="246" t="s">
        <v>406</v>
      </c>
      <c r="C39" s="257" t="s">
        <v>376</v>
      </c>
      <c r="D39" s="257" t="s">
        <v>379</v>
      </c>
      <c r="E39" s="257" t="s">
        <v>407</v>
      </c>
      <c r="F39" s="257" t="s">
        <v>404</v>
      </c>
      <c r="G39" s="257" t="s">
        <v>408</v>
      </c>
    </row>
  </sheetData>
  <mergeCells count="15">
    <mergeCell ref="A30:A39"/>
    <mergeCell ref="F1:J1"/>
    <mergeCell ref="F2:J2"/>
    <mergeCell ref="A26:A29"/>
    <mergeCell ref="A17:A19"/>
    <mergeCell ref="A11:A13"/>
    <mergeCell ref="C4:E4"/>
    <mergeCell ref="A1:E1"/>
    <mergeCell ref="A7:A8"/>
    <mergeCell ref="A14:A16"/>
    <mergeCell ref="A4:B4"/>
    <mergeCell ref="A21:A23"/>
    <mergeCell ref="A24:A25"/>
    <mergeCell ref="A2:E2"/>
    <mergeCell ref="A9:A10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39" orientation="landscape" blackAndWhite="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pageSetUpPr fitToPage="1"/>
  </sheetPr>
  <dimension ref="A1:R447"/>
  <sheetViews>
    <sheetView rightToLeft="1" zoomScaleNormal="100" zoomScaleSheetLayoutView="100" workbookViewId="0">
      <selection activeCell="C9" sqref="C9"/>
    </sheetView>
  </sheetViews>
  <sheetFormatPr defaultColWidth="0" defaultRowHeight="14.25" zeroHeight="1" x14ac:dyDescent="0.45"/>
  <cols>
    <col min="1" max="1" width="5.46484375" style="20" customWidth="1"/>
    <col min="2" max="2" width="15.46484375" style="20" customWidth="1"/>
    <col min="3" max="7" width="13.6640625" style="20" customWidth="1"/>
    <col min="8" max="8" width="10.86328125" style="20" customWidth="1"/>
    <col min="9" max="9" width="5.33203125" style="20" customWidth="1"/>
    <col min="10" max="10" width="12.53125" style="20" customWidth="1"/>
    <col min="11" max="11" width="5.1328125" style="88" customWidth="1"/>
    <col min="12" max="12" width="6.53125" style="88" customWidth="1"/>
    <col min="13" max="13" width="7.33203125" style="88" customWidth="1"/>
    <col min="14" max="14" width="9" style="88" customWidth="1"/>
    <col min="15" max="15" width="6.46484375" style="88" customWidth="1"/>
    <col min="16" max="16" width="6.1328125" style="87" customWidth="1"/>
    <col min="17" max="17" width="3.33203125" hidden="1" customWidth="1"/>
    <col min="18" max="18" width="0" hidden="1" customWidth="1"/>
    <col min="19" max="19" width="9.1328125" hidden="1" customWidth="1"/>
    <col min="20" max="16384" width="9.1328125" hidden="1"/>
  </cols>
  <sheetData>
    <row r="1" spans="1:18" ht="22.5" customHeight="1" x14ac:dyDescent="0.45">
      <c r="A1" s="354" t="s">
        <v>166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1"/>
      <c r="Q1" s="87"/>
    </row>
    <row r="2" spans="1:18" ht="47.25" customHeight="1" x14ac:dyDescent="0.45">
      <c r="A2" s="354" t="str">
        <f>CONCATENATE("«",Scope!D4,"»")</f>
        <v>«طراحی کیف پول»</v>
      </c>
      <c r="B2" s="294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1"/>
      <c r="Q2" s="87"/>
    </row>
    <row r="3" spans="1:18" ht="12.75" customHeight="1" x14ac:dyDescent="0.45">
      <c r="A3" s="87"/>
      <c r="B3" s="87"/>
      <c r="C3" s="87"/>
      <c r="D3" s="87"/>
      <c r="E3" s="87"/>
      <c r="F3" s="87"/>
      <c r="G3" s="87"/>
      <c r="H3" s="87"/>
      <c r="I3" s="88"/>
      <c r="J3" s="88"/>
      <c r="P3" s="88"/>
      <c r="Q3" s="88"/>
      <c r="R3" s="20"/>
    </row>
    <row r="4" spans="1:18" ht="20.25" customHeight="1" thickBot="1" x14ac:dyDescent="0.5">
      <c r="A4" s="88"/>
      <c r="B4" s="405" t="s">
        <v>167</v>
      </c>
      <c r="C4" s="294"/>
      <c r="D4" s="294"/>
      <c r="E4" s="294"/>
      <c r="F4" s="294"/>
      <c r="G4" s="291"/>
      <c r="H4" s="88"/>
      <c r="I4" s="88"/>
      <c r="J4" s="88"/>
      <c r="P4" s="88"/>
      <c r="Q4" s="88"/>
      <c r="R4" s="20"/>
    </row>
    <row r="5" spans="1:18" ht="22.5" customHeight="1" x14ac:dyDescent="0.45">
      <c r="A5" s="88"/>
      <c r="B5" s="187" t="s">
        <v>168</v>
      </c>
      <c r="C5" s="175" t="str">
        <f>Constants!E3</f>
        <v>ساده</v>
      </c>
      <c r="D5" s="175" t="str">
        <f>Constants!E4</f>
        <v>معمولی</v>
      </c>
      <c r="E5" s="175" t="str">
        <f>Constants!E5</f>
        <v>پیچیده</v>
      </c>
      <c r="F5" s="175" t="str">
        <f>Constants!E6</f>
        <v>بسیار پیچیده</v>
      </c>
      <c r="G5" s="207" t="str">
        <f>Constants!E7</f>
        <v>فوق العاده پیچیده</v>
      </c>
      <c r="H5" s="212" t="s">
        <v>169</v>
      </c>
      <c r="I5" s="88"/>
      <c r="J5" s="88"/>
      <c r="P5" s="88"/>
      <c r="Q5" s="88"/>
      <c r="R5" s="20"/>
    </row>
    <row r="6" spans="1:18" ht="23.25" customHeight="1" x14ac:dyDescent="0.45">
      <c r="A6" s="88"/>
      <c r="B6" s="176" t="str">
        <f>Constants!A3</f>
        <v>فرم</v>
      </c>
      <c r="C6" s="180">
        <f>Elements!E2011</f>
        <v>0</v>
      </c>
      <c r="D6" s="180">
        <f>Elements!F2011</f>
        <v>7</v>
      </c>
      <c r="E6" s="180">
        <f>Elements!G2011</f>
        <v>5</v>
      </c>
      <c r="F6" s="180">
        <f>Elements!H2011</f>
        <v>4</v>
      </c>
      <c r="G6" s="208">
        <f>Elements!I2011</f>
        <v>0</v>
      </c>
      <c r="H6" s="218">
        <f>SUM(C6:G6)</f>
        <v>16</v>
      </c>
      <c r="I6" s="88"/>
      <c r="J6" s="88"/>
      <c r="P6" s="88"/>
      <c r="Q6" s="88"/>
      <c r="R6" s="20"/>
    </row>
    <row r="7" spans="1:18" ht="23.25" customHeight="1" x14ac:dyDescent="0.45">
      <c r="A7" s="88"/>
      <c r="B7" s="177" t="str">
        <f>Constants!A4</f>
        <v>پردازش</v>
      </c>
      <c r="C7" s="181">
        <f>Elements!E2012</f>
        <v>0</v>
      </c>
      <c r="D7" s="182">
        <f>Elements!F2012</f>
        <v>0</v>
      </c>
      <c r="E7" s="182">
        <f>Elements!G2012</f>
        <v>1</v>
      </c>
      <c r="F7" s="182">
        <f>Elements!H2012</f>
        <v>2</v>
      </c>
      <c r="G7" s="209">
        <f>Elements!I2012</f>
        <v>2</v>
      </c>
      <c r="H7" s="214">
        <f>SUM(C7:G7)</f>
        <v>5</v>
      </c>
      <c r="I7" s="88"/>
      <c r="J7" s="88"/>
      <c r="P7" s="88"/>
      <c r="Q7" s="88"/>
      <c r="R7" s="20"/>
    </row>
    <row r="8" spans="1:18" ht="23.25" customHeight="1" x14ac:dyDescent="0.45">
      <c r="A8" s="88"/>
      <c r="B8" s="178" t="str">
        <f>Constants!A5</f>
        <v>سرویس</v>
      </c>
      <c r="C8" s="183">
        <f>Elements!E2013</f>
        <v>0</v>
      </c>
      <c r="D8" s="184">
        <f>Elements!F2013</f>
        <v>1</v>
      </c>
      <c r="E8" s="184">
        <f>Elements!G2013</f>
        <v>7</v>
      </c>
      <c r="F8" s="184">
        <f>Elements!H2013</f>
        <v>2</v>
      </c>
      <c r="G8" s="210">
        <f>Elements!I2013</f>
        <v>1</v>
      </c>
      <c r="H8" s="215">
        <f>SUM(C8:G8)</f>
        <v>11</v>
      </c>
      <c r="I8" s="88"/>
      <c r="J8" s="88"/>
      <c r="P8" s="88"/>
      <c r="Q8" s="88"/>
      <c r="R8" s="20"/>
    </row>
    <row r="9" spans="1:18" ht="23.25" customHeight="1" x14ac:dyDescent="0.45">
      <c r="A9" s="88"/>
      <c r="B9" s="179" t="str">
        <f>Constants!A6</f>
        <v>گزارش</v>
      </c>
      <c r="C9" s="185">
        <f>Elements!E2014</f>
        <v>0</v>
      </c>
      <c r="D9" s="186">
        <f>Elements!F2014</f>
        <v>0</v>
      </c>
      <c r="E9" s="186">
        <f>Elements!G2014</f>
        <v>1</v>
      </c>
      <c r="F9" s="186">
        <f>Elements!H2014</f>
        <v>0</v>
      </c>
      <c r="G9" s="211">
        <f>Elements!I2014</f>
        <v>0</v>
      </c>
      <c r="H9" s="216">
        <f>SUM(C9:G9)</f>
        <v>1</v>
      </c>
      <c r="I9" s="88"/>
      <c r="J9" s="88"/>
      <c r="N9" s="87"/>
      <c r="O9" s="87"/>
      <c r="Q9" s="87"/>
      <c r="R9" s="20"/>
    </row>
    <row r="10" spans="1:18" ht="24.75" customHeight="1" thickBot="1" x14ac:dyDescent="0.5">
      <c r="A10" s="88"/>
      <c r="B10" s="88"/>
      <c r="C10" s="88"/>
      <c r="D10" s="88"/>
      <c r="E10" s="88"/>
      <c r="F10" s="88"/>
      <c r="G10" s="206" t="s">
        <v>170</v>
      </c>
      <c r="H10" s="217">
        <f>SUM(H6:H9)</f>
        <v>33</v>
      </c>
      <c r="I10" s="88"/>
      <c r="J10" s="88"/>
      <c r="N10" s="87"/>
      <c r="O10" s="87"/>
      <c r="Q10" s="87"/>
      <c r="R10" s="20"/>
    </row>
    <row r="11" spans="1:18" x14ac:dyDescent="0.45">
      <c r="A11" s="88"/>
      <c r="B11" s="88"/>
      <c r="C11" s="88"/>
      <c r="D11" s="88"/>
      <c r="E11" s="88"/>
      <c r="F11" s="88"/>
      <c r="G11" s="88"/>
      <c r="H11" s="88"/>
      <c r="I11" s="88"/>
      <c r="J11" s="88"/>
      <c r="N11" s="87"/>
      <c r="O11" s="87"/>
      <c r="Q11" s="87"/>
      <c r="R11" s="20"/>
    </row>
    <row r="12" spans="1:18" x14ac:dyDescent="0.45">
      <c r="A12" s="88"/>
      <c r="B12" s="88"/>
      <c r="C12" s="88"/>
      <c r="D12" s="88"/>
      <c r="E12" s="88"/>
      <c r="F12" s="88"/>
      <c r="G12" s="88"/>
      <c r="H12" s="88"/>
      <c r="I12" s="88"/>
      <c r="J12" s="88"/>
      <c r="N12" s="87"/>
      <c r="O12" s="87"/>
      <c r="Q12" s="87"/>
      <c r="R12" s="20"/>
    </row>
    <row r="13" spans="1:18" ht="21" customHeight="1" x14ac:dyDescent="0.45">
      <c r="A13" s="88"/>
      <c r="B13" s="164" t="s">
        <v>40</v>
      </c>
      <c r="C13" s="401">
        <f>ProjectDef!C4</f>
        <v>0</v>
      </c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1"/>
      <c r="Q13" s="87"/>
      <c r="R13" s="20"/>
    </row>
    <row r="14" spans="1:18" ht="21" customHeight="1" x14ac:dyDescent="0.45">
      <c r="A14" s="88"/>
      <c r="B14" s="164" t="s">
        <v>41</v>
      </c>
      <c r="C14" s="401">
        <f>ProjectDef!C5</f>
        <v>0</v>
      </c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1"/>
      <c r="Q14" s="87"/>
      <c r="R14" s="20"/>
    </row>
    <row r="15" spans="1:18" ht="21" customHeight="1" x14ac:dyDescent="0.45">
      <c r="A15" s="88"/>
      <c r="B15" s="164" t="s">
        <v>42</v>
      </c>
      <c r="C15" s="401">
        <f>ProjectDef!C6</f>
        <v>0</v>
      </c>
      <c r="D15" s="294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1"/>
      <c r="Q15" s="87"/>
    </row>
    <row r="16" spans="1:18" ht="21" customHeight="1" x14ac:dyDescent="0.45">
      <c r="A16" s="88"/>
      <c r="B16" s="164" t="s">
        <v>43</v>
      </c>
      <c r="C16" s="401">
        <f>ProjectDef!C7</f>
        <v>0</v>
      </c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1"/>
      <c r="Q16" s="87"/>
    </row>
    <row r="17" spans="1:17" x14ac:dyDescent="0.45">
      <c r="A17" s="88"/>
      <c r="B17" s="88"/>
      <c r="C17" s="88"/>
      <c r="D17" s="88"/>
      <c r="E17" s="88"/>
      <c r="F17" s="88"/>
      <c r="G17" s="88"/>
      <c r="H17" s="88"/>
      <c r="I17" s="88"/>
      <c r="J17" s="88"/>
      <c r="N17" s="87"/>
      <c r="O17" s="87"/>
      <c r="Q17" s="87"/>
    </row>
    <row r="18" spans="1:17" ht="22.5" customHeight="1" x14ac:dyDescent="0.45">
      <c r="A18" s="88"/>
      <c r="B18" s="124"/>
      <c r="C18" s="124"/>
      <c r="D18" s="403" t="s">
        <v>44</v>
      </c>
      <c r="E18" s="294"/>
      <c r="F18" s="294"/>
      <c r="G18" s="291"/>
      <c r="H18" s="174" t="s">
        <v>45</v>
      </c>
      <c r="I18" s="88"/>
      <c r="J18" s="403" t="s">
        <v>57</v>
      </c>
      <c r="K18" s="174">
        <v>1</v>
      </c>
      <c r="L18" s="404" t="str">
        <f>ProjectDef!D23</f>
        <v>بانکهای اطلاعاتی</v>
      </c>
      <c r="M18" s="294"/>
      <c r="N18" s="291"/>
      <c r="O18" s="165">
        <f>ProjectDef!I23</f>
        <v>0</v>
      </c>
      <c r="Q18" s="87"/>
    </row>
    <row r="19" spans="1:17" ht="21" customHeight="1" x14ac:dyDescent="0.45">
      <c r="A19" s="88"/>
      <c r="B19" s="403" t="s">
        <v>50</v>
      </c>
      <c r="C19" s="174">
        <v>1</v>
      </c>
      <c r="D19" s="401" t="str">
        <f>Shifter!C3</f>
        <v>مسئولیت در صحت انجام عملیات (اعمال جرایم)</v>
      </c>
      <c r="E19" s="294"/>
      <c r="F19" s="294"/>
      <c r="G19" s="291"/>
      <c r="H19" s="165">
        <f>ProjectDef!I11</f>
        <v>0</v>
      </c>
      <c r="I19" s="88"/>
      <c r="J19" s="347"/>
      <c r="K19" s="174">
        <v>2</v>
      </c>
      <c r="L19" s="404" t="str">
        <f>ProjectDef!D24</f>
        <v>عملیات</v>
      </c>
      <c r="M19" s="294"/>
      <c r="N19" s="291"/>
      <c r="O19" s="165">
        <f>ProjectDef!I24</f>
        <v>0</v>
      </c>
      <c r="Q19" s="87"/>
    </row>
    <row r="20" spans="1:17" ht="21" customHeight="1" x14ac:dyDescent="0.45">
      <c r="A20" s="88"/>
      <c r="B20" s="347"/>
      <c r="C20" s="174">
        <v>2</v>
      </c>
      <c r="D20" s="401" t="str">
        <f>Shifter!C4</f>
        <v>عدم وجود مستندات تعریف محدوده کار</v>
      </c>
      <c r="E20" s="294"/>
      <c r="F20" s="294"/>
      <c r="G20" s="291"/>
      <c r="H20" s="165">
        <f>ProjectDef!I12</f>
        <v>0</v>
      </c>
      <c r="I20" s="88"/>
      <c r="J20" s="348"/>
      <c r="K20" s="174">
        <v>3</v>
      </c>
      <c r="L20" s="404" t="str">
        <f>ProjectDef!D25</f>
        <v>امنیت اطلاعات و ارتباطات</v>
      </c>
      <c r="M20" s="294"/>
      <c r="N20" s="291"/>
      <c r="O20" s="165">
        <f>ProjectDef!I25</f>
        <v>0</v>
      </c>
      <c r="P20" s="88"/>
      <c r="Q20" s="87"/>
    </row>
    <row r="21" spans="1:17" ht="21" customHeight="1" x14ac:dyDescent="0.45">
      <c r="A21" s="88"/>
      <c r="B21" s="347"/>
      <c r="C21" s="174">
        <v>3</v>
      </c>
      <c r="D21" s="401" t="str">
        <f>Shifter!C5</f>
        <v>عدم شناخت کارفرما از نیازمندیهای خود</v>
      </c>
      <c r="E21" s="294"/>
      <c r="F21" s="294"/>
      <c r="G21" s="291"/>
      <c r="H21" s="165">
        <f>ProjectDef!I13</f>
        <v>0</v>
      </c>
      <c r="I21" s="88"/>
      <c r="J21" s="88"/>
      <c r="P21" s="88"/>
      <c r="Q21" s="87"/>
    </row>
    <row r="22" spans="1:17" ht="21" customHeight="1" x14ac:dyDescent="0.45">
      <c r="A22" s="88"/>
      <c r="B22" s="347"/>
      <c r="C22" s="174">
        <v>4</v>
      </c>
      <c r="D22" s="401" t="str">
        <f>Shifter!C6</f>
        <v>برخورداری از تکنولوژی بالا در فرایند و محصول</v>
      </c>
      <c r="E22" s="294"/>
      <c r="F22" s="294"/>
      <c r="G22" s="291"/>
      <c r="H22" s="165">
        <f>ProjectDef!I14</f>
        <v>0</v>
      </c>
      <c r="I22" s="88"/>
      <c r="J22" s="202"/>
      <c r="K22" s="202"/>
      <c r="L22" s="202"/>
      <c r="M22" s="202"/>
      <c r="N22" s="202"/>
      <c r="O22" s="202"/>
      <c r="P22" s="88"/>
      <c r="Q22" s="87"/>
    </row>
    <row r="23" spans="1:17" ht="21" customHeight="1" x14ac:dyDescent="0.45">
      <c r="A23" s="88"/>
      <c r="B23" s="347"/>
      <c r="C23" s="174">
        <v>5</v>
      </c>
      <c r="D23" s="401" t="str">
        <f>Shifter!C7</f>
        <v>استفاده از سکوی توسعه رده Main Frame</v>
      </c>
      <c r="E23" s="294"/>
      <c r="F23" s="294"/>
      <c r="G23" s="291"/>
      <c r="H23" s="165">
        <f>ProjectDef!I15</f>
        <v>0</v>
      </c>
      <c r="I23" s="88"/>
      <c r="J23" s="125"/>
      <c r="K23" s="125"/>
      <c r="L23" s="125"/>
      <c r="M23" s="203"/>
      <c r="N23" s="203"/>
      <c r="O23" s="203"/>
      <c r="P23" s="88"/>
      <c r="Q23" s="87"/>
    </row>
    <row r="24" spans="1:17" ht="21" customHeight="1" x14ac:dyDescent="0.45">
      <c r="A24" s="88"/>
      <c r="B24" s="347"/>
      <c r="C24" s="174">
        <v>6</v>
      </c>
      <c r="D24" s="401" t="str">
        <f>Shifter!C8</f>
        <v>سرعت در انجام پروژه</v>
      </c>
      <c r="E24" s="294"/>
      <c r="F24" s="294"/>
      <c r="G24" s="291"/>
      <c r="H24" s="165">
        <f>ProjectDef!I16</f>
        <v>0</v>
      </c>
      <c r="I24" s="88"/>
      <c r="J24" s="125"/>
      <c r="K24" s="125"/>
      <c r="L24" s="125"/>
      <c r="M24" s="203"/>
      <c r="N24" s="203"/>
      <c r="O24" s="203"/>
      <c r="P24" s="88"/>
      <c r="Q24" s="87"/>
    </row>
    <row r="25" spans="1:17" ht="21" customHeight="1" x14ac:dyDescent="0.45">
      <c r="A25" s="88"/>
      <c r="B25" s="347"/>
      <c r="C25" s="174">
        <v>7</v>
      </c>
      <c r="D25" s="401" t="str">
        <f>Shifter!C9</f>
        <v>ظرفیت خالی</v>
      </c>
      <c r="E25" s="294"/>
      <c r="F25" s="294"/>
      <c r="G25" s="291"/>
      <c r="H25" s="165">
        <f>ProjectDef!I17</f>
        <v>0</v>
      </c>
      <c r="I25" s="88"/>
      <c r="J25" s="125"/>
      <c r="K25" s="125"/>
      <c r="L25" s="125"/>
      <c r="M25" s="203"/>
      <c r="N25" s="203"/>
      <c r="O25" s="203"/>
      <c r="P25" s="88"/>
      <c r="Q25" s="87"/>
    </row>
    <row r="26" spans="1:17" ht="21" customHeight="1" x14ac:dyDescent="0.45">
      <c r="A26" s="88"/>
      <c r="B26" s="347"/>
      <c r="C26" s="174">
        <v>8</v>
      </c>
      <c r="D26" s="401" t="str">
        <f>Shifter!C10</f>
        <v>اتصال به سیستم های خارجی</v>
      </c>
      <c r="E26" s="294"/>
      <c r="F26" s="294"/>
      <c r="G26" s="291"/>
      <c r="H26" s="165">
        <f>ProjectDef!I18</f>
        <v>0</v>
      </c>
      <c r="I26" s="88"/>
      <c r="J26" s="125"/>
      <c r="K26" s="125"/>
      <c r="L26" s="125"/>
      <c r="M26" s="203"/>
      <c r="N26" s="203"/>
      <c r="O26" s="203"/>
      <c r="P26" s="88"/>
      <c r="Q26" s="87"/>
    </row>
    <row r="27" spans="1:17" ht="21" customHeight="1" x14ac:dyDescent="0.45">
      <c r="A27" s="88"/>
      <c r="B27" s="347"/>
      <c r="C27" s="174">
        <v>9</v>
      </c>
      <c r="D27" s="401" t="str">
        <f>Shifter!C11</f>
        <v>حضور عوامل بیرونی</v>
      </c>
      <c r="E27" s="294"/>
      <c r="F27" s="294"/>
      <c r="G27" s="291"/>
      <c r="H27" s="165">
        <f>ProjectDef!I19</f>
        <v>0</v>
      </c>
      <c r="I27" s="88"/>
      <c r="J27" s="405" t="s">
        <v>171</v>
      </c>
      <c r="K27" s="294"/>
      <c r="L27" s="294"/>
      <c r="M27" s="294"/>
      <c r="N27" s="294"/>
      <c r="O27" s="291"/>
      <c r="P27" s="88"/>
      <c r="Q27" s="87"/>
    </row>
    <row r="28" spans="1:17" ht="21" customHeight="1" x14ac:dyDescent="0.45">
      <c r="A28" s="88"/>
      <c r="B28" s="348"/>
      <c r="C28" s="174">
        <v>10</v>
      </c>
      <c r="D28" s="401" t="str">
        <f>Shifter!C12</f>
        <v>پیچیدگی محصول</v>
      </c>
      <c r="E28" s="294"/>
      <c r="F28" s="294"/>
      <c r="G28" s="291"/>
      <c r="H28" s="165">
        <f>ProjectDef!I20</f>
        <v>0</v>
      </c>
      <c r="I28" s="88"/>
      <c r="J28" s="402" t="s">
        <v>172</v>
      </c>
      <c r="K28" s="304"/>
      <c r="L28" s="325"/>
      <c r="M28" s="406">
        <f>ProjectDef!L24</f>
        <v>0</v>
      </c>
      <c r="N28" s="294"/>
      <c r="O28" s="291"/>
      <c r="P28" s="88"/>
      <c r="Q28" s="87"/>
    </row>
    <row r="29" spans="1:17" ht="19.5" customHeight="1" x14ac:dyDescent="0.45">
      <c r="A29" s="88"/>
      <c r="B29" s="88"/>
      <c r="C29" s="88"/>
      <c r="D29" s="88"/>
      <c r="E29" s="88"/>
      <c r="F29" s="88"/>
      <c r="G29" s="88"/>
      <c r="H29" s="88"/>
      <c r="I29" s="88"/>
      <c r="J29" s="125"/>
      <c r="K29" s="125"/>
      <c r="L29" s="125"/>
      <c r="M29" s="203"/>
      <c r="N29" s="203"/>
      <c r="O29" s="203"/>
      <c r="P29" s="88"/>
      <c r="Q29" s="87"/>
    </row>
    <row r="30" spans="1:17" ht="17.25" customHeight="1" x14ac:dyDescent="0.45">
      <c r="A30" s="88"/>
      <c r="B30" s="88"/>
      <c r="C30" s="88"/>
      <c r="D30" s="88"/>
      <c r="E30" s="88"/>
      <c r="F30" s="88"/>
      <c r="G30" s="88"/>
      <c r="H30" s="88"/>
      <c r="I30" s="88"/>
      <c r="J30" s="88"/>
      <c r="P30" s="88"/>
      <c r="Q30" s="87"/>
    </row>
    <row r="31" spans="1:17" s="87" customFormat="1" hidden="1" x14ac:dyDescent="0.4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</row>
    <row r="32" spans="1:17" hidden="1" x14ac:dyDescent="0.45">
      <c r="K32" s="20"/>
      <c r="L32" s="20"/>
      <c r="M32" s="20"/>
      <c r="N32" s="20"/>
      <c r="O32" s="20"/>
      <c r="P32" s="20"/>
    </row>
    <row r="33" spans="11:16" hidden="1" x14ac:dyDescent="0.45">
      <c r="K33" s="20"/>
      <c r="L33" s="20"/>
      <c r="M33" s="20"/>
      <c r="N33" s="20"/>
      <c r="O33" s="20"/>
      <c r="P33" s="20"/>
    </row>
    <row r="34" spans="11:16" hidden="1" x14ac:dyDescent="0.45">
      <c r="K34" s="20"/>
      <c r="L34" s="20"/>
      <c r="M34" s="20"/>
      <c r="N34" s="20"/>
      <c r="O34" s="20"/>
      <c r="P34" s="20"/>
    </row>
    <row r="35" spans="11:16" hidden="1" x14ac:dyDescent="0.45">
      <c r="K35" s="20"/>
      <c r="L35" s="20"/>
      <c r="M35" s="20"/>
      <c r="N35" s="20"/>
      <c r="O35" s="20"/>
      <c r="P35" s="20"/>
    </row>
    <row r="36" spans="11:16" hidden="1" x14ac:dyDescent="0.45">
      <c r="K36" s="20"/>
      <c r="L36" s="20"/>
      <c r="M36" s="20"/>
      <c r="N36" s="20"/>
      <c r="O36" s="20"/>
      <c r="P36" s="20"/>
    </row>
    <row r="37" spans="11:16" hidden="1" x14ac:dyDescent="0.45">
      <c r="K37" s="20"/>
      <c r="L37" s="20"/>
      <c r="M37" s="20"/>
      <c r="N37" s="20"/>
      <c r="O37" s="20"/>
      <c r="P37" s="20"/>
    </row>
    <row r="38" spans="11:16" hidden="1" x14ac:dyDescent="0.45">
      <c r="K38" s="20"/>
      <c r="L38" s="20"/>
      <c r="M38" s="20"/>
      <c r="N38" s="20"/>
      <c r="O38" s="20"/>
      <c r="P38" s="20"/>
    </row>
    <row r="39" spans="11:16" hidden="1" x14ac:dyDescent="0.45">
      <c r="K39" s="20"/>
      <c r="L39" s="20"/>
      <c r="M39" s="20"/>
      <c r="N39" s="20"/>
      <c r="O39" s="20"/>
      <c r="P39" s="20"/>
    </row>
    <row r="40" spans="11:16" hidden="1" x14ac:dyDescent="0.45">
      <c r="K40" s="20"/>
      <c r="L40" s="20"/>
      <c r="M40" s="20"/>
      <c r="N40" s="20"/>
      <c r="O40" s="20"/>
      <c r="P40" s="20"/>
    </row>
    <row r="41" spans="11:16" hidden="1" x14ac:dyDescent="0.45">
      <c r="K41" s="20"/>
      <c r="L41" s="20"/>
      <c r="M41" s="20"/>
      <c r="N41" s="20"/>
      <c r="O41" s="20"/>
      <c r="P41" s="20"/>
    </row>
    <row r="42" spans="11:16" hidden="1" x14ac:dyDescent="0.45">
      <c r="K42" s="20"/>
      <c r="L42" s="20"/>
      <c r="M42" s="20"/>
      <c r="N42" s="20"/>
      <c r="O42" s="20"/>
      <c r="P42" s="20"/>
    </row>
    <row r="43" spans="11:16" hidden="1" x14ac:dyDescent="0.45">
      <c r="K43" s="20"/>
      <c r="L43" s="20"/>
      <c r="M43" s="20"/>
      <c r="N43" s="20"/>
      <c r="O43" s="20"/>
      <c r="P43" s="20"/>
    </row>
    <row r="44" spans="11:16" hidden="1" x14ac:dyDescent="0.45">
      <c r="K44" s="20"/>
      <c r="L44" s="20"/>
      <c r="M44" s="20"/>
      <c r="N44" s="20"/>
      <c r="O44" s="20"/>
      <c r="P44" s="20"/>
    </row>
    <row r="45" spans="11:16" hidden="1" x14ac:dyDescent="0.45">
      <c r="K45" s="20"/>
      <c r="L45" s="20"/>
      <c r="M45" s="20"/>
      <c r="N45" s="20"/>
      <c r="O45" s="20"/>
      <c r="P45" s="20"/>
    </row>
    <row r="46" spans="11:16" hidden="1" x14ac:dyDescent="0.45">
      <c r="K46" s="20"/>
      <c r="L46" s="20"/>
      <c r="M46" s="20"/>
      <c r="N46" s="20"/>
      <c r="O46" s="20"/>
      <c r="P46" s="20"/>
    </row>
    <row r="47" spans="11:16" hidden="1" x14ac:dyDescent="0.45">
      <c r="K47" s="20"/>
      <c r="L47" s="20"/>
      <c r="M47" s="20"/>
      <c r="N47" s="20"/>
      <c r="O47" s="20"/>
      <c r="P47" s="20"/>
    </row>
    <row r="48" spans="11:16" hidden="1" x14ac:dyDescent="0.45">
      <c r="K48" s="20"/>
      <c r="L48" s="20"/>
      <c r="M48" s="20"/>
      <c r="N48" s="20"/>
      <c r="O48" s="20"/>
      <c r="P48" s="20"/>
    </row>
    <row r="49" spans="11:16" hidden="1" x14ac:dyDescent="0.45">
      <c r="K49" s="20"/>
      <c r="L49" s="20"/>
      <c r="M49" s="20"/>
      <c r="N49" s="20"/>
      <c r="O49" s="20"/>
      <c r="P49" s="20"/>
    </row>
    <row r="50" spans="11:16" hidden="1" x14ac:dyDescent="0.45">
      <c r="K50" s="20"/>
      <c r="L50" s="20"/>
      <c r="M50" s="20"/>
      <c r="N50" s="20"/>
      <c r="O50" s="20"/>
      <c r="P50" s="20"/>
    </row>
    <row r="51" spans="11:16" hidden="1" x14ac:dyDescent="0.45">
      <c r="K51" s="20"/>
      <c r="L51" s="20"/>
      <c r="M51" s="20"/>
      <c r="N51" s="20"/>
      <c r="O51" s="20"/>
      <c r="P51" s="20"/>
    </row>
    <row r="52" spans="11:16" hidden="1" x14ac:dyDescent="0.45">
      <c r="K52" s="20"/>
      <c r="L52" s="20"/>
      <c r="M52" s="20"/>
      <c r="N52" s="20"/>
      <c r="O52" s="20"/>
      <c r="P52" s="20"/>
    </row>
    <row r="53" spans="11:16" hidden="1" x14ac:dyDescent="0.45">
      <c r="K53" s="20"/>
      <c r="L53" s="20"/>
      <c r="M53" s="20"/>
      <c r="N53" s="20"/>
      <c r="O53" s="20"/>
      <c r="P53" s="20"/>
    </row>
    <row r="54" spans="11:16" hidden="1" x14ac:dyDescent="0.45">
      <c r="K54" s="20"/>
      <c r="L54" s="20"/>
      <c r="M54" s="20"/>
      <c r="N54" s="20"/>
      <c r="O54" s="20"/>
      <c r="P54" s="20"/>
    </row>
    <row r="55" spans="11:16" hidden="1" x14ac:dyDescent="0.45">
      <c r="K55" s="20"/>
      <c r="L55" s="20"/>
      <c r="M55" s="20"/>
      <c r="N55" s="20"/>
      <c r="O55" s="20"/>
      <c r="P55" s="20"/>
    </row>
    <row r="56" spans="11:16" hidden="1" x14ac:dyDescent="0.45">
      <c r="K56" s="20"/>
      <c r="L56" s="20"/>
      <c r="M56" s="20"/>
      <c r="N56" s="20"/>
      <c r="O56" s="20"/>
      <c r="P56" s="20"/>
    </row>
    <row r="57" spans="11:16" hidden="1" x14ac:dyDescent="0.45">
      <c r="K57" s="20"/>
      <c r="L57" s="20"/>
      <c r="M57" s="20"/>
      <c r="N57" s="20"/>
      <c r="O57" s="20"/>
      <c r="P57" s="20"/>
    </row>
    <row r="58" spans="11:16" hidden="1" x14ac:dyDescent="0.45">
      <c r="K58" s="20"/>
      <c r="L58" s="20"/>
      <c r="M58" s="20"/>
      <c r="N58" s="20"/>
      <c r="O58" s="20"/>
      <c r="P58" s="20"/>
    </row>
    <row r="59" spans="11:16" hidden="1" x14ac:dyDescent="0.45">
      <c r="K59" s="20"/>
      <c r="L59" s="20"/>
      <c r="M59" s="20"/>
      <c r="N59" s="20"/>
      <c r="O59" s="20"/>
      <c r="P59" s="20"/>
    </row>
    <row r="60" spans="11:16" hidden="1" x14ac:dyDescent="0.45">
      <c r="K60" s="20"/>
      <c r="L60" s="20"/>
      <c r="M60" s="20"/>
      <c r="N60" s="20"/>
      <c r="O60" s="20"/>
      <c r="P60" s="20"/>
    </row>
    <row r="61" spans="11:16" hidden="1" x14ac:dyDescent="0.45">
      <c r="K61" s="20"/>
      <c r="L61" s="20"/>
      <c r="M61" s="20"/>
      <c r="N61" s="20"/>
      <c r="O61" s="20"/>
      <c r="P61" s="20"/>
    </row>
    <row r="62" spans="11:16" hidden="1" x14ac:dyDescent="0.45">
      <c r="K62" s="20"/>
      <c r="L62" s="20"/>
      <c r="M62" s="20"/>
      <c r="N62" s="20"/>
      <c r="O62" s="20"/>
      <c r="P62" s="20"/>
    </row>
    <row r="63" spans="11:16" hidden="1" x14ac:dyDescent="0.45">
      <c r="K63" s="20"/>
      <c r="L63" s="20"/>
      <c r="M63" s="20"/>
      <c r="N63" s="20"/>
      <c r="O63" s="20"/>
      <c r="P63" s="20"/>
    </row>
    <row r="64" spans="11:16" hidden="1" x14ac:dyDescent="0.45">
      <c r="K64" s="20"/>
      <c r="L64" s="20"/>
      <c r="M64" s="20"/>
      <c r="N64" s="20"/>
      <c r="O64" s="20"/>
      <c r="P64" s="20"/>
    </row>
    <row r="65" spans="11:16" hidden="1" x14ac:dyDescent="0.45">
      <c r="K65" s="20"/>
      <c r="L65" s="20"/>
      <c r="M65" s="20"/>
      <c r="N65" s="20"/>
      <c r="O65" s="20"/>
      <c r="P65" s="20"/>
    </row>
    <row r="66" spans="11:16" hidden="1" x14ac:dyDescent="0.45">
      <c r="K66" s="20"/>
      <c r="L66" s="20"/>
      <c r="M66" s="20"/>
      <c r="N66" s="20"/>
      <c r="O66" s="20"/>
      <c r="P66" s="20"/>
    </row>
    <row r="67" spans="11:16" hidden="1" x14ac:dyDescent="0.45">
      <c r="K67" s="20"/>
      <c r="L67" s="20"/>
      <c r="M67" s="20"/>
      <c r="N67" s="20"/>
      <c r="O67" s="20"/>
      <c r="P67" s="20"/>
    </row>
    <row r="68" spans="11:16" hidden="1" x14ac:dyDescent="0.45">
      <c r="K68" s="20"/>
      <c r="L68" s="20"/>
      <c r="M68" s="20"/>
      <c r="N68" s="20"/>
      <c r="O68" s="20"/>
      <c r="P68" s="20"/>
    </row>
    <row r="69" spans="11:16" hidden="1" x14ac:dyDescent="0.45">
      <c r="K69" s="20"/>
      <c r="L69" s="20"/>
      <c r="M69" s="20"/>
      <c r="N69" s="20"/>
      <c r="O69" s="20"/>
      <c r="P69" s="20"/>
    </row>
    <row r="70" spans="11:16" hidden="1" x14ac:dyDescent="0.45">
      <c r="K70" s="20"/>
      <c r="L70" s="20"/>
      <c r="M70" s="20"/>
      <c r="N70" s="20"/>
      <c r="O70" s="20"/>
      <c r="P70" s="20"/>
    </row>
    <row r="71" spans="11:16" hidden="1" x14ac:dyDescent="0.45">
      <c r="K71" s="20"/>
      <c r="L71" s="20"/>
      <c r="M71" s="20"/>
      <c r="N71" s="20"/>
      <c r="O71" s="20"/>
      <c r="P71" s="20"/>
    </row>
    <row r="72" spans="11:16" hidden="1" x14ac:dyDescent="0.45">
      <c r="K72" s="20"/>
      <c r="L72" s="20"/>
      <c r="M72" s="20"/>
      <c r="N72" s="20"/>
      <c r="O72" s="20"/>
      <c r="P72" s="20"/>
    </row>
    <row r="73" spans="11:16" hidden="1" x14ac:dyDescent="0.45">
      <c r="K73" s="20"/>
      <c r="L73" s="20"/>
      <c r="M73" s="20"/>
      <c r="N73" s="20"/>
      <c r="O73" s="20"/>
      <c r="P73" s="20"/>
    </row>
    <row r="74" spans="11:16" hidden="1" x14ac:dyDescent="0.45">
      <c r="K74" s="20"/>
      <c r="L74" s="20"/>
      <c r="M74" s="20"/>
      <c r="N74" s="20"/>
      <c r="O74" s="20"/>
      <c r="P74" s="20"/>
    </row>
    <row r="75" spans="11:16" hidden="1" x14ac:dyDescent="0.45">
      <c r="K75" s="20"/>
      <c r="L75" s="20"/>
      <c r="M75" s="20"/>
      <c r="N75" s="20"/>
      <c r="O75" s="20"/>
      <c r="P75" s="20"/>
    </row>
    <row r="76" spans="11:16" hidden="1" x14ac:dyDescent="0.45">
      <c r="K76" s="20"/>
      <c r="L76" s="20"/>
      <c r="M76" s="20"/>
      <c r="N76" s="20"/>
      <c r="O76" s="20"/>
      <c r="P76" s="20"/>
    </row>
    <row r="77" spans="11:16" hidden="1" x14ac:dyDescent="0.45">
      <c r="K77" s="20"/>
      <c r="L77" s="20"/>
      <c r="M77" s="20"/>
      <c r="N77" s="20"/>
      <c r="O77" s="20"/>
      <c r="P77" s="20"/>
    </row>
    <row r="78" spans="11:16" hidden="1" x14ac:dyDescent="0.45">
      <c r="K78" s="20"/>
      <c r="L78" s="20"/>
      <c r="M78" s="20"/>
      <c r="N78" s="20"/>
      <c r="O78" s="20"/>
      <c r="P78" s="20"/>
    </row>
    <row r="79" spans="11:16" hidden="1" x14ac:dyDescent="0.45">
      <c r="K79" s="20"/>
      <c r="L79" s="20"/>
      <c r="M79" s="20"/>
      <c r="N79" s="20"/>
      <c r="O79" s="20"/>
      <c r="P79" s="20"/>
    </row>
    <row r="80" spans="11:16" hidden="1" x14ac:dyDescent="0.45">
      <c r="K80" s="20"/>
      <c r="L80" s="20"/>
      <c r="M80" s="20"/>
      <c r="N80" s="20"/>
      <c r="O80" s="20"/>
      <c r="P80" s="20"/>
    </row>
    <row r="81" spans="11:16" hidden="1" x14ac:dyDescent="0.45">
      <c r="K81" s="20"/>
      <c r="L81" s="20"/>
      <c r="M81" s="20"/>
      <c r="N81" s="20"/>
      <c r="O81" s="20"/>
      <c r="P81" s="20"/>
    </row>
    <row r="82" spans="11:16" hidden="1" x14ac:dyDescent="0.45">
      <c r="K82" s="20"/>
      <c r="L82" s="20"/>
      <c r="M82" s="20"/>
      <c r="N82" s="20"/>
      <c r="O82" s="20"/>
      <c r="P82" s="20"/>
    </row>
    <row r="83" spans="11:16" hidden="1" x14ac:dyDescent="0.45">
      <c r="K83" s="20"/>
      <c r="L83" s="20"/>
      <c r="M83" s="20"/>
      <c r="N83" s="20"/>
      <c r="O83" s="20"/>
      <c r="P83" s="20"/>
    </row>
    <row r="84" spans="11:16" hidden="1" x14ac:dyDescent="0.45">
      <c r="K84" s="20"/>
      <c r="L84" s="20"/>
      <c r="M84" s="20"/>
      <c r="N84" s="20"/>
      <c r="O84" s="20"/>
      <c r="P84" s="20"/>
    </row>
    <row r="85" spans="11:16" hidden="1" x14ac:dyDescent="0.45">
      <c r="K85" s="20"/>
      <c r="L85" s="20"/>
      <c r="M85" s="20"/>
      <c r="N85" s="20"/>
      <c r="O85" s="20"/>
      <c r="P85" s="20"/>
    </row>
    <row r="86" spans="11:16" hidden="1" x14ac:dyDescent="0.45">
      <c r="K86" s="20"/>
      <c r="L86" s="20"/>
      <c r="M86" s="20"/>
      <c r="N86" s="20"/>
      <c r="O86" s="20"/>
      <c r="P86" s="20"/>
    </row>
    <row r="87" spans="11:16" hidden="1" x14ac:dyDescent="0.45">
      <c r="K87" s="20"/>
      <c r="L87" s="20"/>
      <c r="M87" s="20"/>
      <c r="N87" s="20"/>
      <c r="O87" s="20"/>
      <c r="P87" s="20"/>
    </row>
    <row r="88" spans="11:16" hidden="1" x14ac:dyDescent="0.45">
      <c r="K88" s="20"/>
      <c r="L88" s="20"/>
      <c r="M88" s="20"/>
      <c r="N88" s="20"/>
      <c r="O88" s="20"/>
      <c r="P88" s="20"/>
    </row>
    <row r="89" spans="11:16" hidden="1" x14ac:dyDescent="0.45">
      <c r="K89" s="20"/>
      <c r="L89" s="20"/>
      <c r="M89" s="20"/>
      <c r="N89" s="20"/>
      <c r="O89" s="20"/>
      <c r="P89" s="20"/>
    </row>
    <row r="90" spans="11:16" hidden="1" x14ac:dyDescent="0.45">
      <c r="K90" s="20"/>
      <c r="L90" s="20"/>
      <c r="M90" s="20"/>
      <c r="N90" s="20"/>
      <c r="O90" s="20"/>
      <c r="P90" s="20"/>
    </row>
    <row r="91" spans="11:16" hidden="1" x14ac:dyDescent="0.45">
      <c r="K91" s="20"/>
      <c r="L91" s="20"/>
      <c r="M91" s="20"/>
      <c r="N91" s="20"/>
      <c r="O91" s="20"/>
      <c r="P91" s="20"/>
    </row>
    <row r="92" spans="11:16" hidden="1" x14ac:dyDescent="0.45">
      <c r="K92" s="20"/>
      <c r="L92" s="20"/>
      <c r="M92" s="20"/>
      <c r="N92" s="20"/>
      <c r="O92" s="20"/>
      <c r="P92" s="20"/>
    </row>
    <row r="93" spans="11:16" hidden="1" x14ac:dyDescent="0.45">
      <c r="K93" s="20"/>
      <c r="L93" s="20"/>
      <c r="M93" s="20"/>
      <c r="N93" s="20"/>
      <c r="O93" s="20"/>
      <c r="P93" s="20"/>
    </row>
    <row r="94" spans="11:16" hidden="1" x14ac:dyDescent="0.45">
      <c r="K94" s="20"/>
      <c r="L94" s="20"/>
      <c r="M94" s="20"/>
      <c r="N94" s="20"/>
      <c r="O94" s="20"/>
      <c r="P94" s="20"/>
    </row>
    <row r="95" spans="11:16" hidden="1" x14ac:dyDescent="0.45">
      <c r="K95" s="20"/>
      <c r="L95" s="20"/>
      <c r="M95" s="20"/>
      <c r="N95" s="20"/>
      <c r="O95" s="20"/>
      <c r="P95" s="20"/>
    </row>
    <row r="96" spans="11:16" hidden="1" x14ac:dyDescent="0.45">
      <c r="K96" s="20"/>
      <c r="L96" s="20"/>
      <c r="M96" s="20"/>
      <c r="N96" s="20"/>
      <c r="O96" s="20"/>
      <c r="P96" s="20"/>
    </row>
    <row r="97" spans="11:16" hidden="1" x14ac:dyDescent="0.45">
      <c r="K97" s="20"/>
      <c r="L97" s="20"/>
      <c r="M97" s="20"/>
      <c r="N97" s="20"/>
      <c r="O97" s="20"/>
      <c r="P97" s="20"/>
    </row>
    <row r="98" spans="11:16" hidden="1" x14ac:dyDescent="0.45">
      <c r="K98" s="20"/>
      <c r="L98" s="20"/>
      <c r="M98" s="20"/>
      <c r="N98" s="20"/>
      <c r="O98" s="20"/>
      <c r="P98" s="20"/>
    </row>
    <row r="99" spans="11:16" hidden="1" x14ac:dyDescent="0.45">
      <c r="K99" s="20"/>
      <c r="L99" s="20"/>
      <c r="M99" s="20"/>
      <c r="N99" s="20"/>
      <c r="O99" s="20"/>
      <c r="P99" s="20"/>
    </row>
    <row r="100" spans="11:16" hidden="1" x14ac:dyDescent="0.45">
      <c r="K100" s="20"/>
      <c r="L100" s="20"/>
      <c r="M100" s="20"/>
      <c r="N100" s="20"/>
      <c r="O100" s="20"/>
      <c r="P100" s="20"/>
    </row>
    <row r="101" spans="11:16" hidden="1" x14ac:dyDescent="0.45">
      <c r="K101" s="20"/>
      <c r="L101" s="20"/>
      <c r="M101" s="20"/>
      <c r="N101" s="20"/>
      <c r="O101" s="20"/>
      <c r="P101" s="20"/>
    </row>
    <row r="102" spans="11:16" hidden="1" x14ac:dyDescent="0.45">
      <c r="K102" s="20"/>
      <c r="L102" s="20"/>
      <c r="M102" s="20"/>
      <c r="N102" s="20"/>
      <c r="O102" s="20"/>
      <c r="P102" s="20"/>
    </row>
    <row r="103" spans="11:16" hidden="1" x14ac:dyDescent="0.45">
      <c r="K103" s="20"/>
      <c r="L103" s="20"/>
      <c r="M103" s="20"/>
      <c r="N103" s="20"/>
      <c r="O103" s="20"/>
      <c r="P103" s="20"/>
    </row>
    <row r="104" spans="11:16" hidden="1" x14ac:dyDescent="0.45">
      <c r="K104" s="20"/>
      <c r="L104" s="20"/>
      <c r="M104" s="20"/>
      <c r="N104" s="20"/>
      <c r="O104" s="20"/>
      <c r="P104" s="20"/>
    </row>
    <row r="105" spans="11:16" hidden="1" x14ac:dyDescent="0.45">
      <c r="K105" s="20"/>
      <c r="L105" s="20"/>
      <c r="M105" s="20"/>
      <c r="N105" s="20"/>
      <c r="O105" s="20"/>
      <c r="P105" s="20"/>
    </row>
    <row r="106" spans="11:16" hidden="1" x14ac:dyDescent="0.45">
      <c r="K106" s="20"/>
      <c r="L106" s="20"/>
      <c r="M106" s="20"/>
      <c r="N106" s="20"/>
      <c r="O106" s="20"/>
      <c r="P106" s="20"/>
    </row>
    <row r="107" spans="11:16" hidden="1" x14ac:dyDescent="0.45">
      <c r="K107" s="20"/>
      <c r="L107" s="20"/>
      <c r="M107" s="20"/>
      <c r="N107" s="20"/>
      <c r="O107" s="20"/>
      <c r="P107" s="20"/>
    </row>
    <row r="108" spans="11:16" hidden="1" x14ac:dyDescent="0.45">
      <c r="K108" s="20"/>
      <c r="L108" s="20"/>
      <c r="M108" s="20"/>
      <c r="N108" s="20"/>
      <c r="O108" s="20"/>
      <c r="P108" s="20"/>
    </row>
    <row r="109" spans="11:16" hidden="1" x14ac:dyDescent="0.45">
      <c r="K109" s="20"/>
      <c r="L109" s="20"/>
      <c r="M109" s="20"/>
      <c r="N109" s="20"/>
      <c r="O109" s="20"/>
      <c r="P109" s="20"/>
    </row>
    <row r="110" spans="11:16" hidden="1" x14ac:dyDescent="0.45">
      <c r="K110" s="20"/>
      <c r="L110" s="20"/>
      <c r="M110" s="20"/>
      <c r="N110" s="20"/>
      <c r="O110" s="20"/>
      <c r="P110" s="20"/>
    </row>
    <row r="111" spans="11:16" hidden="1" x14ac:dyDescent="0.45">
      <c r="K111" s="20"/>
      <c r="L111" s="20"/>
      <c r="M111" s="20"/>
      <c r="N111" s="20"/>
      <c r="O111" s="20"/>
      <c r="P111" s="20"/>
    </row>
    <row r="112" spans="11:16" hidden="1" x14ac:dyDescent="0.45">
      <c r="K112" s="20"/>
      <c r="L112" s="20"/>
      <c r="M112" s="20"/>
      <c r="N112" s="20"/>
      <c r="O112" s="20"/>
      <c r="P112" s="20"/>
    </row>
    <row r="113" spans="11:16" hidden="1" x14ac:dyDescent="0.45">
      <c r="K113" s="20"/>
      <c r="L113" s="20"/>
      <c r="M113" s="20"/>
      <c r="N113" s="20"/>
      <c r="O113" s="20"/>
      <c r="P113" s="20"/>
    </row>
    <row r="114" spans="11:16" hidden="1" x14ac:dyDescent="0.45">
      <c r="K114" s="20"/>
      <c r="L114" s="20"/>
      <c r="M114" s="20"/>
      <c r="N114" s="20"/>
      <c r="O114" s="20"/>
      <c r="P114" s="20"/>
    </row>
    <row r="115" spans="11:16" hidden="1" x14ac:dyDescent="0.45">
      <c r="K115" s="20"/>
      <c r="L115" s="20"/>
      <c r="M115" s="20"/>
      <c r="N115" s="20"/>
      <c r="O115" s="20"/>
      <c r="P115" s="20"/>
    </row>
    <row r="116" spans="11:16" hidden="1" x14ac:dyDescent="0.45">
      <c r="K116" s="20"/>
      <c r="L116" s="20"/>
      <c r="M116" s="20"/>
      <c r="N116" s="20"/>
      <c r="O116" s="20"/>
      <c r="P116" s="20"/>
    </row>
    <row r="117" spans="11:16" hidden="1" x14ac:dyDescent="0.45">
      <c r="K117" s="20"/>
      <c r="L117" s="20"/>
      <c r="M117" s="20"/>
      <c r="N117" s="20"/>
      <c r="O117" s="20"/>
      <c r="P117" s="20"/>
    </row>
    <row r="118" spans="11:16" hidden="1" x14ac:dyDescent="0.45">
      <c r="K118" s="20"/>
      <c r="L118" s="20"/>
      <c r="M118" s="20"/>
      <c r="N118" s="20"/>
      <c r="O118" s="20"/>
      <c r="P118" s="20"/>
    </row>
    <row r="119" spans="11:16" hidden="1" x14ac:dyDescent="0.45">
      <c r="K119" s="20"/>
      <c r="L119" s="20"/>
      <c r="M119" s="20"/>
      <c r="N119" s="20"/>
      <c r="O119" s="20"/>
      <c r="P119" s="20"/>
    </row>
    <row r="120" spans="11:16" hidden="1" x14ac:dyDescent="0.45">
      <c r="K120" s="20"/>
      <c r="L120" s="20"/>
      <c r="M120" s="20"/>
      <c r="N120" s="20"/>
      <c r="O120" s="20"/>
      <c r="P120" s="20"/>
    </row>
    <row r="121" spans="11:16" hidden="1" x14ac:dyDescent="0.45">
      <c r="K121" s="20"/>
      <c r="L121" s="20"/>
      <c r="M121" s="20"/>
      <c r="N121" s="20"/>
      <c r="O121" s="20"/>
      <c r="P121" s="20"/>
    </row>
    <row r="122" spans="11:16" hidden="1" x14ac:dyDescent="0.45">
      <c r="K122" s="20"/>
      <c r="L122" s="20"/>
      <c r="M122" s="20"/>
      <c r="N122" s="20"/>
      <c r="O122" s="20"/>
      <c r="P122" s="20"/>
    </row>
    <row r="123" spans="11:16" hidden="1" x14ac:dyDescent="0.45">
      <c r="K123" s="20"/>
      <c r="L123" s="20"/>
      <c r="M123" s="20"/>
      <c r="N123" s="20"/>
      <c r="O123" s="20"/>
      <c r="P123" s="20"/>
    </row>
    <row r="124" spans="11:16" hidden="1" x14ac:dyDescent="0.45">
      <c r="K124" s="20"/>
      <c r="L124" s="20"/>
      <c r="M124" s="20"/>
      <c r="N124" s="20"/>
      <c r="O124" s="20"/>
      <c r="P124" s="20"/>
    </row>
    <row r="125" spans="11:16" hidden="1" x14ac:dyDescent="0.45">
      <c r="K125" s="20"/>
      <c r="L125" s="20"/>
      <c r="M125" s="20"/>
      <c r="N125" s="20"/>
      <c r="O125" s="20"/>
      <c r="P125" s="20"/>
    </row>
    <row r="126" spans="11:16" hidden="1" x14ac:dyDescent="0.45">
      <c r="K126" s="20"/>
      <c r="L126" s="20"/>
      <c r="M126" s="20"/>
      <c r="N126" s="20"/>
      <c r="O126" s="20"/>
      <c r="P126" s="20"/>
    </row>
    <row r="127" spans="11:16" hidden="1" x14ac:dyDescent="0.45">
      <c r="K127" s="20"/>
      <c r="L127" s="20"/>
      <c r="M127" s="20"/>
      <c r="N127" s="20"/>
      <c r="O127" s="20"/>
      <c r="P127" s="20"/>
    </row>
    <row r="128" spans="11:16" hidden="1" x14ac:dyDescent="0.45">
      <c r="K128" s="20"/>
      <c r="L128" s="20"/>
      <c r="M128" s="20"/>
      <c r="N128" s="20"/>
      <c r="O128" s="20"/>
      <c r="P128" s="20"/>
    </row>
    <row r="129" spans="11:16" hidden="1" x14ac:dyDescent="0.45">
      <c r="K129" s="20"/>
      <c r="L129" s="20"/>
      <c r="M129" s="20"/>
      <c r="N129" s="20"/>
      <c r="O129" s="20"/>
      <c r="P129" s="20"/>
    </row>
    <row r="130" spans="11:16" hidden="1" x14ac:dyDescent="0.45">
      <c r="K130" s="20"/>
      <c r="L130" s="20"/>
      <c r="M130" s="20"/>
      <c r="N130" s="20"/>
      <c r="O130" s="20"/>
      <c r="P130" s="20"/>
    </row>
    <row r="131" spans="11:16" hidden="1" x14ac:dyDescent="0.45">
      <c r="K131" s="20"/>
      <c r="L131" s="20"/>
      <c r="M131" s="20"/>
      <c r="N131" s="20"/>
      <c r="O131" s="20"/>
      <c r="P131" s="20"/>
    </row>
    <row r="132" spans="11:16" hidden="1" x14ac:dyDescent="0.45">
      <c r="K132" s="20"/>
      <c r="L132" s="20"/>
      <c r="M132" s="20"/>
      <c r="N132" s="20"/>
      <c r="O132" s="20"/>
      <c r="P132" s="20"/>
    </row>
    <row r="133" spans="11:16" hidden="1" x14ac:dyDescent="0.45">
      <c r="K133" s="20"/>
      <c r="L133" s="20"/>
      <c r="M133" s="20"/>
      <c r="N133" s="20"/>
      <c r="O133" s="20"/>
      <c r="P133" s="20"/>
    </row>
    <row r="134" spans="11:16" hidden="1" x14ac:dyDescent="0.45">
      <c r="K134" s="20"/>
      <c r="L134" s="20"/>
      <c r="M134" s="20"/>
      <c r="N134" s="20"/>
      <c r="O134" s="20"/>
      <c r="P134" s="20"/>
    </row>
    <row r="135" spans="11:16" hidden="1" x14ac:dyDescent="0.45">
      <c r="K135" s="20"/>
      <c r="L135" s="20"/>
      <c r="M135" s="20"/>
      <c r="N135" s="20"/>
      <c r="O135" s="20"/>
      <c r="P135" s="20"/>
    </row>
    <row r="136" spans="11:16" hidden="1" x14ac:dyDescent="0.45">
      <c r="K136" s="20"/>
      <c r="L136" s="20"/>
      <c r="M136" s="20"/>
      <c r="N136" s="20"/>
      <c r="O136" s="20"/>
      <c r="P136" s="20"/>
    </row>
    <row r="137" spans="11:16" hidden="1" x14ac:dyDescent="0.45">
      <c r="K137" s="20"/>
      <c r="L137" s="20"/>
      <c r="M137" s="20"/>
      <c r="N137" s="20"/>
      <c r="O137" s="20"/>
      <c r="P137" s="20"/>
    </row>
    <row r="138" spans="11:16" hidden="1" x14ac:dyDescent="0.45">
      <c r="K138" s="20"/>
      <c r="L138" s="20"/>
      <c r="M138" s="20"/>
      <c r="N138" s="20"/>
      <c r="O138" s="20"/>
      <c r="P138" s="20"/>
    </row>
    <row r="139" spans="11:16" hidden="1" x14ac:dyDescent="0.45">
      <c r="K139" s="20"/>
      <c r="L139" s="20"/>
      <c r="M139" s="20"/>
      <c r="N139" s="20"/>
      <c r="O139" s="20"/>
      <c r="P139" s="20"/>
    </row>
    <row r="140" spans="11:16" hidden="1" x14ac:dyDescent="0.45">
      <c r="K140" s="20"/>
      <c r="L140" s="20"/>
      <c r="M140" s="20"/>
      <c r="N140" s="20"/>
      <c r="O140" s="20"/>
      <c r="P140" s="20"/>
    </row>
    <row r="141" spans="11:16" hidden="1" x14ac:dyDescent="0.45">
      <c r="K141" s="20"/>
      <c r="L141" s="20"/>
      <c r="M141" s="20"/>
      <c r="N141" s="20"/>
      <c r="O141" s="20"/>
      <c r="P141" s="20"/>
    </row>
    <row r="142" spans="11:16" hidden="1" x14ac:dyDescent="0.45">
      <c r="K142" s="20"/>
      <c r="L142" s="20"/>
      <c r="M142" s="20"/>
      <c r="N142" s="20"/>
      <c r="O142" s="20"/>
      <c r="P142" s="20"/>
    </row>
    <row r="143" spans="11:16" hidden="1" x14ac:dyDescent="0.45">
      <c r="K143" s="20"/>
      <c r="L143" s="20"/>
      <c r="M143" s="20"/>
      <c r="N143" s="20"/>
      <c r="O143" s="20"/>
      <c r="P143" s="20"/>
    </row>
    <row r="144" spans="11:16" hidden="1" x14ac:dyDescent="0.45">
      <c r="K144" s="20"/>
      <c r="L144" s="20"/>
      <c r="M144" s="20"/>
      <c r="N144" s="20"/>
      <c r="O144" s="20"/>
      <c r="P144" s="20"/>
    </row>
    <row r="145" spans="11:16" hidden="1" x14ac:dyDescent="0.45">
      <c r="K145" s="20"/>
      <c r="L145" s="20"/>
      <c r="M145" s="20"/>
      <c r="N145" s="20"/>
      <c r="O145" s="20"/>
      <c r="P145" s="20"/>
    </row>
    <row r="146" spans="11:16" hidden="1" x14ac:dyDescent="0.45">
      <c r="K146" s="20"/>
      <c r="L146" s="20"/>
      <c r="M146" s="20"/>
      <c r="N146" s="20"/>
      <c r="O146" s="20"/>
      <c r="P146" s="20"/>
    </row>
    <row r="147" spans="11:16" hidden="1" x14ac:dyDescent="0.45">
      <c r="K147" s="20"/>
      <c r="L147" s="20"/>
      <c r="M147" s="20"/>
      <c r="N147" s="20"/>
      <c r="O147" s="20"/>
      <c r="P147" s="20"/>
    </row>
    <row r="148" spans="11:16" hidden="1" x14ac:dyDescent="0.45">
      <c r="K148" s="20"/>
      <c r="L148" s="20"/>
      <c r="M148" s="20"/>
      <c r="N148" s="20"/>
      <c r="O148" s="20"/>
      <c r="P148" s="20"/>
    </row>
    <row r="149" spans="11:16" hidden="1" x14ac:dyDescent="0.45">
      <c r="K149" s="20"/>
      <c r="L149" s="20"/>
      <c r="M149" s="20"/>
      <c r="N149" s="20"/>
      <c r="O149" s="20"/>
      <c r="P149" s="20"/>
    </row>
    <row r="150" spans="11:16" hidden="1" x14ac:dyDescent="0.45">
      <c r="K150" s="20"/>
      <c r="L150" s="20"/>
      <c r="M150" s="20"/>
      <c r="N150" s="20"/>
      <c r="O150" s="20"/>
      <c r="P150" s="20"/>
    </row>
    <row r="151" spans="11:16" hidden="1" x14ac:dyDescent="0.45">
      <c r="K151" s="20"/>
      <c r="L151" s="20"/>
      <c r="M151" s="20"/>
      <c r="N151" s="20"/>
      <c r="O151" s="20"/>
      <c r="P151" s="20"/>
    </row>
    <row r="152" spans="11:16" hidden="1" x14ac:dyDescent="0.45">
      <c r="K152" s="20"/>
      <c r="L152" s="20"/>
      <c r="M152" s="20"/>
      <c r="N152" s="20"/>
      <c r="O152" s="20"/>
      <c r="P152" s="20"/>
    </row>
    <row r="153" spans="11:16" hidden="1" x14ac:dyDescent="0.45">
      <c r="K153" s="20"/>
      <c r="L153" s="20"/>
      <c r="M153" s="20"/>
      <c r="N153" s="20"/>
      <c r="O153" s="20"/>
      <c r="P153" s="20"/>
    </row>
    <row r="154" spans="11:16" hidden="1" x14ac:dyDescent="0.45">
      <c r="K154" s="20"/>
      <c r="L154" s="20"/>
      <c r="M154" s="20"/>
      <c r="N154" s="20"/>
      <c r="O154" s="20"/>
      <c r="P154" s="20"/>
    </row>
    <row r="155" spans="11:16" hidden="1" x14ac:dyDescent="0.45">
      <c r="K155" s="20"/>
      <c r="L155" s="20"/>
      <c r="M155" s="20"/>
      <c r="N155" s="20"/>
      <c r="O155" s="20"/>
      <c r="P155" s="20"/>
    </row>
    <row r="156" spans="11:16" hidden="1" x14ac:dyDescent="0.45">
      <c r="K156" s="20"/>
      <c r="L156" s="20"/>
      <c r="M156" s="20"/>
      <c r="N156" s="20"/>
      <c r="O156" s="20"/>
      <c r="P156" s="20"/>
    </row>
    <row r="157" spans="11:16" hidden="1" x14ac:dyDescent="0.45">
      <c r="K157" s="20"/>
      <c r="L157" s="20"/>
      <c r="M157" s="20"/>
      <c r="N157" s="20"/>
      <c r="O157" s="20"/>
      <c r="P157" s="20"/>
    </row>
    <row r="158" spans="11:16" hidden="1" x14ac:dyDescent="0.45">
      <c r="K158" s="20"/>
      <c r="L158" s="20"/>
      <c r="M158" s="20"/>
      <c r="N158" s="20"/>
      <c r="O158" s="20"/>
      <c r="P158" s="20"/>
    </row>
    <row r="159" spans="11:16" hidden="1" x14ac:dyDescent="0.45">
      <c r="K159" s="20"/>
      <c r="L159" s="20"/>
      <c r="M159" s="20"/>
      <c r="N159" s="20"/>
      <c r="O159" s="20"/>
      <c r="P159" s="20"/>
    </row>
    <row r="160" spans="11:16" hidden="1" x14ac:dyDescent="0.45">
      <c r="K160" s="20"/>
      <c r="L160" s="20"/>
      <c r="M160" s="20"/>
      <c r="N160" s="20"/>
      <c r="O160" s="20"/>
      <c r="P160" s="20"/>
    </row>
    <row r="161" spans="11:16" hidden="1" x14ac:dyDescent="0.45">
      <c r="K161" s="20"/>
      <c r="L161" s="20"/>
      <c r="M161" s="20"/>
      <c r="N161" s="20"/>
      <c r="O161" s="20"/>
      <c r="P161" s="20"/>
    </row>
    <row r="162" spans="11:16" hidden="1" x14ac:dyDescent="0.45">
      <c r="K162" s="20"/>
      <c r="L162" s="20"/>
      <c r="M162" s="20"/>
      <c r="N162" s="20"/>
      <c r="O162" s="20"/>
      <c r="P162" s="20"/>
    </row>
    <row r="163" spans="11:16" hidden="1" x14ac:dyDescent="0.45">
      <c r="K163" s="20"/>
      <c r="L163" s="20"/>
      <c r="M163" s="20"/>
      <c r="N163" s="20"/>
      <c r="O163" s="20"/>
      <c r="P163" s="20"/>
    </row>
    <row r="164" spans="11:16" hidden="1" x14ac:dyDescent="0.45">
      <c r="K164" s="20"/>
      <c r="L164" s="20"/>
      <c r="M164" s="20"/>
      <c r="N164" s="20"/>
      <c r="O164" s="20"/>
      <c r="P164" s="20"/>
    </row>
    <row r="165" spans="11:16" hidden="1" x14ac:dyDescent="0.45">
      <c r="K165" s="20"/>
      <c r="L165" s="20"/>
      <c r="M165" s="20"/>
      <c r="N165" s="20"/>
      <c r="O165" s="20"/>
      <c r="P165" s="20"/>
    </row>
    <row r="166" spans="11:16" hidden="1" x14ac:dyDescent="0.45">
      <c r="K166" s="20"/>
      <c r="L166" s="20"/>
      <c r="M166" s="20"/>
      <c r="N166" s="20"/>
      <c r="O166" s="20"/>
      <c r="P166" s="20"/>
    </row>
    <row r="167" spans="11:16" hidden="1" x14ac:dyDescent="0.45">
      <c r="K167" s="20"/>
      <c r="L167" s="20"/>
      <c r="M167" s="20"/>
      <c r="N167" s="20"/>
      <c r="O167" s="20"/>
      <c r="P167" s="20"/>
    </row>
    <row r="168" spans="11:16" hidden="1" x14ac:dyDescent="0.45">
      <c r="K168" s="20"/>
      <c r="L168" s="20"/>
      <c r="M168" s="20"/>
      <c r="N168" s="20"/>
      <c r="O168" s="20"/>
      <c r="P168" s="20"/>
    </row>
    <row r="169" spans="11:16" hidden="1" x14ac:dyDescent="0.45">
      <c r="K169" s="20"/>
      <c r="L169" s="20"/>
      <c r="M169" s="20"/>
      <c r="N169" s="20"/>
      <c r="O169" s="20"/>
      <c r="P169" s="20"/>
    </row>
    <row r="170" spans="11:16" hidden="1" x14ac:dyDescent="0.45">
      <c r="K170" s="20"/>
      <c r="L170" s="20"/>
      <c r="M170" s="20"/>
      <c r="N170" s="20"/>
      <c r="O170" s="20"/>
      <c r="P170" s="20"/>
    </row>
    <row r="171" spans="11:16" hidden="1" x14ac:dyDescent="0.45">
      <c r="K171" s="20"/>
      <c r="L171" s="20"/>
      <c r="M171" s="20"/>
      <c r="N171" s="20"/>
      <c r="O171" s="20"/>
      <c r="P171" s="20"/>
    </row>
    <row r="172" spans="11:16" hidden="1" x14ac:dyDescent="0.45">
      <c r="K172" s="20"/>
      <c r="L172" s="20"/>
      <c r="M172" s="20"/>
      <c r="N172" s="20"/>
      <c r="O172" s="20"/>
      <c r="P172" s="20"/>
    </row>
    <row r="173" spans="11:16" hidden="1" x14ac:dyDescent="0.45">
      <c r="K173" s="20"/>
      <c r="L173" s="20"/>
      <c r="M173" s="20"/>
      <c r="N173" s="20"/>
      <c r="O173" s="20"/>
      <c r="P173" s="20"/>
    </row>
    <row r="174" spans="11:16" hidden="1" x14ac:dyDescent="0.45">
      <c r="K174" s="20"/>
      <c r="L174" s="20"/>
      <c r="M174" s="20"/>
      <c r="N174" s="20"/>
      <c r="O174" s="20"/>
      <c r="P174" s="20"/>
    </row>
    <row r="175" spans="11:16" hidden="1" x14ac:dyDescent="0.45">
      <c r="K175" s="20"/>
      <c r="L175" s="20"/>
      <c r="M175" s="20"/>
      <c r="N175" s="20"/>
      <c r="O175" s="20"/>
      <c r="P175" s="20"/>
    </row>
    <row r="176" spans="11:16" hidden="1" x14ac:dyDescent="0.45">
      <c r="K176" s="20"/>
      <c r="L176" s="20"/>
      <c r="M176" s="20"/>
      <c r="N176" s="20"/>
      <c r="O176" s="20"/>
      <c r="P176" s="20"/>
    </row>
    <row r="177" spans="11:16" hidden="1" x14ac:dyDescent="0.45">
      <c r="K177" s="20"/>
      <c r="L177" s="20"/>
      <c r="M177" s="20"/>
      <c r="N177" s="20"/>
      <c r="O177" s="20"/>
      <c r="P177" s="20"/>
    </row>
    <row r="178" spans="11:16" hidden="1" x14ac:dyDescent="0.45">
      <c r="K178" s="20"/>
      <c r="L178" s="20"/>
      <c r="M178" s="20"/>
      <c r="N178" s="20"/>
      <c r="O178" s="20"/>
      <c r="P178" s="20"/>
    </row>
    <row r="179" spans="11:16" hidden="1" x14ac:dyDescent="0.45">
      <c r="K179" s="20"/>
      <c r="L179" s="20"/>
      <c r="M179" s="20"/>
      <c r="N179" s="20"/>
      <c r="O179" s="20"/>
      <c r="P179" s="20"/>
    </row>
    <row r="180" spans="11:16" hidden="1" x14ac:dyDescent="0.45">
      <c r="K180" s="20"/>
      <c r="L180" s="20"/>
      <c r="M180" s="20"/>
      <c r="N180" s="20"/>
      <c r="O180" s="20"/>
      <c r="P180" s="20"/>
    </row>
    <row r="181" spans="11:16" hidden="1" x14ac:dyDescent="0.45">
      <c r="K181" s="20"/>
      <c r="L181" s="20"/>
      <c r="M181" s="20"/>
      <c r="N181" s="20"/>
      <c r="O181" s="20"/>
      <c r="P181" s="20"/>
    </row>
    <row r="182" spans="11:16" hidden="1" x14ac:dyDescent="0.45">
      <c r="K182" s="20"/>
      <c r="L182" s="20"/>
      <c r="M182" s="20"/>
      <c r="N182" s="20"/>
      <c r="O182" s="20"/>
      <c r="P182" s="20"/>
    </row>
    <row r="183" spans="11:16" hidden="1" x14ac:dyDescent="0.45">
      <c r="K183" s="20"/>
      <c r="L183" s="20"/>
      <c r="M183" s="20"/>
      <c r="N183" s="20"/>
      <c r="O183" s="20"/>
      <c r="P183" s="20"/>
    </row>
    <row r="184" spans="11:16" hidden="1" x14ac:dyDescent="0.45">
      <c r="K184" s="20"/>
      <c r="L184" s="20"/>
      <c r="M184" s="20"/>
      <c r="N184" s="20"/>
      <c r="O184" s="20"/>
      <c r="P184" s="20"/>
    </row>
    <row r="185" spans="11:16" hidden="1" x14ac:dyDescent="0.45">
      <c r="K185" s="20"/>
      <c r="L185" s="20"/>
      <c r="M185" s="20"/>
      <c r="N185" s="20"/>
      <c r="O185" s="20"/>
      <c r="P185" s="20"/>
    </row>
    <row r="186" spans="11:16" hidden="1" x14ac:dyDescent="0.45">
      <c r="K186" s="20"/>
      <c r="L186" s="20"/>
      <c r="M186" s="20"/>
      <c r="N186" s="20"/>
      <c r="O186" s="20"/>
      <c r="P186" s="20"/>
    </row>
    <row r="187" spans="11:16" hidden="1" x14ac:dyDescent="0.45">
      <c r="K187" s="20"/>
      <c r="L187" s="20"/>
      <c r="M187" s="20"/>
      <c r="N187" s="20"/>
      <c r="O187" s="20"/>
      <c r="P187" s="20"/>
    </row>
    <row r="188" spans="11:16" hidden="1" x14ac:dyDescent="0.45">
      <c r="K188" s="20"/>
      <c r="L188" s="20"/>
      <c r="M188" s="20"/>
      <c r="N188" s="20"/>
      <c r="O188" s="20"/>
      <c r="P188" s="20"/>
    </row>
    <row r="189" spans="11:16" hidden="1" x14ac:dyDescent="0.45">
      <c r="K189" s="20"/>
      <c r="L189" s="20"/>
      <c r="M189" s="20"/>
      <c r="N189" s="20"/>
      <c r="O189" s="20"/>
      <c r="P189" s="20"/>
    </row>
    <row r="190" spans="11:16" hidden="1" x14ac:dyDescent="0.45">
      <c r="K190" s="20"/>
      <c r="L190" s="20"/>
      <c r="M190" s="20"/>
      <c r="N190" s="20"/>
      <c r="O190" s="20"/>
      <c r="P190" s="20"/>
    </row>
    <row r="191" spans="11:16" hidden="1" x14ac:dyDescent="0.45">
      <c r="K191" s="20"/>
      <c r="L191" s="20"/>
      <c r="M191" s="20"/>
      <c r="N191" s="20"/>
      <c r="O191" s="20"/>
      <c r="P191" s="20"/>
    </row>
    <row r="192" spans="11:16" hidden="1" x14ac:dyDescent="0.45">
      <c r="K192" s="20"/>
      <c r="L192" s="20"/>
      <c r="M192" s="20"/>
      <c r="N192" s="20"/>
      <c r="O192" s="20"/>
      <c r="P192" s="20"/>
    </row>
    <row r="193" spans="11:16" hidden="1" x14ac:dyDescent="0.45">
      <c r="K193" s="20"/>
      <c r="L193" s="20"/>
      <c r="M193" s="20"/>
      <c r="N193" s="20"/>
      <c r="O193" s="20"/>
      <c r="P193" s="20"/>
    </row>
    <row r="194" spans="11:16" hidden="1" x14ac:dyDescent="0.45">
      <c r="K194" s="20"/>
      <c r="L194" s="20"/>
      <c r="M194" s="20"/>
      <c r="N194" s="20"/>
      <c r="O194" s="20"/>
      <c r="P194" s="20"/>
    </row>
    <row r="195" spans="11:16" hidden="1" x14ac:dyDescent="0.45">
      <c r="K195" s="20"/>
      <c r="L195" s="20"/>
      <c r="M195" s="20"/>
      <c r="N195" s="20"/>
      <c r="O195" s="20"/>
      <c r="P195" s="20"/>
    </row>
    <row r="196" spans="11:16" hidden="1" x14ac:dyDescent="0.45">
      <c r="K196" s="20"/>
      <c r="L196" s="20"/>
      <c r="M196" s="20"/>
      <c r="N196" s="20"/>
      <c r="O196" s="20"/>
      <c r="P196" s="20"/>
    </row>
    <row r="197" spans="11:16" hidden="1" x14ac:dyDescent="0.45">
      <c r="K197" s="20"/>
      <c r="L197" s="20"/>
      <c r="M197" s="20"/>
      <c r="N197" s="20"/>
      <c r="O197" s="20"/>
      <c r="P197" s="20"/>
    </row>
    <row r="198" spans="11:16" hidden="1" x14ac:dyDescent="0.45">
      <c r="K198" s="20"/>
      <c r="L198" s="20"/>
      <c r="M198" s="20"/>
      <c r="N198" s="20"/>
      <c r="O198" s="20"/>
      <c r="P198" s="20"/>
    </row>
    <row r="199" spans="11:16" hidden="1" x14ac:dyDescent="0.45">
      <c r="K199" s="20"/>
      <c r="L199" s="20"/>
      <c r="M199" s="20"/>
      <c r="N199" s="20"/>
      <c r="O199" s="20"/>
      <c r="P199" s="20"/>
    </row>
    <row r="200" spans="11:16" hidden="1" x14ac:dyDescent="0.45">
      <c r="K200" s="20"/>
      <c r="L200" s="20"/>
      <c r="M200" s="20"/>
      <c r="N200" s="20"/>
      <c r="O200" s="20"/>
      <c r="P200" s="20"/>
    </row>
    <row r="201" spans="11:16" hidden="1" x14ac:dyDescent="0.45">
      <c r="K201" s="20"/>
      <c r="L201" s="20"/>
      <c r="M201" s="20"/>
      <c r="N201" s="20"/>
      <c r="O201" s="20"/>
      <c r="P201" s="20"/>
    </row>
    <row r="202" spans="11:16" hidden="1" x14ac:dyDescent="0.45">
      <c r="K202" s="20"/>
      <c r="L202" s="20"/>
      <c r="M202" s="20"/>
      <c r="N202" s="20"/>
      <c r="O202" s="20"/>
      <c r="P202" s="20"/>
    </row>
    <row r="203" spans="11:16" hidden="1" x14ac:dyDescent="0.45">
      <c r="K203" s="20"/>
      <c r="L203" s="20"/>
      <c r="M203" s="20"/>
      <c r="N203" s="20"/>
      <c r="O203" s="20"/>
      <c r="P203" s="20"/>
    </row>
    <row r="204" spans="11:16" hidden="1" x14ac:dyDescent="0.45">
      <c r="K204" s="20"/>
      <c r="L204" s="20"/>
      <c r="M204" s="20"/>
      <c r="N204" s="20"/>
      <c r="O204" s="20"/>
      <c r="P204" s="20"/>
    </row>
    <row r="205" spans="11:16" hidden="1" x14ac:dyDescent="0.45">
      <c r="K205" s="20"/>
      <c r="L205" s="20"/>
      <c r="M205" s="20"/>
      <c r="N205" s="20"/>
      <c r="O205" s="20"/>
      <c r="P205" s="20"/>
    </row>
    <row r="206" spans="11:16" hidden="1" x14ac:dyDescent="0.45">
      <c r="K206" s="20"/>
      <c r="L206" s="20"/>
      <c r="M206" s="20"/>
      <c r="N206" s="20"/>
      <c r="O206" s="20"/>
      <c r="P206" s="20"/>
    </row>
    <row r="207" spans="11:16" hidden="1" x14ac:dyDescent="0.45">
      <c r="K207" s="20"/>
      <c r="L207" s="20"/>
      <c r="M207" s="20"/>
      <c r="N207" s="20"/>
      <c r="O207" s="20"/>
      <c r="P207" s="20"/>
    </row>
    <row r="208" spans="11:16" hidden="1" x14ac:dyDescent="0.45">
      <c r="K208" s="20"/>
      <c r="L208" s="20"/>
      <c r="M208" s="20"/>
      <c r="N208" s="20"/>
      <c r="O208" s="20"/>
      <c r="P208" s="20"/>
    </row>
    <row r="209" spans="11:16" hidden="1" x14ac:dyDescent="0.45">
      <c r="K209" s="20"/>
      <c r="L209" s="20"/>
      <c r="M209" s="20"/>
      <c r="N209" s="20"/>
      <c r="O209" s="20"/>
      <c r="P209" s="20"/>
    </row>
    <row r="210" spans="11:16" hidden="1" x14ac:dyDescent="0.45">
      <c r="K210" s="20"/>
      <c r="L210" s="20"/>
      <c r="M210" s="20"/>
      <c r="N210" s="20"/>
      <c r="O210" s="20"/>
      <c r="P210" s="20"/>
    </row>
    <row r="211" spans="11:16" hidden="1" x14ac:dyDescent="0.45">
      <c r="K211" s="20"/>
      <c r="L211" s="20"/>
      <c r="M211" s="20"/>
      <c r="N211" s="20"/>
      <c r="O211" s="20"/>
      <c r="P211" s="20"/>
    </row>
    <row r="212" spans="11:16" hidden="1" x14ac:dyDescent="0.45">
      <c r="K212" s="20"/>
      <c r="L212" s="20"/>
      <c r="M212" s="20"/>
      <c r="N212" s="20"/>
      <c r="O212" s="20"/>
      <c r="P212" s="20"/>
    </row>
    <row r="213" spans="11:16" hidden="1" x14ac:dyDescent="0.45">
      <c r="K213" s="20"/>
      <c r="L213" s="20"/>
      <c r="M213" s="20"/>
      <c r="N213" s="20"/>
      <c r="O213" s="20"/>
      <c r="P213" s="20"/>
    </row>
    <row r="214" spans="11:16" hidden="1" x14ac:dyDescent="0.45">
      <c r="K214" s="20"/>
      <c r="L214" s="20"/>
      <c r="M214" s="20"/>
      <c r="N214" s="20"/>
      <c r="O214" s="20"/>
      <c r="P214" s="20"/>
    </row>
    <row r="215" spans="11:16" hidden="1" x14ac:dyDescent="0.45">
      <c r="K215" s="20"/>
      <c r="L215" s="20"/>
      <c r="M215" s="20"/>
      <c r="N215" s="20"/>
      <c r="O215" s="20"/>
      <c r="P215" s="20"/>
    </row>
    <row r="216" spans="11:16" hidden="1" x14ac:dyDescent="0.45">
      <c r="K216" s="20"/>
      <c r="L216" s="20"/>
      <c r="M216" s="20"/>
      <c r="N216" s="20"/>
      <c r="O216" s="20"/>
      <c r="P216" s="20"/>
    </row>
    <row r="217" spans="11:16" hidden="1" x14ac:dyDescent="0.45">
      <c r="K217" s="20"/>
      <c r="L217" s="20"/>
      <c r="M217" s="20"/>
      <c r="N217" s="20"/>
      <c r="O217" s="20"/>
      <c r="P217" s="20"/>
    </row>
    <row r="218" spans="11:16" hidden="1" x14ac:dyDescent="0.45">
      <c r="K218" s="20"/>
      <c r="L218" s="20"/>
      <c r="M218" s="20"/>
      <c r="N218" s="20"/>
      <c r="O218" s="20"/>
      <c r="P218" s="20"/>
    </row>
    <row r="219" spans="11:16" hidden="1" x14ac:dyDescent="0.45">
      <c r="K219" s="20"/>
      <c r="L219" s="20"/>
      <c r="M219" s="20"/>
      <c r="N219" s="20"/>
      <c r="O219" s="20"/>
      <c r="P219" s="20"/>
    </row>
    <row r="220" spans="11:16" hidden="1" x14ac:dyDescent="0.45">
      <c r="K220" s="20"/>
      <c r="L220" s="20"/>
      <c r="M220" s="20"/>
      <c r="N220" s="20"/>
      <c r="O220" s="20"/>
      <c r="P220" s="20"/>
    </row>
    <row r="221" spans="11:16" hidden="1" x14ac:dyDescent="0.45">
      <c r="K221" s="20"/>
      <c r="L221" s="20"/>
      <c r="M221" s="20"/>
      <c r="N221" s="20"/>
      <c r="O221" s="20"/>
      <c r="P221" s="20"/>
    </row>
    <row r="222" spans="11:16" hidden="1" x14ac:dyDescent="0.45">
      <c r="K222" s="20"/>
      <c r="L222" s="20"/>
      <c r="M222" s="20"/>
      <c r="N222" s="20"/>
      <c r="O222" s="20"/>
      <c r="P222" s="20"/>
    </row>
    <row r="223" spans="11:16" hidden="1" x14ac:dyDescent="0.45">
      <c r="K223" s="20"/>
      <c r="L223" s="20"/>
      <c r="M223" s="20"/>
      <c r="N223" s="20"/>
      <c r="O223" s="20"/>
      <c r="P223" s="20"/>
    </row>
    <row r="224" spans="11:16" hidden="1" x14ac:dyDescent="0.45">
      <c r="K224" s="20"/>
      <c r="L224" s="20"/>
      <c r="M224" s="20"/>
      <c r="N224" s="20"/>
      <c r="O224" s="20"/>
      <c r="P224" s="20"/>
    </row>
    <row r="225" spans="11:16" hidden="1" x14ac:dyDescent="0.45">
      <c r="K225" s="20"/>
      <c r="L225" s="20"/>
      <c r="M225" s="20"/>
      <c r="N225" s="20"/>
      <c r="O225" s="20"/>
      <c r="P225" s="20"/>
    </row>
    <row r="226" spans="11:16" hidden="1" x14ac:dyDescent="0.45">
      <c r="K226" s="20"/>
      <c r="L226" s="20"/>
      <c r="M226" s="20"/>
      <c r="N226" s="20"/>
      <c r="O226" s="20"/>
      <c r="P226" s="20"/>
    </row>
    <row r="227" spans="11:16" hidden="1" x14ac:dyDescent="0.45">
      <c r="K227" s="20"/>
      <c r="L227" s="20"/>
      <c r="M227" s="20"/>
      <c r="N227" s="20"/>
      <c r="O227" s="20"/>
      <c r="P227" s="20"/>
    </row>
    <row r="228" spans="11:16" hidden="1" x14ac:dyDescent="0.45">
      <c r="K228" s="20"/>
      <c r="L228" s="20"/>
      <c r="M228" s="20"/>
      <c r="N228" s="20"/>
      <c r="O228" s="20"/>
      <c r="P228" s="20"/>
    </row>
    <row r="229" spans="11:16" hidden="1" x14ac:dyDescent="0.45">
      <c r="K229" s="20"/>
      <c r="L229" s="20"/>
      <c r="M229" s="20"/>
      <c r="N229" s="20"/>
      <c r="O229" s="20"/>
      <c r="P229" s="20"/>
    </row>
    <row r="230" spans="11:16" hidden="1" x14ac:dyDescent="0.45">
      <c r="K230" s="20"/>
      <c r="L230" s="20"/>
      <c r="M230" s="20"/>
      <c r="N230" s="20"/>
      <c r="O230" s="20"/>
      <c r="P230" s="20"/>
    </row>
    <row r="231" spans="11:16" hidden="1" x14ac:dyDescent="0.45">
      <c r="K231" s="20"/>
      <c r="L231" s="20"/>
      <c r="M231" s="20"/>
      <c r="N231" s="20"/>
      <c r="O231" s="20"/>
      <c r="P231" s="20"/>
    </row>
    <row r="232" spans="11:16" hidden="1" x14ac:dyDescent="0.45">
      <c r="K232" s="20"/>
      <c r="L232" s="20"/>
      <c r="M232" s="20"/>
      <c r="N232" s="20"/>
      <c r="O232" s="20"/>
      <c r="P232" s="20"/>
    </row>
    <row r="233" spans="11:16" hidden="1" x14ac:dyDescent="0.45">
      <c r="K233" s="20"/>
      <c r="L233" s="20"/>
      <c r="M233" s="20"/>
      <c r="N233" s="20"/>
      <c r="O233" s="20"/>
      <c r="P233" s="20"/>
    </row>
    <row r="234" spans="11:16" hidden="1" x14ac:dyDescent="0.45">
      <c r="K234" s="20"/>
      <c r="L234" s="20"/>
      <c r="M234" s="20"/>
      <c r="N234" s="20"/>
      <c r="O234" s="20"/>
      <c r="P234" s="20"/>
    </row>
    <row r="235" spans="11:16" hidden="1" x14ac:dyDescent="0.45">
      <c r="K235" s="20"/>
      <c r="L235" s="20"/>
      <c r="M235" s="20"/>
      <c r="N235" s="20"/>
      <c r="O235" s="20"/>
      <c r="P235" s="20"/>
    </row>
    <row r="236" spans="11:16" hidden="1" x14ac:dyDescent="0.45">
      <c r="K236" s="20"/>
      <c r="L236" s="20"/>
      <c r="M236" s="20"/>
      <c r="N236" s="20"/>
      <c r="O236" s="20"/>
      <c r="P236" s="20"/>
    </row>
    <row r="237" spans="11:16" hidden="1" x14ac:dyDescent="0.45">
      <c r="K237" s="20"/>
      <c r="L237" s="20"/>
      <c r="M237" s="20"/>
      <c r="N237" s="20"/>
      <c r="O237" s="20"/>
      <c r="P237" s="20"/>
    </row>
    <row r="238" spans="11:16" hidden="1" x14ac:dyDescent="0.45">
      <c r="K238" s="20"/>
      <c r="L238" s="20"/>
      <c r="M238" s="20"/>
      <c r="N238" s="20"/>
      <c r="O238" s="20"/>
      <c r="P238" s="20"/>
    </row>
    <row r="239" spans="11:16" hidden="1" x14ac:dyDescent="0.45">
      <c r="K239" s="20"/>
      <c r="L239" s="20"/>
      <c r="M239" s="20"/>
      <c r="N239" s="20"/>
      <c r="O239" s="20"/>
      <c r="P239" s="20"/>
    </row>
    <row r="240" spans="11:16" hidden="1" x14ac:dyDescent="0.45">
      <c r="K240" s="20"/>
      <c r="L240" s="20"/>
      <c r="M240" s="20"/>
      <c r="N240" s="20"/>
      <c r="O240" s="20"/>
      <c r="P240" s="20"/>
    </row>
    <row r="241" spans="11:16" hidden="1" x14ac:dyDescent="0.45">
      <c r="K241" s="20"/>
      <c r="L241" s="20"/>
      <c r="M241" s="20"/>
      <c r="N241" s="20"/>
      <c r="O241" s="20"/>
      <c r="P241" s="20"/>
    </row>
    <row r="242" spans="11:16" hidden="1" x14ac:dyDescent="0.45">
      <c r="K242" s="20"/>
      <c r="L242" s="20"/>
      <c r="M242" s="20"/>
      <c r="N242" s="20"/>
      <c r="O242" s="20"/>
      <c r="P242" s="20"/>
    </row>
    <row r="243" spans="11:16" hidden="1" x14ac:dyDescent="0.45">
      <c r="K243" s="20"/>
      <c r="L243" s="20"/>
      <c r="M243" s="20"/>
      <c r="N243" s="20"/>
      <c r="O243" s="20"/>
      <c r="P243" s="20"/>
    </row>
    <row r="244" spans="11:16" hidden="1" x14ac:dyDescent="0.45">
      <c r="K244" s="20"/>
      <c r="L244" s="20"/>
      <c r="M244" s="20"/>
      <c r="N244" s="20"/>
      <c r="O244" s="20"/>
      <c r="P244" s="20"/>
    </row>
    <row r="245" spans="11:16" hidden="1" x14ac:dyDescent="0.45">
      <c r="K245" s="20"/>
      <c r="L245" s="20"/>
      <c r="M245" s="20"/>
      <c r="N245" s="20"/>
      <c r="O245" s="20"/>
      <c r="P245" s="20"/>
    </row>
    <row r="246" spans="11:16" hidden="1" x14ac:dyDescent="0.45">
      <c r="K246" s="20"/>
      <c r="L246" s="20"/>
      <c r="M246" s="20"/>
      <c r="N246" s="20"/>
      <c r="O246" s="20"/>
      <c r="P246" s="20"/>
    </row>
    <row r="247" spans="11:16" hidden="1" x14ac:dyDescent="0.45">
      <c r="K247" s="20"/>
      <c r="L247" s="20"/>
      <c r="M247" s="20"/>
      <c r="N247" s="20"/>
      <c r="O247" s="20"/>
      <c r="P247" s="20"/>
    </row>
    <row r="248" spans="11:16" hidden="1" x14ac:dyDescent="0.45">
      <c r="K248" s="20"/>
      <c r="L248" s="20"/>
      <c r="M248" s="20"/>
      <c r="N248" s="20"/>
      <c r="O248" s="20"/>
      <c r="P248" s="20"/>
    </row>
    <row r="249" spans="11:16" hidden="1" x14ac:dyDescent="0.45">
      <c r="K249" s="20"/>
      <c r="L249" s="20"/>
      <c r="M249" s="20"/>
      <c r="N249" s="20"/>
      <c r="O249" s="20"/>
      <c r="P249" s="20"/>
    </row>
    <row r="250" spans="11:16" hidden="1" x14ac:dyDescent="0.45">
      <c r="K250" s="20"/>
      <c r="L250" s="20"/>
      <c r="M250" s="20"/>
      <c r="N250" s="20"/>
      <c r="O250" s="20"/>
      <c r="P250" s="20"/>
    </row>
    <row r="251" spans="11:16" hidden="1" x14ac:dyDescent="0.45">
      <c r="K251" s="20"/>
      <c r="L251" s="20"/>
      <c r="M251" s="20"/>
      <c r="N251" s="20"/>
      <c r="O251" s="20"/>
      <c r="P251" s="20"/>
    </row>
    <row r="252" spans="11:16" hidden="1" x14ac:dyDescent="0.45">
      <c r="K252" s="20"/>
      <c r="L252" s="20"/>
      <c r="M252" s="20"/>
      <c r="N252" s="20"/>
      <c r="O252" s="20"/>
      <c r="P252" s="20"/>
    </row>
    <row r="253" spans="11:16" hidden="1" x14ac:dyDescent="0.45">
      <c r="K253" s="20"/>
      <c r="L253" s="20"/>
      <c r="M253" s="20"/>
      <c r="N253" s="20"/>
      <c r="O253" s="20"/>
      <c r="P253" s="20"/>
    </row>
    <row r="254" spans="11:16" hidden="1" x14ac:dyDescent="0.45">
      <c r="K254" s="20"/>
      <c r="L254" s="20"/>
      <c r="M254" s="20"/>
      <c r="N254" s="20"/>
      <c r="O254" s="20"/>
      <c r="P254" s="20"/>
    </row>
    <row r="255" spans="11:16" hidden="1" x14ac:dyDescent="0.45">
      <c r="K255" s="20"/>
      <c r="L255" s="20"/>
      <c r="M255" s="20"/>
      <c r="N255" s="20"/>
      <c r="O255" s="20"/>
      <c r="P255" s="20"/>
    </row>
    <row r="256" spans="11:16" hidden="1" x14ac:dyDescent="0.45">
      <c r="K256" s="20"/>
      <c r="L256" s="20"/>
      <c r="M256" s="20"/>
      <c r="N256" s="20"/>
      <c r="O256" s="20"/>
      <c r="P256" s="20"/>
    </row>
    <row r="257" spans="11:16" hidden="1" x14ac:dyDescent="0.45">
      <c r="K257" s="20"/>
      <c r="L257" s="20"/>
      <c r="M257" s="20"/>
      <c r="N257" s="20"/>
      <c r="O257" s="20"/>
      <c r="P257" s="20"/>
    </row>
    <row r="258" spans="11:16" hidden="1" x14ac:dyDescent="0.45">
      <c r="K258" s="20"/>
      <c r="L258" s="20"/>
      <c r="M258" s="20"/>
      <c r="N258" s="20"/>
      <c r="O258" s="20"/>
      <c r="P258" s="20"/>
    </row>
    <row r="259" spans="11:16" hidden="1" x14ac:dyDescent="0.45">
      <c r="K259" s="20"/>
      <c r="L259" s="20"/>
      <c r="M259" s="20"/>
      <c r="N259" s="20"/>
      <c r="O259" s="20"/>
      <c r="P259" s="20"/>
    </row>
    <row r="260" spans="11:16" hidden="1" x14ac:dyDescent="0.45">
      <c r="K260" s="20"/>
      <c r="L260" s="20"/>
      <c r="M260" s="20"/>
      <c r="N260" s="20"/>
      <c r="O260" s="20"/>
      <c r="P260" s="20"/>
    </row>
    <row r="261" spans="11:16" hidden="1" x14ac:dyDescent="0.45">
      <c r="K261" s="20"/>
      <c r="L261" s="20"/>
      <c r="M261" s="20"/>
      <c r="N261" s="20"/>
      <c r="O261" s="20"/>
      <c r="P261" s="20"/>
    </row>
    <row r="262" spans="11:16" hidden="1" x14ac:dyDescent="0.45">
      <c r="K262" s="20"/>
      <c r="L262" s="20"/>
      <c r="M262" s="20"/>
      <c r="N262" s="20"/>
      <c r="O262" s="20"/>
      <c r="P262" s="20"/>
    </row>
    <row r="263" spans="11:16" hidden="1" x14ac:dyDescent="0.45">
      <c r="K263" s="20"/>
      <c r="L263" s="20"/>
      <c r="M263" s="20"/>
      <c r="N263" s="20"/>
      <c r="O263" s="20"/>
      <c r="P263" s="20"/>
    </row>
    <row r="264" spans="11:16" hidden="1" x14ac:dyDescent="0.45">
      <c r="K264" s="20"/>
      <c r="L264" s="20"/>
      <c r="M264" s="20"/>
      <c r="N264" s="20"/>
      <c r="O264" s="20"/>
      <c r="P264" s="20"/>
    </row>
    <row r="265" spans="11:16" hidden="1" x14ac:dyDescent="0.45">
      <c r="K265" s="20"/>
      <c r="L265" s="20"/>
      <c r="M265" s="20"/>
      <c r="N265" s="20"/>
      <c r="O265" s="20"/>
      <c r="P265" s="20"/>
    </row>
    <row r="266" spans="11:16" hidden="1" x14ac:dyDescent="0.45">
      <c r="K266" s="20"/>
      <c r="L266" s="20"/>
      <c r="M266" s="20"/>
      <c r="N266" s="20"/>
      <c r="O266" s="20"/>
      <c r="P266" s="20"/>
    </row>
    <row r="267" spans="11:16" hidden="1" x14ac:dyDescent="0.45">
      <c r="K267" s="20"/>
      <c r="L267" s="20"/>
      <c r="M267" s="20"/>
      <c r="N267" s="20"/>
      <c r="O267" s="20"/>
      <c r="P267" s="20"/>
    </row>
    <row r="268" spans="11:16" hidden="1" x14ac:dyDescent="0.45">
      <c r="K268" s="20"/>
      <c r="L268" s="20"/>
      <c r="M268" s="20"/>
      <c r="N268" s="20"/>
      <c r="O268" s="20"/>
      <c r="P268" s="20"/>
    </row>
    <row r="269" spans="11:16" hidden="1" x14ac:dyDescent="0.45">
      <c r="K269" s="20"/>
      <c r="L269" s="20"/>
      <c r="M269" s="20"/>
      <c r="N269" s="20"/>
      <c r="O269" s="20"/>
      <c r="P269" s="20"/>
    </row>
    <row r="270" spans="11:16" hidden="1" x14ac:dyDescent="0.45">
      <c r="K270" s="20"/>
      <c r="L270" s="20"/>
      <c r="M270" s="20"/>
      <c r="N270" s="20"/>
      <c r="O270" s="20"/>
      <c r="P270" s="20"/>
    </row>
    <row r="271" spans="11:16" hidden="1" x14ac:dyDescent="0.45">
      <c r="K271" s="20"/>
      <c r="L271" s="20"/>
      <c r="M271" s="20"/>
      <c r="N271" s="20"/>
      <c r="O271" s="20"/>
      <c r="P271" s="20"/>
    </row>
    <row r="272" spans="11:16" hidden="1" x14ac:dyDescent="0.45">
      <c r="K272" s="20"/>
      <c r="L272" s="20"/>
      <c r="M272" s="20"/>
      <c r="N272" s="20"/>
      <c r="O272" s="20"/>
      <c r="P272" s="20"/>
    </row>
    <row r="273" spans="11:16" hidden="1" x14ac:dyDescent="0.45">
      <c r="K273" s="20"/>
      <c r="L273" s="20"/>
      <c r="M273" s="20"/>
      <c r="N273" s="20"/>
      <c r="O273" s="20"/>
      <c r="P273" s="20"/>
    </row>
    <row r="274" spans="11:16" hidden="1" x14ac:dyDescent="0.45">
      <c r="K274" s="20"/>
      <c r="L274" s="20"/>
      <c r="M274" s="20"/>
      <c r="N274" s="20"/>
      <c r="O274" s="20"/>
      <c r="P274" s="20"/>
    </row>
    <row r="275" spans="11:16" hidden="1" x14ac:dyDescent="0.45">
      <c r="K275" s="20"/>
      <c r="L275" s="20"/>
      <c r="M275" s="20"/>
      <c r="N275" s="20"/>
      <c r="O275" s="20"/>
      <c r="P275" s="20"/>
    </row>
    <row r="276" spans="11:16" hidden="1" x14ac:dyDescent="0.45">
      <c r="K276" s="20"/>
      <c r="L276" s="20"/>
      <c r="M276" s="20"/>
      <c r="N276" s="20"/>
      <c r="O276" s="20"/>
      <c r="P276" s="20"/>
    </row>
    <row r="277" spans="11:16" hidden="1" x14ac:dyDescent="0.45">
      <c r="K277" s="20"/>
      <c r="L277" s="20"/>
      <c r="M277" s="20"/>
      <c r="N277" s="20"/>
      <c r="O277" s="20"/>
      <c r="P277" s="20"/>
    </row>
    <row r="278" spans="11:16" hidden="1" x14ac:dyDescent="0.45">
      <c r="K278" s="20"/>
      <c r="L278" s="20"/>
      <c r="M278" s="20"/>
      <c r="N278" s="20"/>
      <c r="O278" s="20"/>
      <c r="P278" s="20"/>
    </row>
    <row r="279" spans="11:16" hidden="1" x14ac:dyDescent="0.45">
      <c r="K279" s="20"/>
      <c r="L279" s="20"/>
      <c r="M279" s="20"/>
      <c r="N279" s="20"/>
      <c r="O279" s="20"/>
      <c r="P279" s="20"/>
    </row>
    <row r="280" spans="11:16" hidden="1" x14ac:dyDescent="0.45">
      <c r="K280" s="20"/>
      <c r="L280" s="20"/>
      <c r="M280" s="20"/>
      <c r="N280" s="20"/>
      <c r="O280" s="20"/>
      <c r="P280" s="20"/>
    </row>
    <row r="281" spans="11:16" hidden="1" x14ac:dyDescent="0.45">
      <c r="K281" s="20"/>
      <c r="L281" s="20"/>
      <c r="M281" s="20"/>
      <c r="N281" s="20"/>
      <c r="O281" s="20"/>
      <c r="P281" s="20"/>
    </row>
    <row r="282" spans="11:16" hidden="1" x14ac:dyDescent="0.45">
      <c r="K282" s="20"/>
      <c r="L282" s="20"/>
      <c r="M282" s="20"/>
      <c r="N282" s="20"/>
      <c r="O282" s="20"/>
      <c r="P282" s="20"/>
    </row>
    <row r="283" spans="11:16" hidden="1" x14ac:dyDescent="0.45">
      <c r="K283" s="20"/>
      <c r="L283" s="20"/>
      <c r="M283" s="20"/>
      <c r="N283" s="20"/>
      <c r="O283" s="20"/>
      <c r="P283" s="20"/>
    </row>
    <row r="284" spans="11:16" hidden="1" x14ac:dyDescent="0.45">
      <c r="K284" s="20"/>
      <c r="L284" s="20"/>
      <c r="M284" s="20"/>
      <c r="N284" s="20"/>
      <c r="O284" s="20"/>
      <c r="P284" s="20"/>
    </row>
    <row r="285" spans="11:16" hidden="1" x14ac:dyDescent="0.45">
      <c r="K285" s="20"/>
      <c r="L285" s="20"/>
      <c r="M285" s="20"/>
      <c r="N285" s="20"/>
      <c r="O285" s="20"/>
      <c r="P285" s="20"/>
    </row>
    <row r="286" spans="11:16" hidden="1" x14ac:dyDescent="0.45">
      <c r="K286" s="20"/>
      <c r="L286" s="20"/>
      <c r="M286" s="20"/>
      <c r="N286" s="20"/>
      <c r="O286" s="20"/>
      <c r="P286" s="20"/>
    </row>
    <row r="287" spans="11:16" hidden="1" x14ac:dyDescent="0.45">
      <c r="K287" s="20"/>
      <c r="L287" s="20"/>
      <c r="M287" s="20"/>
      <c r="N287" s="20"/>
      <c r="O287" s="20"/>
      <c r="P287" s="20"/>
    </row>
    <row r="288" spans="11:16" hidden="1" x14ac:dyDescent="0.45">
      <c r="K288" s="20"/>
      <c r="L288" s="20"/>
      <c r="M288" s="20"/>
      <c r="N288" s="20"/>
      <c r="O288" s="20"/>
      <c r="P288" s="20"/>
    </row>
    <row r="289" spans="11:16" hidden="1" x14ac:dyDescent="0.45">
      <c r="K289" s="20"/>
      <c r="L289" s="20"/>
      <c r="M289" s="20"/>
      <c r="N289" s="20"/>
      <c r="O289" s="20"/>
      <c r="P289" s="20"/>
    </row>
    <row r="290" spans="11:16" hidden="1" x14ac:dyDescent="0.45">
      <c r="K290" s="20"/>
      <c r="L290" s="20"/>
      <c r="M290" s="20"/>
      <c r="N290" s="20"/>
      <c r="O290" s="20"/>
      <c r="P290" s="20"/>
    </row>
    <row r="291" spans="11:16" hidden="1" x14ac:dyDescent="0.45">
      <c r="K291" s="20"/>
      <c r="L291" s="20"/>
      <c r="M291" s="20"/>
      <c r="N291" s="20"/>
      <c r="O291" s="20"/>
      <c r="P291" s="20"/>
    </row>
    <row r="292" spans="11:16" hidden="1" x14ac:dyDescent="0.45">
      <c r="K292" s="20"/>
      <c r="L292" s="20"/>
      <c r="M292" s="20"/>
      <c r="N292" s="20"/>
      <c r="O292" s="20"/>
      <c r="P292" s="20"/>
    </row>
    <row r="293" spans="11:16" hidden="1" x14ac:dyDescent="0.45">
      <c r="K293" s="20"/>
      <c r="L293" s="20"/>
      <c r="M293" s="20"/>
      <c r="N293" s="20"/>
      <c r="O293" s="20"/>
      <c r="P293" s="20"/>
    </row>
    <row r="294" spans="11:16" hidden="1" x14ac:dyDescent="0.45">
      <c r="K294" s="20"/>
      <c r="L294" s="20"/>
      <c r="M294" s="20"/>
      <c r="N294" s="20"/>
      <c r="O294" s="20"/>
      <c r="P294" s="20"/>
    </row>
    <row r="295" spans="11:16" hidden="1" x14ac:dyDescent="0.45">
      <c r="K295" s="20"/>
      <c r="L295" s="20"/>
      <c r="M295" s="20"/>
      <c r="N295" s="20"/>
      <c r="O295" s="20"/>
      <c r="P295" s="20"/>
    </row>
    <row r="296" spans="11:16" hidden="1" x14ac:dyDescent="0.45">
      <c r="K296" s="20"/>
      <c r="L296" s="20"/>
      <c r="M296" s="20"/>
      <c r="N296" s="20"/>
      <c r="O296" s="20"/>
      <c r="P296" s="20"/>
    </row>
    <row r="297" spans="11:16" hidden="1" x14ac:dyDescent="0.45">
      <c r="K297" s="20"/>
      <c r="L297" s="20"/>
      <c r="M297" s="20"/>
      <c r="N297" s="20"/>
      <c r="O297" s="20"/>
      <c r="P297" s="20"/>
    </row>
    <row r="298" spans="11:16" hidden="1" x14ac:dyDescent="0.45">
      <c r="K298" s="20"/>
      <c r="L298" s="20"/>
      <c r="M298" s="20"/>
      <c r="N298" s="20"/>
      <c r="O298" s="20"/>
      <c r="P298" s="20"/>
    </row>
    <row r="299" spans="11:16" hidden="1" x14ac:dyDescent="0.45">
      <c r="K299" s="20"/>
      <c r="L299" s="20"/>
      <c r="M299" s="20"/>
      <c r="N299" s="20"/>
      <c r="O299" s="20"/>
      <c r="P299" s="20"/>
    </row>
    <row r="300" spans="11:16" hidden="1" x14ac:dyDescent="0.45">
      <c r="K300" s="20"/>
      <c r="L300" s="20"/>
      <c r="M300" s="20"/>
      <c r="N300" s="20"/>
      <c r="O300" s="20"/>
      <c r="P300" s="20"/>
    </row>
    <row r="301" spans="11:16" hidden="1" x14ac:dyDescent="0.45">
      <c r="K301" s="20"/>
      <c r="L301" s="20"/>
      <c r="M301" s="20"/>
      <c r="N301" s="20"/>
      <c r="O301" s="20"/>
      <c r="P301" s="20"/>
    </row>
    <row r="302" spans="11:16" hidden="1" x14ac:dyDescent="0.45">
      <c r="K302" s="20"/>
      <c r="L302" s="20"/>
      <c r="M302" s="20"/>
      <c r="N302" s="20"/>
      <c r="O302" s="20"/>
      <c r="P302" s="20"/>
    </row>
    <row r="303" spans="11:16" hidden="1" x14ac:dyDescent="0.45">
      <c r="K303" s="20"/>
      <c r="L303" s="20"/>
      <c r="M303" s="20"/>
      <c r="N303" s="20"/>
      <c r="O303" s="20"/>
      <c r="P303" s="20"/>
    </row>
    <row r="304" spans="11:16" hidden="1" x14ac:dyDescent="0.45">
      <c r="K304" s="20"/>
      <c r="L304" s="20"/>
      <c r="M304" s="20"/>
      <c r="N304" s="20"/>
      <c r="O304" s="20"/>
      <c r="P304" s="20"/>
    </row>
    <row r="305" spans="11:16" hidden="1" x14ac:dyDescent="0.45">
      <c r="K305" s="20"/>
      <c r="L305" s="20"/>
      <c r="M305" s="20"/>
      <c r="N305" s="20"/>
      <c r="O305" s="20"/>
      <c r="P305" s="20"/>
    </row>
    <row r="306" spans="11:16" hidden="1" x14ac:dyDescent="0.45">
      <c r="K306" s="20"/>
      <c r="L306" s="20"/>
      <c r="M306" s="20"/>
      <c r="N306" s="20"/>
      <c r="O306" s="20"/>
      <c r="P306" s="20"/>
    </row>
    <row r="307" spans="11:16" hidden="1" x14ac:dyDescent="0.45">
      <c r="K307" s="20"/>
      <c r="L307" s="20"/>
      <c r="M307" s="20"/>
      <c r="N307" s="20"/>
      <c r="O307" s="20"/>
      <c r="P307" s="20"/>
    </row>
    <row r="308" spans="11:16" hidden="1" x14ac:dyDescent="0.45">
      <c r="K308" s="20"/>
      <c r="L308" s="20"/>
      <c r="M308" s="20"/>
      <c r="N308" s="20"/>
      <c r="O308" s="20"/>
      <c r="P308" s="20"/>
    </row>
    <row r="309" spans="11:16" hidden="1" x14ac:dyDescent="0.45">
      <c r="K309" s="20"/>
      <c r="L309" s="20"/>
      <c r="M309" s="20"/>
      <c r="N309" s="20"/>
      <c r="O309" s="20"/>
      <c r="P309" s="20"/>
    </row>
    <row r="310" spans="11:16" hidden="1" x14ac:dyDescent="0.45">
      <c r="K310" s="20"/>
      <c r="L310" s="20"/>
      <c r="M310" s="20"/>
      <c r="N310" s="20"/>
      <c r="O310" s="20"/>
      <c r="P310" s="20"/>
    </row>
    <row r="311" spans="11:16" hidden="1" x14ac:dyDescent="0.45">
      <c r="K311" s="20"/>
      <c r="L311" s="20"/>
      <c r="M311" s="20"/>
      <c r="N311" s="20"/>
      <c r="O311" s="20"/>
      <c r="P311" s="20"/>
    </row>
    <row r="312" spans="11:16" hidden="1" x14ac:dyDescent="0.45">
      <c r="K312" s="20"/>
      <c r="L312" s="20"/>
      <c r="M312" s="20"/>
      <c r="N312" s="20"/>
      <c r="O312" s="20"/>
      <c r="P312" s="20"/>
    </row>
    <row r="313" spans="11:16" hidden="1" x14ac:dyDescent="0.45">
      <c r="K313" s="20"/>
      <c r="L313" s="20"/>
      <c r="M313" s="20"/>
      <c r="N313" s="20"/>
      <c r="O313" s="20"/>
      <c r="P313" s="20"/>
    </row>
    <row r="314" spans="11:16" hidden="1" x14ac:dyDescent="0.45">
      <c r="K314" s="20"/>
      <c r="L314" s="20"/>
      <c r="M314" s="20"/>
      <c r="N314" s="20"/>
      <c r="O314" s="20"/>
      <c r="P314" s="20"/>
    </row>
    <row r="315" spans="11:16" hidden="1" x14ac:dyDescent="0.45">
      <c r="K315" s="20"/>
      <c r="L315" s="20"/>
      <c r="M315" s="20"/>
      <c r="N315" s="20"/>
      <c r="O315" s="20"/>
      <c r="P315" s="20"/>
    </row>
    <row r="316" spans="11:16" hidden="1" x14ac:dyDescent="0.45">
      <c r="K316" s="20"/>
      <c r="L316" s="20"/>
      <c r="M316" s="20"/>
      <c r="N316" s="20"/>
      <c r="O316" s="20"/>
      <c r="P316" s="20"/>
    </row>
    <row r="317" spans="11:16" hidden="1" x14ac:dyDescent="0.45">
      <c r="K317" s="20"/>
      <c r="L317" s="20"/>
      <c r="M317" s="20"/>
      <c r="N317" s="20"/>
      <c r="O317" s="20"/>
      <c r="P317" s="20"/>
    </row>
    <row r="318" spans="11:16" hidden="1" x14ac:dyDescent="0.45">
      <c r="K318" s="20"/>
      <c r="L318" s="20"/>
      <c r="M318" s="20"/>
      <c r="N318" s="20"/>
      <c r="O318" s="20"/>
      <c r="P318" s="20"/>
    </row>
    <row r="319" spans="11:16" hidden="1" x14ac:dyDescent="0.45">
      <c r="K319" s="20"/>
      <c r="L319" s="20"/>
      <c r="M319" s="20"/>
      <c r="N319" s="20"/>
      <c r="O319" s="20"/>
      <c r="P319" s="20"/>
    </row>
    <row r="320" spans="11:16" hidden="1" x14ac:dyDescent="0.45">
      <c r="K320" s="20"/>
      <c r="L320" s="20"/>
      <c r="M320" s="20"/>
      <c r="N320" s="20"/>
      <c r="O320" s="20"/>
      <c r="P320" s="20"/>
    </row>
    <row r="321" spans="11:16" hidden="1" x14ac:dyDescent="0.45">
      <c r="K321" s="20"/>
      <c r="L321" s="20"/>
      <c r="M321" s="20"/>
      <c r="N321" s="20"/>
      <c r="O321" s="20"/>
      <c r="P321" s="20"/>
    </row>
    <row r="322" spans="11:16" hidden="1" x14ac:dyDescent="0.45">
      <c r="K322" s="20"/>
      <c r="L322" s="20"/>
      <c r="M322" s="20"/>
      <c r="N322" s="20"/>
      <c r="O322" s="20"/>
      <c r="P322" s="20"/>
    </row>
    <row r="323" spans="11:16" hidden="1" x14ac:dyDescent="0.45">
      <c r="K323" s="20"/>
      <c r="L323" s="20"/>
      <c r="M323" s="20"/>
      <c r="N323" s="20"/>
      <c r="O323" s="20"/>
      <c r="P323" s="20"/>
    </row>
    <row r="324" spans="11:16" hidden="1" x14ac:dyDescent="0.45">
      <c r="K324" s="20"/>
      <c r="L324" s="20"/>
      <c r="M324" s="20"/>
      <c r="N324" s="20"/>
      <c r="O324" s="20"/>
      <c r="P324" s="20"/>
    </row>
    <row r="325" spans="11:16" hidden="1" x14ac:dyDescent="0.45">
      <c r="K325" s="20"/>
      <c r="L325" s="20"/>
      <c r="M325" s="20"/>
      <c r="N325" s="20"/>
      <c r="O325" s="20"/>
      <c r="P325" s="20"/>
    </row>
    <row r="326" spans="11:16" hidden="1" x14ac:dyDescent="0.45">
      <c r="K326" s="20"/>
      <c r="L326" s="20"/>
      <c r="M326" s="20"/>
      <c r="N326" s="20"/>
      <c r="O326" s="20"/>
      <c r="P326" s="20"/>
    </row>
    <row r="327" spans="11:16" hidden="1" x14ac:dyDescent="0.45">
      <c r="K327" s="20"/>
      <c r="L327" s="20"/>
      <c r="M327" s="20"/>
      <c r="N327" s="20"/>
      <c r="O327" s="20"/>
      <c r="P327" s="20"/>
    </row>
    <row r="328" spans="11:16" hidden="1" x14ac:dyDescent="0.45">
      <c r="K328" s="20"/>
      <c r="L328" s="20"/>
      <c r="M328" s="20"/>
      <c r="N328" s="20"/>
      <c r="O328" s="20"/>
      <c r="P328" s="20"/>
    </row>
    <row r="329" spans="11:16" hidden="1" x14ac:dyDescent="0.45">
      <c r="K329" s="20"/>
      <c r="L329" s="20"/>
      <c r="M329" s="20"/>
      <c r="N329" s="20"/>
      <c r="O329" s="20"/>
      <c r="P329" s="20"/>
    </row>
    <row r="330" spans="11:16" hidden="1" x14ac:dyDescent="0.45">
      <c r="K330" s="20"/>
      <c r="L330" s="20"/>
      <c r="M330" s="20"/>
      <c r="N330" s="20"/>
      <c r="O330" s="20"/>
      <c r="P330" s="20"/>
    </row>
    <row r="331" spans="11:16" hidden="1" x14ac:dyDescent="0.45">
      <c r="K331" s="20"/>
      <c r="L331" s="20"/>
      <c r="M331" s="20"/>
      <c r="N331" s="20"/>
      <c r="O331" s="20"/>
      <c r="P331" s="20"/>
    </row>
    <row r="332" spans="11:16" hidden="1" x14ac:dyDescent="0.45">
      <c r="K332" s="20"/>
      <c r="L332" s="20"/>
      <c r="M332" s="20"/>
      <c r="N332" s="20"/>
      <c r="O332" s="20"/>
      <c r="P332" s="20"/>
    </row>
    <row r="333" spans="11:16" hidden="1" x14ac:dyDescent="0.45">
      <c r="K333" s="20"/>
      <c r="L333" s="20"/>
      <c r="M333" s="20"/>
      <c r="N333" s="20"/>
      <c r="O333" s="20"/>
      <c r="P333" s="20"/>
    </row>
    <row r="334" spans="11:16" hidden="1" x14ac:dyDescent="0.45">
      <c r="K334" s="20"/>
      <c r="L334" s="20"/>
      <c r="M334" s="20"/>
      <c r="N334" s="20"/>
      <c r="O334" s="20"/>
      <c r="P334" s="20"/>
    </row>
    <row r="335" spans="11:16" hidden="1" x14ac:dyDescent="0.45">
      <c r="K335" s="20"/>
      <c r="L335" s="20"/>
      <c r="M335" s="20"/>
      <c r="N335" s="20"/>
      <c r="O335" s="20"/>
      <c r="P335" s="20"/>
    </row>
    <row r="336" spans="11:16" hidden="1" x14ac:dyDescent="0.45">
      <c r="K336" s="20"/>
      <c r="L336" s="20"/>
      <c r="M336" s="20"/>
      <c r="N336" s="20"/>
      <c r="O336" s="20"/>
      <c r="P336" s="20"/>
    </row>
    <row r="337" spans="11:16" hidden="1" x14ac:dyDescent="0.45">
      <c r="K337" s="20"/>
      <c r="L337" s="20"/>
      <c r="M337" s="20"/>
      <c r="N337" s="20"/>
      <c r="O337" s="20"/>
      <c r="P337" s="20"/>
    </row>
    <row r="338" spans="11:16" hidden="1" x14ac:dyDescent="0.45">
      <c r="K338" s="20"/>
      <c r="L338" s="20"/>
      <c r="M338" s="20"/>
      <c r="N338" s="20"/>
      <c r="O338" s="20"/>
      <c r="P338" s="20"/>
    </row>
    <row r="339" spans="11:16" hidden="1" x14ac:dyDescent="0.45">
      <c r="K339" s="20"/>
      <c r="L339" s="20"/>
      <c r="M339" s="20"/>
      <c r="N339" s="20"/>
      <c r="O339" s="20"/>
      <c r="P339" s="20"/>
    </row>
    <row r="340" spans="11:16" hidden="1" x14ac:dyDescent="0.45">
      <c r="K340" s="20"/>
      <c r="L340" s="20"/>
      <c r="M340" s="20"/>
      <c r="N340" s="20"/>
      <c r="O340" s="20"/>
      <c r="P340" s="20"/>
    </row>
    <row r="341" spans="11:16" hidden="1" x14ac:dyDescent="0.45">
      <c r="K341" s="20"/>
      <c r="L341" s="20"/>
      <c r="M341" s="20"/>
      <c r="N341" s="20"/>
      <c r="O341" s="20"/>
      <c r="P341" s="20"/>
    </row>
    <row r="342" spans="11:16" hidden="1" x14ac:dyDescent="0.45">
      <c r="K342" s="20"/>
      <c r="L342" s="20"/>
      <c r="M342" s="20"/>
      <c r="N342" s="20"/>
      <c r="O342" s="20"/>
      <c r="P342" s="20"/>
    </row>
    <row r="343" spans="11:16" hidden="1" x14ac:dyDescent="0.45">
      <c r="K343" s="20"/>
      <c r="L343" s="20"/>
      <c r="M343" s="20"/>
      <c r="N343" s="20"/>
      <c r="O343" s="20"/>
      <c r="P343" s="20"/>
    </row>
    <row r="344" spans="11:16" hidden="1" x14ac:dyDescent="0.45">
      <c r="K344" s="20"/>
      <c r="L344" s="20"/>
      <c r="M344" s="20"/>
      <c r="N344" s="20"/>
      <c r="O344" s="20"/>
      <c r="P344" s="20"/>
    </row>
    <row r="345" spans="11:16" hidden="1" x14ac:dyDescent="0.45">
      <c r="K345" s="20"/>
      <c r="L345" s="20"/>
      <c r="M345" s="20"/>
      <c r="N345" s="20"/>
      <c r="O345" s="20"/>
      <c r="P345" s="20"/>
    </row>
    <row r="346" spans="11:16" hidden="1" x14ac:dyDescent="0.45">
      <c r="K346" s="20"/>
      <c r="L346" s="20"/>
      <c r="M346" s="20"/>
      <c r="N346" s="20"/>
      <c r="O346" s="20"/>
      <c r="P346" s="20"/>
    </row>
    <row r="347" spans="11:16" hidden="1" x14ac:dyDescent="0.45">
      <c r="K347" s="20"/>
      <c r="L347" s="20"/>
      <c r="M347" s="20"/>
      <c r="N347" s="20"/>
      <c r="O347" s="20"/>
      <c r="P347" s="20"/>
    </row>
    <row r="348" spans="11:16" hidden="1" x14ac:dyDescent="0.45">
      <c r="K348" s="20"/>
      <c r="L348" s="20"/>
      <c r="M348" s="20"/>
      <c r="N348" s="20"/>
      <c r="O348" s="20"/>
      <c r="P348" s="20"/>
    </row>
    <row r="349" spans="11:16" hidden="1" x14ac:dyDescent="0.45">
      <c r="K349" s="20"/>
      <c r="L349" s="20"/>
      <c r="M349" s="20"/>
      <c r="N349" s="20"/>
      <c r="O349" s="20"/>
      <c r="P349" s="20"/>
    </row>
    <row r="350" spans="11:16" hidden="1" x14ac:dyDescent="0.45">
      <c r="K350" s="20"/>
      <c r="L350" s="20"/>
      <c r="M350" s="20"/>
      <c r="N350" s="20"/>
      <c r="O350" s="20"/>
      <c r="P350" s="20"/>
    </row>
    <row r="351" spans="11:16" hidden="1" x14ac:dyDescent="0.45">
      <c r="K351" s="20"/>
      <c r="L351" s="20"/>
      <c r="M351" s="20"/>
      <c r="N351" s="20"/>
      <c r="O351" s="20"/>
      <c r="P351" s="20"/>
    </row>
    <row r="352" spans="11:16" hidden="1" x14ac:dyDescent="0.45">
      <c r="K352" s="20"/>
      <c r="L352" s="20"/>
      <c r="M352" s="20"/>
      <c r="N352" s="20"/>
      <c r="O352" s="20"/>
      <c r="P352" s="20"/>
    </row>
    <row r="353" spans="11:16" hidden="1" x14ac:dyDescent="0.45">
      <c r="K353" s="20"/>
      <c r="L353" s="20"/>
      <c r="M353" s="20"/>
      <c r="N353" s="20"/>
      <c r="O353" s="20"/>
      <c r="P353" s="20"/>
    </row>
    <row r="354" spans="11:16" hidden="1" x14ac:dyDescent="0.45">
      <c r="K354" s="20"/>
      <c r="L354" s="20"/>
      <c r="M354" s="20"/>
      <c r="N354" s="20"/>
      <c r="O354" s="20"/>
      <c r="P354" s="20"/>
    </row>
    <row r="355" spans="11:16" hidden="1" x14ac:dyDescent="0.45">
      <c r="K355" s="20"/>
      <c r="L355" s="20"/>
      <c r="M355" s="20"/>
      <c r="N355" s="20"/>
      <c r="O355" s="20"/>
      <c r="P355" s="20"/>
    </row>
    <row r="356" spans="11:16" hidden="1" x14ac:dyDescent="0.45">
      <c r="K356" s="20"/>
      <c r="L356" s="20"/>
      <c r="M356" s="20"/>
      <c r="N356" s="20"/>
      <c r="O356" s="20"/>
      <c r="P356" s="20"/>
    </row>
    <row r="357" spans="11:16" hidden="1" x14ac:dyDescent="0.45">
      <c r="K357" s="20"/>
      <c r="L357" s="20"/>
      <c r="M357" s="20"/>
      <c r="N357" s="20"/>
      <c r="O357" s="20"/>
      <c r="P357" s="20"/>
    </row>
    <row r="358" spans="11:16" hidden="1" x14ac:dyDescent="0.45">
      <c r="K358" s="20"/>
      <c r="L358" s="20"/>
      <c r="M358" s="20"/>
      <c r="N358" s="20"/>
      <c r="O358" s="20"/>
      <c r="P358" s="20"/>
    </row>
    <row r="359" spans="11:16" hidden="1" x14ac:dyDescent="0.45">
      <c r="K359" s="20"/>
      <c r="L359" s="20"/>
      <c r="M359" s="20"/>
      <c r="N359" s="20"/>
      <c r="O359" s="20"/>
      <c r="P359" s="20"/>
    </row>
    <row r="360" spans="11:16" hidden="1" x14ac:dyDescent="0.45">
      <c r="K360" s="20"/>
      <c r="L360" s="20"/>
      <c r="M360" s="20"/>
      <c r="N360" s="20"/>
      <c r="O360" s="20"/>
      <c r="P360" s="20"/>
    </row>
    <row r="361" spans="11:16" hidden="1" x14ac:dyDescent="0.45">
      <c r="K361" s="20"/>
      <c r="L361" s="20"/>
      <c r="M361" s="20"/>
      <c r="N361" s="20"/>
      <c r="O361" s="20"/>
      <c r="P361" s="20"/>
    </row>
    <row r="362" spans="11:16" hidden="1" x14ac:dyDescent="0.45">
      <c r="K362" s="20"/>
      <c r="L362" s="20"/>
      <c r="M362" s="20"/>
      <c r="N362" s="20"/>
      <c r="O362" s="20"/>
      <c r="P362" s="20"/>
    </row>
    <row r="363" spans="11:16" hidden="1" x14ac:dyDescent="0.45">
      <c r="K363" s="20"/>
      <c r="L363" s="20"/>
      <c r="M363" s="20"/>
      <c r="N363" s="20"/>
      <c r="O363" s="20"/>
      <c r="P363" s="20"/>
    </row>
    <row r="364" spans="11:16" hidden="1" x14ac:dyDescent="0.45">
      <c r="K364" s="20"/>
      <c r="L364" s="20"/>
      <c r="M364" s="20"/>
      <c r="N364" s="20"/>
      <c r="O364" s="20"/>
      <c r="P364" s="20"/>
    </row>
    <row r="365" spans="11:16" hidden="1" x14ac:dyDescent="0.45">
      <c r="K365" s="20"/>
      <c r="L365" s="20"/>
      <c r="M365" s="20"/>
      <c r="N365" s="20"/>
      <c r="O365" s="20"/>
      <c r="P365" s="20"/>
    </row>
    <row r="366" spans="11:16" hidden="1" x14ac:dyDescent="0.45">
      <c r="K366" s="20"/>
      <c r="L366" s="20"/>
      <c r="M366" s="20"/>
      <c r="N366" s="20"/>
      <c r="O366" s="20"/>
      <c r="P366" s="20"/>
    </row>
    <row r="367" spans="11:16" hidden="1" x14ac:dyDescent="0.45">
      <c r="K367" s="20"/>
      <c r="L367" s="20"/>
      <c r="M367" s="20"/>
      <c r="N367" s="20"/>
      <c r="O367" s="20"/>
      <c r="P367" s="20"/>
    </row>
    <row r="368" spans="11:16" hidden="1" x14ac:dyDescent="0.45">
      <c r="K368" s="20"/>
      <c r="L368" s="20"/>
      <c r="M368" s="20"/>
      <c r="N368" s="20"/>
      <c r="O368" s="20"/>
      <c r="P368" s="20"/>
    </row>
    <row r="369" spans="11:16" hidden="1" x14ac:dyDescent="0.45">
      <c r="K369" s="20"/>
      <c r="L369" s="20"/>
      <c r="M369" s="20"/>
      <c r="N369" s="20"/>
      <c r="O369" s="20"/>
      <c r="P369" s="20"/>
    </row>
    <row r="370" spans="11:16" hidden="1" x14ac:dyDescent="0.45">
      <c r="K370" s="20"/>
      <c r="L370" s="20"/>
      <c r="M370" s="20"/>
      <c r="N370" s="20"/>
      <c r="O370" s="20"/>
      <c r="P370" s="20"/>
    </row>
    <row r="371" spans="11:16" hidden="1" x14ac:dyDescent="0.45">
      <c r="K371" s="20"/>
      <c r="L371" s="20"/>
      <c r="M371" s="20"/>
      <c r="N371" s="20"/>
      <c r="O371" s="20"/>
      <c r="P371" s="20"/>
    </row>
    <row r="372" spans="11:16" hidden="1" x14ac:dyDescent="0.45">
      <c r="K372" s="20"/>
      <c r="L372" s="20"/>
      <c r="M372" s="20"/>
      <c r="N372" s="20"/>
      <c r="O372" s="20"/>
      <c r="P372" s="20"/>
    </row>
    <row r="373" spans="11:16" hidden="1" x14ac:dyDescent="0.45">
      <c r="K373" s="20"/>
      <c r="L373" s="20"/>
      <c r="M373" s="20"/>
      <c r="N373" s="20"/>
      <c r="O373" s="20"/>
      <c r="P373" s="20"/>
    </row>
    <row r="374" spans="11:16" hidden="1" x14ac:dyDescent="0.45">
      <c r="K374" s="20"/>
      <c r="L374" s="20"/>
      <c r="M374" s="20"/>
      <c r="N374" s="20"/>
      <c r="O374" s="20"/>
      <c r="P374" s="20"/>
    </row>
    <row r="375" spans="11:16" hidden="1" x14ac:dyDescent="0.45">
      <c r="K375" s="20"/>
      <c r="L375" s="20"/>
      <c r="M375" s="20"/>
      <c r="N375" s="20"/>
      <c r="O375" s="20"/>
      <c r="P375" s="20"/>
    </row>
    <row r="376" spans="11:16" hidden="1" x14ac:dyDescent="0.45">
      <c r="K376" s="20"/>
      <c r="L376" s="20"/>
      <c r="M376" s="20"/>
      <c r="N376" s="20"/>
      <c r="O376" s="20"/>
      <c r="P376" s="20"/>
    </row>
    <row r="377" spans="11:16" hidden="1" x14ac:dyDescent="0.45">
      <c r="K377" s="20"/>
      <c r="L377" s="20"/>
      <c r="M377" s="20"/>
      <c r="N377" s="20"/>
      <c r="O377" s="20"/>
      <c r="P377" s="20"/>
    </row>
    <row r="378" spans="11:16" hidden="1" x14ac:dyDescent="0.45">
      <c r="K378" s="20"/>
      <c r="L378" s="20"/>
      <c r="M378" s="20"/>
      <c r="N378" s="20"/>
      <c r="O378" s="20"/>
      <c r="P378" s="20"/>
    </row>
    <row r="379" spans="11:16" hidden="1" x14ac:dyDescent="0.45">
      <c r="K379" s="20"/>
      <c r="L379" s="20"/>
      <c r="M379" s="20"/>
      <c r="N379" s="20"/>
      <c r="O379" s="20"/>
      <c r="P379" s="20"/>
    </row>
    <row r="380" spans="11:16" hidden="1" x14ac:dyDescent="0.45">
      <c r="K380" s="20"/>
      <c r="L380" s="20"/>
      <c r="M380" s="20"/>
      <c r="N380" s="20"/>
      <c r="O380" s="20"/>
      <c r="P380" s="20"/>
    </row>
    <row r="381" spans="11:16" hidden="1" x14ac:dyDescent="0.45">
      <c r="K381" s="20"/>
      <c r="L381" s="20"/>
      <c r="M381" s="20"/>
      <c r="N381" s="20"/>
      <c r="O381" s="20"/>
      <c r="P381" s="20"/>
    </row>
    <row r="382" spans="11:16" hidden="1" x14ac:dyDescent="0.45">
      <c r="K382" s="20"/>
      <c r="L382" s="20"/>
      <c r="M382" s="20"/>
      <c r="N382" s="20"/>
      <c r="O382" s="20"/>
      <c r="P382" s="20"/>
    </row>
    <row r="383" spans="11:16" hidden="1" x14ac:dyDescent="0.45">
      <c r="K383" s="20"/>
      <c r="L383" s="20"/>
      <c r="M383" s="20"/>
      <c r="N383" s="20"/>
      <c r="O383" s="20"/>
      <c r="P383" s="20"/>
    </row>
    <row r="384" spans="11:16" hidden="1" x14ac:dyDescent="0.45">
      <c r="K384" s="20"/>
      <c r="L384" s="20"/>
      <c r="M384" s="20"/>
      <c r="N384" s="20"/>
      <c r="O384" s="20"/>
      <c r="P384" s="20"/>
    </row>
    <row r="385" spans="11:16" hidden="1" x14ac:dyDescent="0.45">
      <c r="K385" s="20"/>
      <c r="L385" s="20"/>
      <c r="M385" s="20"/>
      <c r="N385" s="20"/>
      <c r="O385" s="20"/>
      <c r="P385" s="20"/>
    </row>
    <row r="386" spans="11:16" hidden="1" x14ac:dyDescent="0.45">
      <c r="K386" s="20"/>
      <c r="L386" s="20"/>
      <c r="M386" s="20"/>
      <c r="N386" s="20"/>
      <c r="O386" s="20"/>
      <c r="P386" s="20"/>
    </row>
    <row r="387" spans="11:16" hidden="1" x14ac:dyDescent="0.45">
      <c r="K387" s="20"/>
      <c r="L387" s="20"/>
      <c r="M387" s="20"/>
      <c r="N387" s="20"/>
      <c r="O387" s="20"/>
      <c r="P387" s="20"/>
    </row>
    <row r="388" spans="11:16" hidden="1" x14ac:dyDescent="0.45">
      <c r="K388" s="20"/>
      <c r="L388" s="20"/>
      <c r="M388" s="20"/>
      <c r="N388" s="20"/>
      <c r="O388" s="20"/>
      <c r="P388" s="20"/>
    </row>
    <row r="389" spans="11:16" hidden="1" x14ac:dyDescent="0.45">
      <c r="K389" s="20"/>
      <c r="L389" s="20"/>
      <c r="M389" s="20"/>
      <c r="N389" s="20"/>
      <c r="O389" s="20"/>
      <c r="P389" s="20"/>
    </row>
    <row r="390" spans="11:16" hidden="1" x14ac:dyDescent="0.45">
      <c r="K390" s="20"/>
      <c r="L390" s="20"/>
      <c r="M390" s="20"/>
      <c r="N390" s="20"/>
      <c r="O390" s="20"/>
      <c r="P390" s="20"/>
    </row>
    <row r="391" spans="11:16" hidden="1" x14ac:dyDescent="0.45">
      <c r="K391" s="20"/>
      <c r="L391" s="20"/>
      <c r="M391" s="20"/>
      <c r="N391" s="20"/>
      <c r="O391" s="20"/>
      <c r="P391" s="20"/>
    </row>
    <row r="392" spans="11:16" hidden="1" x14ac:dyDescent="0.45">
      <c r="K392" s="20"/>
      <c r="L392" s="20"/>
      <c r="M392" s="20"/>
      <c r="N392" s="20"/>
      <c r="O392" s="20"/>
      <c r="P392" s="20"/>
    </row>
    <row r="393" spans="11:16" hidden="1" x14ac:dyDescent="0.45">
      <c r="K393" s="20"/>
      <c r="L393" s="20"/>
      <c r="M393" s="20"/>
      <c r="N393" s="20"/>
      <c r="O393" s="20"/>
      <c r="P393" s="20"/>
    </row>
    <row r="394" spans="11:16" hidden="1" x14ac:dyDescent="0.45">
      <c r="K394" s="20"/>
      <c r="L394" s="20"/>
      <c r="M394" s="20"/>
      <c r="N394" s="20"/>
      <c r="O394" s="20"/>
      <c r="P394" s="20"/>
    </row>
    <row r="395" spans="11:16" hidden="1" x14ac:dyDescent="0.45">
      <c r="K395" s="20"/>
      <c r="L395" s="20"/>
      <c r="M395" s="20"/>
      <c r="N395" s="20"/>
      <c r="O395" s="20"/>
      <c r="P395" s="20"/>
    </row>
    <row r="396" spans="11:16" hidden="1" x14ac:dyDescent="0.45">
      <c r="K396" s="20"/>
      <c r="L396" s="20"/>
      <c r="M396" s="20"/>
      <c r="N396" s="20"/>
      <c r="O396" s="20"/>
      <c r="P396" s="20"/>
    </row>
    <row r="397" spans="11:16" hidden="1" x14ac:dyDescent="0.45">
      <c r="K397" s="20"/>
      <c r="L397" s="20"/>
      <c r="M397" s="20"/>
      <c r="N397" s="20"/>
      <c r="O397" s="20"/>
      <c r="P397" s="20"/>
    </row>
    <row r="398" spans="11:16" hidden="1" x14ac:dyDescent="0.45">
      <c r="K398" s="20"/>
      <c r="L398" s="20"/>
      <c r="M398" s="20"/>
      <c r="N398" s="20"/>
      <c r="O398" s="20"/>
      <c r="P398" s="20"/>
    </row>
    <row r="399" spans="11:16" hidden="1" x14ac:dyDescent="0.45">
      <c r="K399" s="20"/>
      <c r="L399" s="20"/>
      <c r="M399" s="20"/>
      <c r="N399" s="20"/>
      <c r="O399" s="20"/>
      <c r="P399" s="20"/>
    </row>
    <row r="400" spans="11:16" hidden="1" x14ac:dyDescent="0.45">
      <c r="K400" s="20"/>
      <c r="L400" s="20"/>
      <c r="M400" s="20"/>
      <c r="N400" s="20"/>
      <c r="O400" s="20"/>
      <c r="P400" s="20"/>
    </row>
    <row r="401" spans="11:16" hidden="1" x14ac:dyDescent="0.45">
      <c r="K401" s="20"/>
      <c r="L401" s="20"/>
      <c r="M401" s="20"/>
      <c r="N401" s="20"/>
      <c r="O401" s="20"/>
      <c r="P401" s="20"/>
    </row>
    <row r="402" spans="11:16" hidden="1" x14ac:dyDescent="0.45">
      <c r="K402" s="20"/>
      <c r="L402" s="20"/>
      <c r="M402" s="20"/>
      <c r="N402" s="20"/>
      <c r="O402" s="20"/>
      <c r="P402" s="20"/>
    </row>
    <row r="403" spans="11:16" hidden="1" x14ac:dyDescent="0.45">
      <c r="K403" s="20"/>
      <c r="L403" s="20"/>
      <c r="M403" s="20"/>
      <c r="N403" s="20"/>
      <c r="O403" s="20"/>
      <c r="P403" s="20"/>
    </row>
    <row r="404" spans="11:16" hidden="1" x14ac:dyDescent="0.45">
      <c r="K404" s="20"/>
      <c r="L404" s="20"/>
      <c r="M404" s="20"/>
      <c r="N404" s="20"/>
      <c r="O404" s="20"/>
      <c r="P404" s="20"/>
    </row>
    <row r="405" spans="11:16" hidden="1" x14ac:dyDescent="0.45">
      <c r="K405" s="20"/>
      <c r="L405" s="20"/>
      <c r="M405" s="20"/>
      <c r="N405" s="20"/>
      <c r="O405" s="20"/>
      <c r="P405" s="20"/>
    </row>
    <row r="406" spans="11:16" hidden="1" x14ac:dyDescent="0.45">
      <c r="K406" s="20"/>
      <c r="L406" s="20"/>
      <c r="M406" s="20"/>
      <c r="N406" s="20"/>
      <c r="O406" s="20"/>
      <c r="P406" s="20"/>
    </row>
    <row r="407" spans="11:16" hidden="1" x14ac:dyDescent="0.45">
      <c r="K407" s="20"/>
      <c r="L407" s="20"/>
      <c r="M407" s="20"/>
      <c r="N407" s="20"/>
      <c r="O407" s="20"/>
      <c r="P407" s="20"/>
    </row>
    <row r="408" spans="11:16" hidden="1" x14ac:dyDescent="0.45">
      <c r="K408" s="20"/>
      <c r="L408" s="20"/>
      <c r="M408" s="20"/>
      <c r="N408" s="20"/>
      <c r="O408" s="20"/>
      <c r="P408" s="20"/>
    </row>
    <row r="409" spans="11:16" hidden="1" x14ac:dyDescent="0.45">
      <c r="K409" s="20"/>
      <c r="L409" s="20"/>
      <c r="M409" s="20"/>
      <c r="N409" s="20"/>
      <c r="O409" s="20"/>
      <c r="P409" s="20"/>
    </row>
    <row r="410" spans="11:16" hidden="1" x14ac:dyDescent="0.45">
      <c r="K410" s="20"/>
      <c r="L410" s="20"/>
      <c r="M410" s="20"/>
      <c r="N410" s="20"/>
      <c r="O410" s="20"/>
      <c r="P410" s="20"/>
    </row>
    <row r="411" spans="11:16" hidden="1" x14ac:dyDescent="0.45">
      <c r="K411" s="20"/>
      <c r="L411" s="20"/>
      <c r="M411" s="20"/>
      <c r="N411" s="20"/>
      <c r="O411" s="20"/>
      <c r="P411" s="20"/>
    </row>
    <row r="412" spans="11:16" hidden="1" x14ac:dyDescent="0.45">
      <c r="K412" s="20"/>
      <c r="L412" s="20"/>
      <c r="M412" s="20"/>
      <c r="N412" s="20"/>
      <c r="O412" s="20"/>
      <c r="P412" s="20"/>
    </row>
    <row r="413" spans="11:16" hidden="1" x14ac:dyDescent="0.45">
      <c r="K413" s="20"/>
      <c r="L413" s="20"/>
      <c r="M413" s="20"/>
      <c r="N413" s="20"/>
      <c r="O413" s="20"/>
      <c r="P413" s="20"/>
    </row>
    <row r="414" spans="11:16" hidden="1" x14ac:dyDescent="0.45">
      <c r="K414" s="20"/>
      <c r="L414" s="20"/>
      <c r="M414" s="20"/>
      <c r="N414" s="20"/>
      <c r="O414" s="20"/>
      <c r="P414" s="20"/>
    </row>
    <row r="415" spans="11:16" hidden="1" x14ac:dyDescent="0.45">
      <c r="K415" s="20"/>
      <c r="L415" s="20"/>
      <c r="M415" s="20"/>
      <c r="N415" s="20"/>
      <c r="O415" s="20"/>
      <c r="P415" s="20"/>
    </row>
    <row r="416" spans="11:16" hidden="1" x14ac:dyDescent="0.45">
      <c r="K416" s="20"/>
      <c r="L416" s="20"/>
      <c r="M416" s="20"/>
      <c r="N416" s="20"/>
      <c r="O416" s="20"/>
      <c r="P416" s="20"/>
    </row>
    <row r="417" spans="11:16" hidden="1" x14ac:dyDescent="0.45">
      <c r="K417" s="20"/>
      <c r="L417" s="20"/>
      <c r="M417" s="20"/>
      <c r="N417" s="20"/>
      <c r="O417" s="20"/>
      <c r="P417" s="20"/>
    </row>
    <row r="418" spans="11:16" hidden="1" x14ac:dyDescent="0.45">
      <c r="K418" s="20"/>
      <c r="L418" s="20"/>
      <c r="M418" s="20"/>
      <c r="N418" s="20"/>
      <c r="O418" s="20"/>
      <c r="P418" s="20"/>
    </row>
    <row r="419" spans="11:16" hidden="1" x14ac:dyDescent="0.45">
      <c r="K419" s="20"/>
      <c r="L419" s="20"/>
      <c r="M419" s="20"/>
      <c r="N419" s="20"/>
      <c r="O419" s="20"/>
      <c r="P419" s="20"/>
    </row>
    <row r="420" spans="11:16" hidden="1" x14ac:dyDescent="0.45">
      <c r="K420" s="20"/>
      <c r="L420" s="20"/>
      <c r="M420" s="20"/>
      <c r="N420" s="20"/>
      <c r="O420" s="20"/>
      <c r="P420" s="20"/>
    </row>
    <row r="421" spans="11:16" hidden="1" x14ac:dyDescent="0.45">
      <c r="K421" s="20"/>
      <c r="L421" s="20"/>
      <c r="M421" s="20"/>
      <c r="N421" s="20"/>
      <c r="O421" s="20"/>
      <c r="P421" s="20"/>
    </row>
    <row r="422" spans="11:16" hidden="1" x14ac:dyDescent="0.45">
      <c r="K422" s="20"/>
      <c r="L422" s="20"/>
      <c r="M422" s="20"/>
      <c r="N422" s="20"/>
      <c r="O422" s="20"/>
      <c r="P422" s="20"/>
    </row>
    <row r="423" spans="11:16" hidden="1" x14ac:dyDescent="0.45">
      <c r="K423" s="20"/>
      <c r="L423" s="20"/>
      <c r="M423" s="20"/>
      <c r="N423" s="20"/>
      <c r="O423" s="20"/>
      <c r="P423" s="20"/>
    </row>
    <row r="424" spans="11:16" hidden="1" x14ac:dyDescent="0.45">
      <c r="K424" s="20"/>
      <c r="L424" s="20"/>
      <c r="M424" s="20"/>
      <c r="N424" s="20"/>
      <c r="O424" s="20"/>
      <c r="P424" s="20"/>
    </row>
    <row r="425" spans="11:16" hidden="1" x14ac:dyDescent="0.45">
      <c r="K425" s="20"/>
      <c r="L425" s="20"/>
      <c r="M425" s="20"/>
      <c r="N425" s="20"/>
      <c r="O425" s="20"/>
      <c r="P425" s="20"/>
    </row>
    <row r="426" spans="11:16" hidden="1" x14ac:dyDescent="0.45">
      <c r="K426" s="20"/>
      <c r="L426" s="20"/>
      <c r="M426" s="20"/>
      <c r="N426" s="20"/>
      <c r="O426" s="20"/>
      <c r="P426" s="20"/>
    </row>
    <row r="427" spans="11:16" hidden="1" x14ac:dyDescent="0.45">
      <c r="K427" s="20"/>
      <c r="L427" s="20"/>
      <c r="M427" s="20"/>
      <c r="N427" s="20"/>
      <c r="O427" s="20"/>
      <c r="P427" s="20"/>
    </row>
    <row r="428" spans="11:16" hidden="1" x14ac:dyDescent="0.45">
      <c r="K428" s="20"/>
      <c r="L428" s="20"/>
      <c r="M428" s="20"/>
      <c r="N428" s="20"/>
      <c r="O428" s="20"/>
      <c r="P428" s="20"/>
    </row>
    <row r="429" spans="11:16" hidden="1" x14ac:dyDescent="0.45">
      <c r="K429" s="20"/>
      <c r="L429" s="20"/>
      <c r="M429" s="20"/>
      <c r="N429" s="20"/>
      <c r="O429" s="20"/>
      <c r="P429" s="20"/>
    </row>
    <row r="430" spans="11:16" hidden="1" x14ac:dyDescent="0.45">
      <c r="K430" s="20"/>
      <c r="L430" s="20"/>
      <c r="M430" s="20"/>
      <c r="N430" s="20"/>
      <c r="O430" s="20"/>
      <c r="P430" s="20"/>
    </row>
    <row r="431" spans="11:16" hidden="1" x14ac:dyDescent="0.45">
      <c r="K431" s="20"/>
      <c r="L431" s="20"/>
      <c r="M431" s="20"/>
      <c r="N431" s="20"/>
      <c r="O431" s="20"/>
      <c r="P431" s="20"/>
    </row>
    <row r="432" spans="11:16" hidden="1" x14ac:dyDescent="0.45">
      <c r="K432" s="20"/>
      <c r="L432" s="20"/>
      <c r="M432" s="20"/>
      <c r="N432" s="20"/>
      <c r="O432" s="20"/>
      <c r="P432" s="20"/>
    </row>
    <row r="433" spans="11:16" hidden="1" x14ac:dyDescent="0.45">
      <c r="K433" s="20"/>
      <c r="L433" s="20"/>
      <c r="M433" s="20"/>
      <c r="N433" s="20"/>
      <c r="O433" s="20"/>
      <c r="P433" s="20"/>
    </row>
    <row r="434" spans="11:16" hidden="1" x14ac:dyDescent="0.45">
      <c r="K434" s="20"/>
      <c r="L434" s="20"/>
      <c r="M434" s="20"/>
      <c r="N434" s="20"/>
      <c r="O434" s="20"/>
      <c r="P434" s="20"/>
    </row>
    <row r="435" spans="11:16" hidden="1" x14ac:dyDescent="0.45">
      <c r="K435" s="20"/>
      <c r="L435" s="20"/>
      <c r="M435" s="20"/>
      <c r="N435" s="20"/>
      <c r="O435" s="20"/>
      <c r="P435" s="20"/>
    </row>
    <row r="436" spans="11:16" hidden="1" x14ac:dyDescent="0.45">
      <c r="K436" s="20"/>
      <c r="L436" s="20"/>
      <c r="M436" s="20"/>
      <c r="N436" s="20"/>
      <c r="O436" s="20"/>
      <c r="P436" s="20"/>
    </row>
    <row r="437" spans="11:16" hidden="1" x14ac:dyDescent="0.45">
      <c r="K437" s="20"/>
      <c r="L437" s="20"/>
      <c r="M437" s="20"/>
      <c r="N437" s="20"/>
      <c r="O437" s="20"/>
      <c r="P437" s="20"/>
    </row>
    <row r="438" spans="11:16" hidden="1" x14ac:dyDescent="0.45">
      <c r="K438" s="20"/>
      <c r="L438" s="20"/>
      <c r="M438" s="20"/>
      <c r="N438" s="20"/>
      <c r="O438" s="20"/>
      <c r="P438" s="20"/>
    </row>
    <row r="439" spans="11:16" hidden="1" x14ac:dyDescent="0.45">
      <c r="K439" s="20"/>
      <c r="L439" s="20"/>
      <c r="M439" s="20"/>
      <c r="N439" s="20"/>
      <c r="O439" s="20"/>
      <c r="P439" s="20"/>
    </row>
    <row r="440" spans="11:16" hidden="1" x14ac:dyDescent="0.45">
      <c r="K440" s="20"/>
      <c r="L440" s="20"/>
      <c r="M440" s="20"/>
      <c r="N440" s="20"/>
      <c r="O440" s="20"/>
      <c r="P440" s="20"/>
    </row>
    <row r="441" spans="11:16" hidden="1" x14ac:dyDescent="0.45">
      <c r="K441" s="20"/>
      <c r="L441" s="20"/>
      <c r="M441" s="20"/>
      <c r="N441" s="20"/>
      <c r="O441" s="20"/>
      <c r="P441" s="20"/>
    </row>
    <row r="442" spans="11:16" hidden="1" x14ac:dyDescent="0.45">
      <c r="K442" s="20"/>
      <c r="L442" s="20"/>
      <c r="M442" s="20"/>
      <c r="N442" s="20"/>
      <c r="O442" s="20"/>
      <c r="P442" s="20"/>
    </row>
    <row r="443" spans="11:16" hidden="1" x14ac:dyDescent="0.45">
      <c r="K443" s="20"/>
      <c r="L443" s="20"/>
      <c r="M443" s="20"/>
      <c r="N443" s="20"/>
      <c r="O443" s="20"/>
      <c r="P443" s="20"/>
    </row>
    <row r="444" spans="11:16" hidden="1" x14ac:dyDescent="0.45">
      <c r="K444" s="20"/>
      <c r="L444" s="20"/>
      <c r="M444" s="20"/>
      <c r="N444" s="20"/>
      <c r="O444" s="20"/>
      <c r="P444" s="20"/>
    </row>
    <row r="445" spans="11:16" hidden="1" x14ac:dyDescent="0.45">
      <c r="K445" s="20"/>
      <c r="L445" s="20"/>
      <c r="M445" s="20"/>
      <c r="N445" s="20"/>
      <c r="O445" s="20"/>
      <c r="P445" s="20"/>
    </row>
    <row r="446" spans="11:16" hidden="1" x14ac:dyDescent="0.45">
      <c r="K446" s="20"/>
      <c r="L446" s="20"/>
      <c r="M446" s="20"/>
      <c r="N446" s="20"/>
      <c r="O446" s="20"/>
      <c r="P446" s="20"/>
    </row>
    <row r="447" spans="11:16" hidden="1" x14ac:dyDescent="0.45">
      <c r="K447" s="20"/>
      <c r="L447" s="20"/>
      <c r="M447" s="20"/>
      <c r="N447" s="20"/>
      <c r="O447" s="20"/>
      <c r="P447" s="20"/>
    </row>
  </sheetData>
  <mergeCells count="26">
    <mergeCell ref="A1:P1"/>
    <mergeCell ref="D21:G21"/>
    <mergeCell ref="B4:G4"/>
    <mergeCell ref="D27:G27"/>
    <mergeCell ref="C16:O16"/>
    <mergeCell ref="L19:N19"/>
    <mergeCell ref="B19:B28"/>
    <mergeCell ref="D28:G28"/>
    <mergeCell ref="A2:P2"/>
    <mergeCell ref="M28:O28"/>
    <mergeCell ref="D23:G23"/>
    <mergeCell ref="J18:J20"/>
    <mergeCell ref="C13:O13"/>
    <mergeCell ref="D26:G26"/>
    <mergeCell ref="D20:G20"/>
    <mergeCell ref="D19:G19"/>
    <mergeCell ref="C15:O15"/>
    <mergeCell ref="D22:G22"/>
    <mergeCell ref="C14:O14"/>
    <mergeCell ref="J28:L28"/>
    <mergeCell ref="D18:G18"/>
    <mergeCell ref="L18:N18"/>
    <mergeCell ref="J27:O27"/>
    <mergeCell ref="D25:G25"/>
    <mergeCell ref="D24:G24"/>
    <mergeCell ref="L20:N20"/>
  </mergeCells>
  <conditionalFormatting sqref="D19:D28">
    <cfRule type="expression" dxfId="1" priority="2">
      <formula>ISBLANK(D19)</formula>
    </cfRule>
  </conditionalFormatting>
  <printOptions horizontalCentered="1"/>
  <pageMargins left="0.70866141732283472" right="0.70866141732283472" top="0.74803149606299213" bottom="0.74803149606299213" header="0.31496062992125978" footer="0.31496062992125978"/>
  <pageSetup paperSize="9" scale="83" orientation="landscape" blackAndWhite="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L31"/>
  <sheetViews>
    <sheetView rightToLeft="1" workbookViewId="0"/>
  </sheetViews>
  <sheetFormatPr defaultColWidth="9" defaultRowHeight="14.25" x14ac:dyDescent="0.45"/>
  <cols>
    <col min="1" max="1" width="9" customWidth="1"/>
    <col min="2" max="2" width="18.1328125" customWidth="1"/>
    <col min="3" max="3" width="9" customWidth="1"/>
  </cols>
  <sheetData>
    <row r="1" spans="1:12" ht="16.5" x14ac:dyDescent="0.45">
      <c r="C1" s="407" t="s">
        <v>173</v>
      </c>
      <c r="D1" s="301"/>
      <c r="E1" s="301"/>
      <c r="F1" s="301"/>
      <c r="G1" s="301"/>
      <c r="H1" s="301"/>
      <c r="I1" s="301"/>
      <c r="J1" s="301"/>
    </row>
    <row r="2" spans="1:12" ht="63" customHeight="1" x14ac:dyDescent="0.45">
      <c r="C2" s="139" t="s">
        <v>88</v>
      </c>
      <c r="D2" s="139" t="s">
        <v>89</v>
      </c>
      <c r="E2" s="139" t="s">
        <v>90</v>
      </c>
      <c r="F2" s="140" t="s">
        <v>91</v>
      </c>
      <c r="G2" s="139" t="s">
        <v>92</v>
      </c>
      <c r="H2" s="139" t="s">
        <v>93</v>
      </c>
      <c r="I2" s="139" t="s">
        <v>94</v>
      </c>
      <c r="J2" s="139" t="s">
        <v>95</v>
      </c>
    </row>
    <row r="3" spans="1:12" ht="16.5" x14ac:dyDescent="0.45">
      <c r="A3" s="105">
        <v>1</v>
      </c>
      <c r="B3" s="141" t="s">
        <v>5</v>
      </c>
      <c r="C3" s="142">
        <v>0.05</v>
      </c>
      <c r="D3" s="142">
        <v>0.05</v>
      </c>
      <c r="E3" s="142">
        <v>0.05</v>
      </c>
      <c r="F3" s="142">
        <v>0.05</v>
      </c>
      <c r="G3" s="142">
        <v>0.05</v>
      </c>
      <c r="H3" s="142">
        <v>0.05</v>
      </c>
      <c r="I3" s="142">
        <v>0.05</v>
      </c>
      <c r="J3" s="142">
        <v>0.05</v>
      </c>
      <c r="K3" s="102">
        <f t="shared" ref="K3:K30" si="0">SUM(C3:J3)</f>
        <v>0.39999999999999997</v>
      </c>
      <c r="L3" s="102">
        <f t="shared" ref="L3:L30" si="1">K3/8</f>
        <v>4.9999999999999996E-2</v>
      </c>
    </row>
    <row r="4" spans="1:12" ht="16.5" x14ac:dyDescent="0.45">
      <c r="A4" s="105">
        <v>2</v>
      </c>
      <c r="B4" s="141" t="s">
        <v>174</v>
      </c>
      <c r="C4" s="142">
        <v>0.7</v>
      </c>
      <c r="D4" s="142">
        <v>0.14000000000000001</v>
      </c>
      <c r="E4" s="143">
        <v>0</v>
      </c>
      <c r="F4" s="143">
        <v>0</v>
      </c>
      <c r="G4" s="142">
        <v>0.15</v>
      </c>
      <c r="H4" s="143">
        <v>0</v>
      </c>
      <c r="I4" s="142">
        <v>0.12</v>
      </c>
      <c r="J4" s="142">
        <v>7.0000000000000007E-2</v>
      </c>
      <c r="K4" s="144">
        <f t="shared" si="0"/>
        <v>1.18</v>
      </c>
      <c r="L4" s="102">
        <f t="shared" si="1"/>
        <v>0.14749999999999999</v>
      </c>
    </row>
    <row r="5" spans="1:12" ht="16.5" x14ac:dyDescent="0.45">
      <c r="A5" s="105">
        <v>3</v>
      </c>
      <c r="B5" s="141" t="s">
        <v>175</v>
      </c>
      <c r="C5" s="142">
        <v>0.2</v>
      </c>
      <c r="D5" s="142">
        <v>0.7</v>
      </c>
      <c r="E5" s="142">
        <v>0.7</v>
      </c>
      <c r="F5" s="142">
        <v>0.02</v>
      </c>
      <c r="G5" s="142">
        <v>0.1</v>
      </c>
      <c r="H5" s="143">
        <v>0</v>
      </c>
      <c r="I5" s="142">
        <v>0.1</v>
      </c>
      <c r="J5" s="143">
        <v>0</v>
      </c>
      <c r="K5" s="144">
        <f t="shared" si="0"/>
        <v>1.82</v>
      </c>
      <c r="L5" s="102">
        <f t="shared" si="1"/>
        <v>0.22750000000000001</v>
      </c>
    </row>
    <row r="6" spans="1:12" ht="16.5" x14ac:dyDescent="0.45">
      <c r="A6" s="105">
        <v>4</v>
      </c>
      <c r="B6" s="141" t="s">
        <v>176</v>
      </c>
      <c r="C6" s="143">
        <v>0</v>
      </c>
      <c r="D6" s="143">
        <v>0</v>
      </c>
      <c r="E6" s="142">
        <v>0.03</v>
      </c>
      <c r="F6" s="145">
        <f>CL!G49</f>
        <v>0.17381973351371779</v>
      </c>
      <c r="G6" s="142">
        <v>0.04</v>
      </c>
      <c r="H6" s="142">
        <v>7.0000000000000007E-2</v>
      </c>
      <c r="I6" s="142">
        <v>0.06</v>
      </c>
      <c r="J6" s="143">
        <v>0</v>
      </c>
      <c r="K6" s="102">
        <f t="shared" si="0"/>
        <v>0.37381973351371783</v>
      </c>
      <c r="L6" s="102">
        <f t="shared" si="1"/>
        <v>4.6727466689214729E-2</v>
      </c>
    </row>
    <row r="7" spans="1:12" ht="16.5" x14ac:dyDescent="0.45">
      <c r="A7" s="105">
        <v>5</v>
      </c>
      <c r="B7" s="141" t="s">
        <v>177</v>
      </c>
      <c r="C7" s="143">
        <v>0</v>
      </c>
      <c r="D7" s="143">
        <v>0</v>
      </c>
      <c r="E7" s="142">
        <v>0.03</v>
      </c>
      <c r="F7" s="145">
        <f>CL!H49</f>
        <v>0.33565375227718153</v>
      </c>
      <c r="G7" s="142">
        <v>0.1</v>
      </c>
      <c r="H7" s="142">
        <v>0.1</v>
      </c>
      <c r="I7" s="142">
        <v>0.08</v>
      </c>
      <c r="J7" s="143">
        <v>0</v>
      </c>
      <c r="K7" s="102">
        <f t="shared" si="0"/>
        <v>0.64565375227718147</v>
      </c>
      <c r="L7" s="102">
        <f t="shared" si="1"/>
        <v>8.0706719034647684E-2</v>
      </c>
    </row>
    <row r="8" spans="1:12" ht="16.5" x14ac:dyDescent="0.45">
      <c r="A8" s="105">
        <v>6</v>
      </c>
      <c r="B8" s="141" t="s">
        <v>178</v>
      </c>
      <c r="C8" s="143">
        <v>0</v>
      </c>
      <c r="D8" s="143">
        <v>0</v>
      </c>
      <c r="E8" s="143">
        <v>0</v>
      </c>
      <c r="F8" s="145">
        <f>CL!I49</f>
        <v>6.0526514209100789E-2</v>
      </c>
      <c r="G8" s="142">
        <v>0.03</v>
      </c>
      <c r="H8" s="143">
        <v>0</v>
      </c>
      <c r="I8" s="142">
        <v>0.05</v>
      </c>
      <c r="J8" s="143">
        <v>0</v>
      </c>
      <c r="K8" s="102">
        <f t="shared" si="0"/>
        <v>0.14052651420910078</v>
      </c>
      <c r="L8" s="102">
        <f t="shared" si="1"/>
        <v>1.7565814276137598E-2</v>
      </c>
    </row>
    <row r="9" spans="1:12" ht="16.5" x14ac:dyDescent="0.45">
      <c r="A9" s="105">
        <v>7</v>
      </c>
      <c r="B9" s="141" t="s">
        <v>73</v>
      </c>
      <c r="C9" s="143">
        <v>0</v>
      </c>
      <c r="D9" s="143">
        <v>0</v>
      </c>
      <c r="E9" s="143">
        <v>0</v>
      </c>
      <c r="F9" s="143">
        <v>0</v>
      </c>
      <c r="G9" s="142">
        <v>0.15</v>
      </c>
      <c r="H9" s="143">
        <v>0</v>
      </c>
      <c r="I9" s="143">
        <v>0</v>
      </c>
      <c r="J9" s="143">
        <v>0</v>
      </c>
      <c r="K9" s="102">
        <f t="shared" si="0"/>
        <v>0.15</v>
      </c>
      <c r="L9" s="102">
        <f t="shared" si="1"/>
        <v>1.8749999999999999E-2</v>
      </c>
    </row>
    <row r="10" spans="1:12" ht="16.5" x14ac:dyDescent="0.45">
      <c r="A10" s="105">
        <v>8</v>
      </c>
      <c r="B10" s="141" t="s">
        <v>74</v>
      </c>
      <c r="C10" s="143">
        <v>0</v>
      </c>
      <c r="D10" s="143">
        <v>0</v>
      </c>
      <c r="E10" s="142">
        <v>0.02</v>
      </c>
      <c r="F10" s="143">
        <v>0</v>
      </c>
      <c r="G10" s="142">
        <v>0.26</v>
      </c>
      <c r="H10" s="143">
        <v>0</v>
      </c>
      <c r="I10" s="143">
        <v>0</v>
      </c>
      <c r="J10" s="143">
        <v>0</v>
      </c>
      <c r="K10" s="102">
        <f t="shared" si="0"/>
        <v>0.28000000000000003</v>
      </c>
      <c r="L10" s="102">
        <f t="shared" si="1"/>
        <v>3.5000000000000003E-2</v>
      </c>
    </row>
    <row r="11" spans="1:12" ht="16.5" x14ac:dyDescent="0.45">
      <c r="A11" s="105">
        <v>9</v>
      </c>
      <c r="B11" s="141" t="s">
        <v>179</v>
      </c>
      <c r="C11" s="143">
        <v>0</v>
      </c>
      <c r="D11" s="143">
        <v>0</v>
      </c>
      <c r="E11" s="143">
        <v>0</v>
      </c>
      <c r="F11" s="143">
        <v>0</v>
      </c>
      <c r="G11" s="143">
        <v>0</v>
      </c>
      <c r="H11" s="143">
        <v>0</v>
      </c>
      <c r="I11" s="142">
        <v>0.42</v>
      </c>
      <c r="J11" s="143">
        <v>0</v>
      </c>
      <c r="K11" s="102">
        <f t="shared" si="0"/>
        <v>0.42</v>
      </c>
      <c r="L11" s="102">
        <f t="shared" si="1"/>
        <v>5.2499999999999998E-2</v>
      </c>
    </row>
    <row r="12" spans="1:12" ht="16.5" x14ac:dyDescent="0.45">
      <c r="A12" s="105">
        <v>10</v>
      </c>
      <c r="B12" s="141" t="s">
        <v>180</v>
      </c>
      <c r="C12" s="143">
        <v>0</v>
      </c>
      <c r="D12" s="143">
        <v>0</v>
      </c>
      <c r="E12" s="143">
        <v>0</v>
      </c>
      <c r="F12" s="142">
        <v>0.15</v>
      </c>
      <c r="G12" s="143">
        <v>0</v>
      </c>
      <c r="H12" s="143">
        <v>0</v>
      </c>
      <c r="I12" s="142">
        <v>0.02</v>
      </c>
      <c r="J12" s="143">
        <v>0</v>
      </c>
      <c r="K12" s="102">
        <f t="shared" si="0"/>
        <v>0.16999999999999998</v>
      </c>
      <c r="L12" s="102">
        <f t="shared" si="1"/>
        <v>2.1249999999999998E-2</v>
      </c>
    </row>
    <row r="13" spans="1:12" ht="16.5" x14ac:dyDescent="0.45">
      <c r="A13" s="105">
        <v>11</v>
      </c>
      <c r="B13" s="141" t="s">
        <v>181</v>
      </c>
      <c r="C13" s="143">
        <v>0</v>
      </c>
      <c r="D13" s="143">
        <v>0</v>
      </c>
      <c r="E13" s="143">
        <v>0</v>
      </c>
      <c r="F13" s="142">
        <v>0.02</v>
      </c>
      <c r="G13" s="142">
        <v>0.02</v>
      </c>
      <c r="H13" s="142">
        <v>0.02</v>
      </c>
      <c r="I13" s="142">
        <v>0.01</v>
      </c>
      <c r="J13" s="142">
        <v>0.01</v>
      </c>
      <c r="K13" s="102">
        <f t="shared" si="0"/>
        <v>7.9999999999999988E-2</v>
      </c>
      <c r="L13" s="102">
        <f t="shared" si="1"/>
        <v>9.9999999999999985E-3</v>
      </c>
    </row>
    <row r="14" spans="1:12" ht="16.5" x14ac:dyDescent="0.45">
      <c r="A14" s="105">
        <v>12</v>
      </c>
      <c r="B14" s="141" t="s">
        <v>182</v>
      </c>
      <c r="C14" s="143">
        <v>0</v>
      </c>
      <c r="D14" s="143">
        <v>0</v>
      </c>
      <c r="E14" s="143">
        <v>0</v>
      </c>
      <c r="F14" s="143">
        <v>0</v>
      </c>
      <c r="G14" s="143">
        <v>0</v>
      </c>
      <c r="H14" s="142">
        <v>0.05</v>
      </c>
      <c r="I14" s="142">
        <v>0.03</v>
      </c>
      <c r="J14" s="142">
        <v>0.04</v>
      </c>
      <c r="K14" s="102">
        <f t="shared" si="0"/>
        <v>0.12</v>
      </c>
      <c r="L14" s="102">
        <f t="shared" si="1"/>
        <v>1.4999999999999999E-2</v>
      </c>
    </row>
    <row r="15" spans="1:12" ht="16.5" x14ac:dyDescent="0.45">
      <c r="A15" s="105">
        <v>13</v>
      </c>
      <c r="B15" s="141" t="s">
        <v>183</v>
      </c>
      <c r="C15" s="143">
        <v>0</v>
      </c>
      <c r="D15" s="143">
        <v>0</v>
      </c>
      <c r="E15" s="143">
        <v>0</v>
      </c>
      <c r="F15" s="143">
        <v>0</v>
      </c>
      <c r="G15" s="143">
        <v>0</v>
      </c>
      <c r="H15" s="142">
        <v>0.3</v>
      </c>
      <c r="I15" s="143">
        <v>0</v>
      </c>
      <c r="J15" s="142">
        <v>0.25</v>
      </c>
      <c r="K15" s="102">
        <f t="shared" si="0"/>
        <v>0.55000000000000004</v>
      </c>
      <c r="L15" s="102">
        <f t="shared" si="1"/>
        <v>6.8750000000000006E-2</v>
      </c>
    </row>
    <row r="16" spans="1:12" ht="16.5" x14ac:dyDescent="0.45">
      <c r="A16" s="105">
        <v>14</v>
      </c>
      <c r="B16" s="141" t="s">
        <v>184</v>
      </c>
      <c r="C16" s="143">
        <v>0</v>
      </c>
      <c r="D16" s="143">
        <v>0</v>
      </c>
      <c r="E16" s="143">
        <v>0</v>
      </c>
      <c r="F16" s="143">
        <v>0</v>
      </c>
      <c r="G16" s="143">
        <v>0</v>
      </c>
      <c r="H16" s="143">
        <v>0</v>
      </c>
      <c r="I16" s="143">
        <v>0</v>
      </c>
      <c r="J16" s="143">
        <v>0</v>
      </c>
      <c r="K16" s="102">
        <f t="shared" si="0"/>
        <v>0</v>
      </c>
      <c r="L16" s="102">
        <f t="shared" si="1"/>
        <v>0</v>
      </c>
    </row>
    <row r="17" spans="1:12" ht="16.5" x14ac:dyDescent="0.45">
      <c r="A17" s="105">
        <v>15</v>
      </c>
      <c r="B17" s="141" t="s">
        <v>185</v>
      </c>
      <c r="C17" s="143">
        <v>0</v>
      </c>
      <c r="D17" s="143">
        <v>0</v>
      </c>
      <c r="E17" s="143">
        <v>0</v>
      </c>
      <c r="F17" s="143">
        <v>0</v>
      </c>
      <c r="G17" s="143">
        <v>0</v>
      </c>
      <c r="H17" s="143">
        <v>0</v>
      </c>
      <c r="I17" s="143">
        <v>0</v>
      </c>
      <c r="J17" s="142">
        <v>0.05</v>
      </c>
      <c r="K17" s="102">
        <f t="shared" si="0"/>
        <v>0.05</v>
      </c>
      <c r="L17" s="102">
        <f t="shared" si="1"/>
        <v>6.2500000000000003E-3</v>
      </c>
    </row>
    <row r="18" spans="1:12" ht="16.5" x14ac:dyDescent="0.45">
      <c r="A18" s="105">
        <v>16</v>
      </c>
      <c r="B18" s="141" t="s">
        <v>186</v>
      </c>
      <c r="C18" s="143">
        <v>0</v>
      </c>
      <c r="D18" s="143">
        <v>0</v>
      </c>
      <c r="E18" s="143">
        <v>0</v>
      </c>
      <c r="F18" s="143">
        <v>0</v>
      </c>
      <c r="G18" s="143">
        <v>0</v>
      </c>
      <c r="H18" s="142">
        <v>0.3</v>
      </c>
      <c r="I18" s="143">
        <v>0</v>
      </c>
      <c r="J18" s="142">
        <v>0.25</v>
      </c>
      <c r="K18" s="102">
        <f t="shared" si="0"/>
        <v>0.55000000000000004</v>
      </c>
      <c r="L18" s="102">
        <f t="shared" si="1"/>
        <v>6.8750000000000006E-2</v>
      </c>
    </row>
    <row r="19" spans="1:12" ht="16.5" x14ac:dyDescent="0.45">
      <c r="A19" s="105">
        <v>17</v>
      </c>
      <c r="B19" s="141" t="s">
        <v>187</v>
      </c>
      <c r="C19" s="143">
        <v>0</v>
      </c>
      <c r="D19" s="143">
        <v>0</v>
      </c>
      <c r="E19" s="143">
        <v>0</v>
      </c>
      <c r="F19" s="143">
        <v>0</v>
      </c>
      <c r="G19" s="143">
        <v>0</v>
      </c>
      <c r="H19" s="143">
        <v>0</v>
      </c>
      <c r="I19" s="142">
        <v>0.02</v>
      </c>
      <c r="J19" s="142">
        <v>0.25</v>
      </c>
      <c r="K19" s="102">
        <f t="shared" si="0"/>
        <v>0.27</v>
      </c>
      <c r="L19" s="102">
        <f t="shared" si="1"/>
        <v>3.3750000000000002E-2</v>
      </c>
    </row>
    <row r="20" spans="1:12" ht="16.5" x14ac:dyDescent="0.45">
      <c r="A20" s="105">
        <v>18</v>
      </c>
      <c r="B20" s="141" t="s">
        <v>188</v>
      </c>
      <c r="C20" s="143">
        <v>0</v>
      </c>
      <c r="D20" s="143">
        <v>0</v>
      </c>
      <c r="E20" s="143">
        <v>0</v>
      </c>
      <c r="F20" s="143">
        <v>0</v>
      </c>
      <c r="G20" s="143">
        <v>0</v>
      </c>
      <c r="H20" s="143">
        <v>0</v>
      </c>
      <c r="I20" s="143">
        <v>0</v>
      </c>
      <c r="J20" s="143">
        <v>0</v>
      </c>
      <c r="K20" s="102">
        <f t="shared" si="0"/>
        <v>0</v>
      </c>
      <c r="L20" s="102">
        <f t="shared" si="1"/>
        <v>0</v>
      </c>
    </row>
    <row r="21" spans="1:12" ht="16.5" x14ac:dyDescent="0.45">
      <c r="A21" s="105">
        <v>19</v>
      </c>
      <c r="B21" s="141" t="s">
        <v>189</v>
      </c>
      <c r="C21" s="142">
        <v>0.02</v>
      </c>
      <c r="D21" s="142">
        <v>0.02</v>
      </c>
      <c r="E21" s="142">
        <v>0.04</v>
      </c>
      <c r="F21" s="143">
        <v>0</v>
      </c>
      <c r="G21" s="143">
        <v>0</v>
      </c>
      <c r="H21" s="143">
        <v>0</v>
      </c>
      <c r="I21" s="143">
        <v>0</v>
      </c>
      <c r="J21" s="143">
        <v>0</v>
      </c>
      <c r="K21" s="102">
        <f t="shared" si="0"/>
        <v>0.08</v>
      </c>
      <c r="L21" s="102">
        <f t="shared" si="1"/>
        <v>0.01</v>
      </c>
    </row>
    <row r="22" spans="1:12" ht="16.5" x14ac:dyDescent="0.45">
      <c r="A22" s="105">
        <v>20</v>
      </c>
      <c r="B22" s="141" t="s">
        <v>190</v>
      </c>
      <c r="C22" s="143">
        <v>0</v>
      </c>
      <c r="D22" s="143">
        <v>0</v>
      </c>
      <c r="E22" s="143">
        <v>0</v>
      </c>
      <c r="F22" s="143">
        <v>0</v>
      </c>
      <c r="G22" s="143">
        <v>0</v>
      </c>
      <c r="H22" s="142">
        <v>0.05</v>
      </c>
      <c r="I22" s="143">
        <v>0</v>
      </c>
      <c r="J22" s="143">
        <v>0</v>
      </c>
      <c r="K22" s="102">
        <f t="shared" si="0"/>
        <v>0.05</v>
      </c>
      <c r="L22" s="102">
        <f t="shared" si="1"/>
        <v>6.2500000000000003E-3</v>
      </c>
    </row>
    <row r="23" spans="1:12" ht="16.5" x14ac:dyDescent="0.45">
      <c r="A23" s="105">
        <v>21</v>
      </c>
      <c r="B23" s="141" t="s">
        <v>191</v>
      </c>
      <c r="C23" s="143">
        <v>0</v>
      </c>
      <c r="D23" s="143">
        <v>0</v>
      </c>
      <c r="E23" s="143">
        <v>0</v>
      </c>
      <c r="F23" s="143">
        <v>0</v>
      </c>
      <c r="G23" s="143">
        <v>0</v>
      </c>
      <c r="H23" s="143">
        <v>0</v>
      </c>
      <c r="I23" s="143">
        <v>0</v>
      </c>
      <c r="J23" s="143">
        <v>0</v>
      </c>
      <c r="K23" s="102">
        <f t="shared" si="0"/>
        <v>0</v>
      </c>
      <c r="L23" s="102">
        <f t="shared" si="1"/>
        <v>0</v>
      </c>
    </row>
    <row r="24" spans="1:12" ht="16.5" x14ac:dyDescent="0.45">
      <c r="A24" s="105">
        <v>22</v>
      </c>
      <c r="B24" s="141" t="s">
        <v>192</v>
      </c>
      <c r="C24" s="143">
        <v>0</v>
      </c>
      <c r="D24" s="143">
        <v>0</v>
      </c>
      <c r="E24" s="143">
        <v>0</v>
      </c>
      <c r="F24" s="143">
        <v>0</v>
      </c>
      <c r="G24" s="143">
        <v>0</v>
      </c>
      <c r="H24" s="143">
        <v>0</v>
      </c>
      <c r="I24" s="143">
        <v>0</v>
      </c>
      <c r="J24" s="143">
        <v>0</v>
      </c>
      <c r="K24" s="102">
        <f t="shared" si="0"/>
        <v>0</v>
      </c>
      <c r="L24" s="102">
        <f t="shared" si="1"/>
        <v>0</v>
      </c>
    </row>
    <row r="25" spans="1:12" ht="16.5" x14ac:dyDescent="0.45">
      <c r="A25" s="105">
        <v>23</v>
      </c>
      <c r="B25" s="141" t="s">
        <v>78</v>
      </c>
      <c r="C25" s="142">
        <v>0.01</v>
      </c>
      <c r="D25" s="142">
        <v>0.02</v>
      </c>
      <c r="E25" s="142">
        <v>0.03</v>
      </c>
      <c r="F25" s="142">
        <v>0.03</v>
      </c>
      <c r="G25" s="142">
        <v>0.03</v>
      </c>
      <c r="H25" s="142">
        <v>0.02</v>
      </c>
      <c r="I25" s="142">
        <v>0.02</v>
      </c>
      <c r="J25" s="142">
        <v>0.01</v>
      </c>
      <c r="K25" s="102">
        <f t="shared" si="0"/>
        <v>0.16999999999999998</v>
      </c>
      <c r="L25" s="102">
        <f t="shared" si="1"/>
        <v>2.1249999999999998E-2</v>
      </c>
    </row>
    <row r="26" spans="1:12" ht="16.5" x14ac:dyDescent="0.45">
      <c r="A26" s="105">
        <v>24</v>
      </c>
      <c r="B26" s="141" t="s">
        <v>9</v>
      </c>
      <c r="C26" s="142">
        <v>0.02</v>
      </c>
      <c r="D26" s="142">
        <v>0.02</v>
      </c>
      <c r="E26" s="142">
        <v>0.02</v>
      </c>
      <c r="F26" s="142">
        <v>0.02</v>
      </c>
      <c r="G26" s="142">
        <v>0.02</v>
      </c>
      <c r="H26" s="142">
        <v>0.02</v>
      </c>
      <c r="I26" s="142">
        <v>0.02</v>
      </c>
      <c r="J26" s="142">
        <v>0.02</v>
      </c>
      <c r="K26" s="102">
        <f t="shared" si="0"/>
        <v>0.16</v>
      </c>
      <c r="L26" s="102">
        <f t="shared" si="1"/>
        <v>0.02</v>
      </c>
    </row>
    <row r="27" spans="1:12" ht="16.5" x14ac:dyDescent="0.45">
      <c r="A27" s="105">
        <v>25</v>
      </c>
      <c r="B27" s="141" t="s">
        <v>193</v>
      </c>
      <c r="C27" s="143">
        <v>0</v>
      </c>
      <c r="D27" s="142">
        <v>0.01</v>
      </c>
      <c r="E27" s="142">
        <v>0.02</v>
      </c>
      <c r="F27" s="142">
        <v>0.02</v>
      </c>
      <c r="G27" s="142">
        <v>0.01</v>
      </c>
      <c r="H27" s="143">
        <v>0</v>
      </c>
      <c r="I27" s="143">
        <v>0</v>
      </c>
      <c r="J27" s="143">
        <v>0</v>
      </c>
      <c r="K27" s="102">
        <f t="shared" si="0"/>
        <v>6.0000000000000005E-2</v>
      </c>
      <c r="L27" s="102">
        <f t="shared" si="1"/>
        <v>7.5000000000000006E-3</v>
      </c>
    </row>
    <row r="28" spans="1:12" ht="16.5" x14ac:dyDescent="0.45">
      <c r="A28" s="105">
        <v>26</v>
      </c>
      <c r="B28" s="141" t="s">
        <v>194</v>
      </c>
      <c r="C28" s="143">
        <v>0</v>
      </c>
      <c r="D28" s="142">
        <v>0.02</v>
      </c>
      <c r="E28" s="142">
        <v>0.02</v>
      </c>
      <c r="F28" s="142">
        <v>0.03</v>
      </c>
      <c r="G28" s="142">
        <v>0.01</v>
      </c>
      <c r="H28" s="143">
        <v>0</v>
      </c>
      <c r="I28" s="143">
        <v>0</v>
      </c>
      <c r="J28" s="143">
        <v>0</v>
      </c>
      <c r="K28" s="102">
        <f t="shared" si="0"/>
        <v>0.08</v>
      </c>
      <c r="L28" s="102">
        <f t="shared" si="1"/>
        <v>0.01</v>
      </c>
    </row>
    <row r="29" spans="1:12" ht="16.5" x14ac:dyDescent="0.45">
      <c r="A29" s="105">
        <v>27</v>
      </c>
      <c r="B29" s="141" t="s">
        <v>195</v>
      </c>
      <c r="C29" s="143">
        <v>0</v>
      </c>
      <c r="D29" s="142">
        <v>0.02</v>
      </c>
      <c r="E29" s="142">
        <v>0.02</v>
      </c>
      <c r="F29" s="142">
        <v>0.04</v>
      </c>
      <c r="G29" s="142">
        <v>0.01</v>
      </c>
      <c r="H29" s="143">
        <v>0</v>
      </c>
      <c r="I29" s="143">
        <v>0</v>
      </c>
      <c r="J29" s="143">
        <v>0</v>
      </c>
      <c r="K29" s="102">
        <f t="shared" si="0"/>
        <v>0.09</v>
      </c>
      <c r="L29" s="102">
        <f t="shared" si="1"/>
        <v>1.125E-2</v>
      </c>
    </row>
    <row r="30" spans="1:12" ht="16.5" x14ac:dyDescent="0.45">
      <c r="A30" s="105">
        <v>28</v>
      </c>
      <c r="B30" s="141" t="s">
        <v>196</v>
      </c>
      <c r="C30" s="143">
        <v>0</v>
      </c>
      <c r="D30" s="143">
        <v>0</v>
      </c>
      <c r="E30" s="142">
        <v>0.02</v>
      </c>
      <c r="F30" s="142">
        <v>0.05</v>
      </c>
      <c r="G30" s="142">
        <v>0.02</v>
      </c>
      <c r="H30" s="142">
        <v>0.02</v>
      </c>
      <c r="I30" s="143">
        <v>0</v>
      </c>
      <c r="J30" s="143">
        <v>0</v>
      </c>
      <c r="K30" s="102">
        <f t="shared" si="0"/>
        <v>0.11000000000000001</v>
      </c>
      <c r="L30" s="102">
        <f t="shared" si="1"/>
        <v>1.3750000000000002E-2</v>
      </c>
    </row>
    <row r="31" spans="1:12" x14ac:dyDescent="0.45">
      <c r="C31" s="146">
        <f t="shared" ref="C31:L31" si="2">SUM(C3:C30)</f>
        <v>1</v>
      </c>
      <c r="D31" s="146">
        <f t="shared" si="2"/>
        <v>1</v>
      </c>
      <c r="E31" s="146">
        <f t="shared" si="2"/>
        <v>1.0000000000000002</v>
      </c>
      <c r="F31" s="146">
        <f t="shared" si="2"/>
        <v>1.0000000000000002</v>
      </c>
      <c r="G31" s="146">
        <f t="shared" si="2"/>
        <v>1.0000000000000002</v>
      </c>
      <c r="H31" s="146">
        <f t="shared" si="2"/>
        <v>1.0000000000000002</v>
      </c>
      <c r="I31" s="146">
        <f t="shared" si="2"/>
        <v>1</v>
      </c>
      <c r="J31" s="146">
        <f t="shared" si="2"/>
        <v>1</v>
      </c>
      <c r="K31" s="146">
        <f t="shared" si="2"/>
        <v>7.9999999999999991</v>
      </c>
      <c r="L31" s="146">
        <f t="shared" si="2"/>
        <v>0.99999999999999989</v>
      </c>
    </row>
  </sheetData>
  <mergeCells count="1">
    <mergeCell ref="C1:J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3:L164"/>
  <sheetViews>
    <sheetView rightToLeft="1" topLeftCell="A142" workbookViewId="0">
      <selection activeCell="I61" sqref="I61"/>
    </sheetView>
  </sheetViews>
  <sheetFormatPr defaultColWidth="9" defaultRowHeight="14.25" x14ac:dyDescent="0.45"/>
  <cols>
    <col min="1" max="1" width="4.46484375" customWidth="1"/>
    <col min="2" max="2" width="9.86328125" customWidth="1"/>
    <col min="3" max="3" width="39.53125" customWidth="1"/>
    <col min="4" max="12" width="17.46484375" customWidth="1"/>
    <col min="13" max="13" width="9" customWidth="1"/>
  </cols>
  <sheetData>
    <row r="3" spans="1:12" ht="18" customHeight="1" x14ac:dyDescent="0.45">
      <c r="A3" t="s">
        <v>197</v>
      </c>
      <c r="B3" s="104" t="s">
        <v>40</v>
      </c>
      <c r="C3" s="129">
        <f>Profilers!C18</f>
        <v>0</v>
      </c>
      <c r="D3" s="128">
        <f>Profilers!D18</f>
        <v>0</v>
      </c>
      <c r="E3" s="128">
        <f>Profilers!E18</f>
        <v>0</v>
      </c>
      <c r="F3" s="128">
        <f>Profilers!F18</f>
        <v>0</v>
      </c>
      <c r="G3" s="128">
        <f>Profilers!G18</f>
        <v>0</v>
      </c>
      <c r="H3" s="128">
        <f>Profilers!H18</f>
        <v>0</v>
      </c>
      <c r="I3" s="128">
        <f>Profilers!I18</f>
        <v>0</v>
      </c>
      <c r="J3" s="128">
        <f>Profilers!J18</f>
        <v>0</v>
      </c>
      <c r="K3" s="128">
        <f>Profilers!K18</f>
        <v>0</v>
      </c>
    </row>
    <row r="4" spans="1:12" ht="18" customHeight="1" x14ac:dyDescent="0.45">
      <c r="A4" t="s">
        <v>198</v>
      </c>
      <c r="B4" s="104" t="s">
        <v>41</v>
      </c>
      <c r="C4" s="129">
        <f>Profilers!C30</f>
        <v>0</v>
      </c>
      <c r="D4" s="128">
        <f>Profilers!D30</f>
        <v>0</v>
      </c>
      <c r="E4" s="128">
        <f>Profilers!E30</f>
        <v>0</v>
      </c>
      <c r="F4" s="128">
        <f>Profilers!F30</f>
        <v>0</v>
      </c>
      <c r="G4" s="128">
        <f>Profilers!G30</f>
        <v>0</v>
      </c>
      <c r="H4" s="128">
        <f>Profilers!H30</f>
        <v>0</v>
      </c>
      <c r="I4" s="128">
        <f>Profilers!I30</f>
        <v>0</v>
      </c>
      <c r="J4" s="128">
        <f>Profilers!J30</f>
        <v>0</v>
      </c>
      <c r="K4" s="128">
        <f>Profilers!K30</f>
        <v>0</v>
      </c>
    </row>
    <row r="5" spans="1:12" ht="18" customHeight="1" x14ac:dyDescent="0.45">
      <c r="A5" t="s">
        <v>199</v>
      </c>
      <c r="B5" s="104" t="s">
        <v>42</v>
      </c>
      <c r="C5" s="129">
        <f>Profilers!C39</f>
        <v>0</v>
      </c>
      <c r="D5" s="128">
        <f>Profilers!D39</f>
        <v>0</v>
      </c>
      <c r="E5" s="128">
        <f>Profilers!E39</f>
        <v>0</v>
      </c>
      <c r="F5" s="128">
        <f>Profilers!F39</f>
        <v>0</v>
      </c>
      <c r="G5" s="128">
        <f>Profilers!G39</f>
        <v>0</v>
      </c>
      <c r="H5" s="128">
        <f>Profilers!H39</f>
        <v>0</v>
      </c>
      <c r="I5" s="128">
        <f>Profilers!I39</f>
        <v>0</v>
      </c>
      <c r="J5" s="128">
        <f>Profilers!J39</f>
        <v>0</v>
      </c>
      <c r="K5" s="128">
        <f>Profilers!K39</f>
        <v>0</v>
      </c>
    </row>
    <row r="6" spans="1:12" ht="18" customHeight="1" x14ac:dyDescent="0.45">
      <c r="A6" t="s">
        <v>200</v>
      </c>
      <c r="B6" s="104" t="s">
        <v>43</v>
      </c>
      <c r="C6" s="129">
        <f>Profilers!C48</f>
        <v>0</v>
      </c>
      <c r="D6" s="128">
        <f>Profilers!D48</f>
        <v>0</v>
      </c>
      <c r="E6" s="128">
        <f>Profilers!E48</f>
        <v>0</v>
      </c>
      <c r="F6" s="128">
        <f>Profilers!F48</f>
        <v>0</v>
      </c>
      <c r="G6" s="128">
        <f>Profilers!G48</f>
        <v>0</v>
      </c>
      <c r="H6" s="128">
        <f>Profilers!H48</f>
        <v>0</v>
      </c>
      <c r="I6" s="128">
        <f>Profilers!I48</f>
        <v>0</v>
      </c>
      <c r="J6" s="128">
        <f>Profilers!J48</f>
        <v>0</v>
      </c>
      <c r="K6" s="128">
        <f>Profilers!K48</f>
        <v>0</v>
      </c>
    </row>
    <row r="7" spans="1:12" ht="18" customHeight="1" x14ac:dyDescent="0.45">
      <c r="A7" t="s">
        <v>201</v>
      </c>
      <c r="B7" s="104"/>
      <c r="C7" s="129"/>
      <c r="D7" s="128">
        <f>Shifter!D38</f>
        <v>1</v>
      </c>
      <c r="E7" s="128">
        <f>Shifter!E38</f>
        <v>1</v>
      </c>
      <c r="F7" s="128">
        <f>Shifter!F38</f>
        <v>1</v>
      </c>
      <c r="G7" s="128">
        <f>Shifter!G38</f>
        <v>1</v>
      </c>
      <c r="H7" s="128">
        <f>Shifter!H38</f>
        <v>1</v>
      </c>
      <c r="I7" s="128">
        <f>Shifter!I38</f>
        <v>1</v>
      </c>
      <c r="J7" s="128">
        <f>Shifter!J38</f>
        <v>1</v>
      </c>
      <c r="K7" s="128">
        <f>Shifter!K38</f>
        <v>1</v>
      </c>
    </row>
    <row r="9" spans="1:12" ht="18.75" customHeight="1" x14ac:dyDescent="0.45">
      <c r="C9" s="130" t="s">
        <v>52</v>
      </c>
      <c r="D9" s="128">
        <f t="shared" ref="D9:K9" si="0">D3*D4</f>
        <v>0</v>
      </c>
      <c r="E9" s="128">
        <f t="shared" si="0"/>
        <v>0</v>
      </c>
      <c r="F9" s="128">
        <f t="shared" si="0"/>
        <v>0</v>
      </c>
      <c r="G9" s="128">
        <f t="shared" si="0"/>
        <v>0</v>
      </c>
      <c r="H9" s="128">
        <f t="shared" si="0"/>
        <v>0</v>
      </c>
      <c r="I9" s="128">
        <f t="shared" si="0"/>
        <v>0</v>
      </c>
      <c r="J9" s="128">
        <f t="shared" si="0"/>
        <v>0</v>
      </c>
      <c r="K9" s="128">
        <f t="shared" si="0"/>
        <v>0</v>
      </c>
      <c r="L9" s="128">
        <f>SUM(D9:K9)</f>
        <v>0</v>
      </c>
    </row>
    <row r="10" spans="1:12" ht="18.75" customHeight="1" x14ac:dyDescent="0.45">
      <c r="C10" s="130" t="s">
        <v>52</v>
      </c>
      <c r="D10" s="128" t="e">
        <f t="shared" ref="D10:K10" si="1">D9/$L$9</f>
        <v>#DIV/0!</v>
      </c>
      <c r="E10" s="128" t="e">
        <f t="shared" si="1"/>
        <v>#DIV/0!</v>
      </c>
      <c r="F10" s="128" t="e">
        <f t="shared" si="1"/>
        <v>#DIV/0!</v>
      </c>
      <c r="G10" s="128" t="e">
        <f t="shared" si="1"/>
        <v>#DIV/0!</v>
      </c>
      <c r="H10" s="128" t="e">
        <f t="shared" si="1"/>
        <v>#DIV/0!</v>
      </c>
      <c r="I10" s="128" t="e">
        <f t="shared" si="1"/>
        <v>#DIV/0!</v>
      </c>
      <c r="J10" s="128" t="e">
        <f t="shared" si="1"/>
        <v>#DIV/0!</v>
      </c>
      <c r="K10" s="128" t="e">
        <f t="shared" si="1"/>
        <v>#DIV/0!</v>
      </c>
      <c r="L10" s="128" t="e">
        <f>SUM(D10:K10)</f>
        <v>#DIV/0!</v>
      </c>
    </row>
    <row r="11" spans="1:12" x14ac:dyDescent="0.45">
      <c r="C11" s="131"/>
      <c r="D11" s="110"/>
      <c r="E11" s="110"/>
      <c r="F11" s="110"/>
      <c r="G11" s="110"/>
      <c r="H11" s="110"/>
      <c r="I11" s="110"/>
      <c r="J11" s="110"/>
      <c r="K11" s="110"/>
      <c r="L11" s="110"/>
    </row>
    <row r="12" spans="1:12" ht="18.75" customHeight="1" x14ac:dyDescent="0.45">
      <c r="C12" s="130" t="s">
        <v>54</v>
      </c>
      <c r="D12" s="128" t="e">
        <f t="shared" ref="D12:K12" si="2">D10*D5</f>
        <v>#DIV/0!</v>
      </c>
      <c r="E12" s="128" t="e">
        <f t="shared" si="2"/>
        <v>#DIV/0!</v>
      </c>
      <c r="F12" s="128" t="e">
        <f t="shared" si="2"/>
        <v>#DIV/0!</v>
      </c>
      <c r="G12" s="128" t="e">
        <f t="shared" si="2"/>
        <v>#DIV/0!</v>
      </c>
      <c r="H12" s="128" t="e">
        <f t="shared" si="2"/>
        <v>#DIV/0!</v>
      </c>
      <c r="I12" s="128" t="e">
        <f t="shared" si="2"/>
        <v>#DIV/0!</v>
      </c>
      <c r="J12" s="128" t="e">
        <f t="shared" si="2"/>
        <v>#DIV/0!</v>
      </c>
      <c r="K12" s="128" t="e">
        <f t="shared" si="2"/>
        <v>#DIV/0!</v>
      </c>
      <c r="L12" s="128" t="e">
        <f>SUM(D12:K12)</f>
        <v>#DIV/0!</v>
      </c>
    </row>
    <row r="13" spans="1:12" ht="18.75" customHeight="1" x14ac:dyDescent="0.45">
      <c r="C13" s="130" t="s">
        <v>54</v>
      </c>
      <c r="D13" s="128" t="e">
        <f t="shared" ref="D13:K13" si="3">D12/$L$12</f>
        <v>#DIV/0!</v>
      </c>
      <c r="E13" s="128" t="e">
        <f t="shared" si="3"/>
        <v>#DIV/0!</v>
      </c>
      <c r="F13" s="128" t="e">
        <f t="shared" si="3"/>
        <v>#DIV/0!</v>
      </c>
      <c r="G13" s="128" t="e">
        <f t="shared" si="3"/>
        <v>#DIV/0!</v>
      </c>
      <c r="H13" s="128" t="e">
        <f t="shared" si="3"/>
        <v>#DIV/0!</v>
      </c>
      <c r="I13" s="128" t="e">
        <f t="shared" si="3"/>
        <v>#DIV/0!</v>
      </c>
      <c r="J13" s="128" t="e">
        <f t="shared" si="3"/>
        <v>#DIV/0!</v>
      </c>
      <c r="K13" s="128" t="e">
        <f t="shared" si="3"/>
        <v>#DIV/0!</v>
      </c>
      <c r="L13" s="128" t="e">
        <f>SUM(D13:K13)</f>
        <v>#DIV/0!</v>
      </c>
    </row>
    <row r="14" spans="1:12" x14ac:dyDescent="0.45">
      <c r="C14" s="131"/>
      <c r="D14" s="110"/>
      <c r="E14" s="110"/>
      <c r="F14" s="110"/>
      <c r="G14" s="110"/>
      <c r="H14" s="110"/>
      <c r="I14" s="110"/>
      <c r="J14" s="110"/>
      <c r="K14" s="110"/>
      <c r="L14" s="110"/>
    </row>
    <row r="15" spans="1:12" ht="18.75" customHeight="1" x14ac:dyDescent="0.45">
      <c r="C15" s="130" t="s">
        <v>56</v>
      </c>
      <c r="D15" s="128" t="e">
        <f t="shared" ref="D15:K15" si="4">D13*D6</f>
        <v>#DIV/0!</v>
      </c>
      <c r="E15" s="128" t="e">
        <f t="shared" si="4"/>
        <v>#DIV/0!</v>
      </c>
      <c r="F15" s="128" t="e">
        <f t="shared" si="4"/>
        <v>#DIV/0!</v>
      </c>
      <c r="G15" s="128" t="e">
        <f t="shared" si="4"/>
        <v>#DIV/0!</v>
      </c>
      <c r="H15" s="128" t="e">
        <f t="shared" si="4"/>
        <v>#DIV/0!</v>
      </c>
      <c r="I15" s="128" t="e">
        <f t="shared" si="4"/>
        <v>#DIV/0!</v>
      </c>
      <c r="J15" s="128" t="e">
        <f t="shared" si="4"/>
        <v>#DIV/0!</v>
      </c>
      <c r="K15" s="128" t="e">
        <f t="shared" si="4"/>
        <v>#DIV/0!</v>
      </c>
      <c r="L15" s="128" t="e">
        <f>SUM(D15:K15)</f>
        <v>#DIV/0!</v>
      </c>
    </row>
    <row r="16" spans="1:12" ht="18.75" customHeight="1" x14ac:dyDescent="0.45">
      <c r="C16" s="130" t="s">
        <v>56</v>
      </c>
      <c r="D16" s="151" t="e">
        <f t="shared" ref="D16:K16" si="5">D15/$L$15</f>
        <v>#DIV/0!</v>
      </c>
      <c r="E16" s="151" t="e">
        <f t="shared" si="5"/>
        <v>#DIV/0!</v>
      </c>
      <c r="F16" s="151" t="e">
        <f t="shared" si="5"/>
        <v>#DIV/0!</v>
      </c>
      <c r="G16" s="151" t="e">
        <f t="shared" si="5"/>
        <v>#DIV/0!</v>
      </c>
      <c r="H16" s="151" t="e">
        <f t="shared" si="5"/>
        <v>#DIV/0!</v>
      </c>
      <c r="I16" s="151" t="e">
        <f t="shared" si="5"/>
        <v>#DIV/0!</v>
      </c>
      <c r="J16" s="151" t="e">
        <f t="shared" si="5"/>
        <v>#DIV/0!</v>
      </c>
      <c r="K16" s="151" t="e">
        <f t="shared" si="5"/>
        <v>#DIV/0!</v>
      </c>
      <c r="L16" s="151" t="e">
        <f>SUM(D16:K16)</f>
        <v>#DIV/0!</v>
      </c>
    </row>
    <row r="18" spans="3:12" ht="19.5" customHeight="1" x14ac:dyDescent="0.45">
      <c r="C18" s="130" t="s">
        <v>202</v>
      </c>
      <c r="D18" s="151" t="e">
        <f t="shared" ref="D18:K18" si="6">D16*D7</f>
        <v>#DIV/0!</v>
      </c>
      <c r="E18" s="151" t="e">
        <f t="shared" si="6"/>
        <v>#DIV/0!</v>
      </c>
      <c r="F18" s="151" t="e">
        <f t="shared" si="6"/>
        <v>#DIV/0!</v>
      </c>
      <c r="G18" s="151" t="e">
        <f t="shared" si="6"/>
        <v>#DIV/0!</v>
      </c>
      <c r="H18" s="151" t="e">
        <f t="shared" si="6"/>
        <v>#DIV/0!</v>
      </c>
      <c r="I18" s="151" t="e">
        <f t="shared" si="6"/>
        <v>#DIV/0!</v>
      </c>
      <c r="J18" s="151" t="e">
        <f t="shared" si="6"/>
        <v>#DIV/0!</v>
      </c>
      <c r="K18" s="151" t="e">
        <f t="shared" si="6"/>
        <v>#DIV/0!</v>
      </c>
      <c r="L18" s="151" t="e">
        <f>SUM(D18:K18)</f>
        <v>#DIV/0!</v>
      </c>
    </row>
    <row r="21" spans="3:12" ht="44.25" customHeight="1" x14ac:dyDescent="0.45">
      <c r="F21" s="133" t="s">
        <v>26</v>
      </c>
      <c r="G21" s="134" t="str">
        <f>Constants!W11</f>
        <v>برنامه نویس ارشد</v>
      </c>
      <c r="H21" s="134" t="str">
        <f>Constants!X11</f>
        <v>برنامه نویس درجه 1</v>
      </c>
      <c r="I21" s="134" t="str">
        <f>Constants!Y11</f>
        <v>برنامه نویس درجه 2</v>
      </c>
    </row>
    <row r="22" spans="3:12" ht="18" customHeight="1" x14ac:dyDescent="0.8">
      <c r="D22" s="409" t="str">
        <f>Constants!A3</f>
        <v>فرم</v>
      </c>
      <c r="E22" s="132" t="str">
        <f>Constants!E3</f>
        <v>ساده</v>
      </c>
      <c r="F22" s="128">
        <f>Elements!E2011</f>
        <v>0</v>
      </c>
      <c r="G22" s="128">
        <f>$F22*Constants!W12</f>
        <v>0</v>
      </c>
      <c r="H22" s="128">
        <f>$F22*Constants!X12</f>
        <v>0</v>
      </c>
      <c r="I22" s="128">
        <f>$F22*Constants!Y12</f>
        <v>0</v>
      </c>
    </row>
    <row r="23" spans="3:12" ht="18" customHeight="1" x14ac:dyDescent="0.8">
      <c r="D23" s="347"/>
      <c r="E23" s="132" t="str">
        <f>Constants!E4</f>
        <v>معمولی</v>
      </c>
      <c r="F23" s="128">
        <f>Elements!F2011</f>
        <v>7</v>
      </c>
      <c r="G23" s="128">
        <f>$F23*Constants!W13</f>
        <v>49</v>
      </c>
      <c r="H23" s="128">
        <f>$F23*Constants!X13</f>
        <v>126</v>
      </c>
      <c r="I23" s="128">
        <f>$F23*Constants!Y13</f>
        <v>28</v>
      </c>
    </row>
    <row r="24" spans="3:12" ht="18" customHeight="1" x14ac:dyDescent="0.8">
      <c r="D24" s="347"/>
      <c r="E24" s="132" t="str">
        <f>Constants!E5</f>
        <v>پیچیده</v>
      </c>
      <c r="F24" s="128">
        <f>Elements!G2011</f>
        <v>5</v>
      </c>
      <c r="G24" s="128">
        <f>$F24*Constants!W14</f>
        <v>55</v>
      </c>
      <c r="H24" s="128">
        <f>$F24*Constants!X14</f>
        <v>135</v>
      </c>
      <c r="I24" s="128">
        <f>$F24*Constants!Y14</f>
        <v>30</v>
      </c>
    </row>
    <row r="25" spans="3:12" ht="18" customHeight="1" x14ac:dyDescent="0.8">
      <c r="D25" s="347"/>
      <c r="E25" s="132" t="str">
        <f>Constants!E6</f>
        <v>بسیار پیچیده</v>
      </c>
      <c r="F25" s="128">
        <f>Elements!H2011</f>
        <v>4</v>
      </c>
      <c r="G25" s="128">
        <f>$F25*Constants!W15</f>
        <v>56</v>
      </c>
      <c r="H25" s="128">
        <f>$F25*Constants!X15</f>
        <v>140</v>
      </c>
      <c r="I25" s="128">
        <f>$F25*Constants!Y15</f>
        <v>36</v>
      </c>
    </row>
    <row r="26" spans="3:12" ht="18" customHeight="1" x14ac:dyDescent="0.8">
      <c r="D26" s="348"/>
      <c r="E26" s="132" t="str">
        <f>Constants!E7</f>
        <v>فوق العاده پیچیده</v>
      </c>
      <c r="F26" s="128">
        <f>Elements!I2011</f>
        <v>0</v>
      </c>
      <c r="G26" s="128">
        <f>$F26*Constants!W16</f>
        <v>0</v>
      </c>
      <c r="H26" s="128">
        <f>$F26*Constants!X16</f>
        <v>0</v>
      </c>
      <c r="I26" s="128">
        <f>$F26*Constants!Y16</f>
        <v>0</v>
      </c>
    </row>
    <row r="27" spans="3:12" ht="18" customHeight="1" x14ac:dyDescent="0.8">
      <c r="D27" s="409" t="str">
        <f>Constants!A4</f>
        <v>پردازش</v>
      </c>
      <c r="E27" s="132" t="str">
        <f>Constants!E3</f>
        <v>ساده</v>
      </c>
      <c r="F27" s="128">
        <f>Elements!E2012</f>
        <v>0</v>
      </c>
      <c r="G27" s="128">
        <f>$F27*Constants!W17</f>
        <v>0</v>
      </c>
      <c r="H27" s="128">
        <f>$F27*Constants!X17</f>
        <v>0</v>
      </c>
      <c r="I27" s="128">
        <f>$F27*Constants!Y17</f>
        <v>0</v>
      </c>
    </row>
    <row r="28" spans="3:12" ht="18" customHeight="1" x14ac:dyDescent="0.8">
      <c r="D28" s="347"/>
      <c r="E28" s="132" t="str">
        <f>Constants!E4</f>
        <v>معمولی</v>
      </c>
      <c r="F28" s="128">
        <f>Elements!F2012</f>
        <v>0</v>
      </c>
      <c r="G28" s="128">
        <f>$F28*Constants!W18</f>
        <v>0</v>
      </c>
      <c r="H28" s="128">
        <f>$F28*Constants!X18</f>
        <v>0</v>
      </c>
      <c r="I28" s="128">
        <f>$F28*Constants!Y18</f>
        <v>0</v>
      </c>
    </row>
    <row r="29" spans="3:12" ht="18" customHeight="1" x14ac:dyDescent="0.8">
      <c r="D29" s="347"/>
      <c r="E29" s="132" t="str">
        <f>Constants!E5</f>
        <v>پیچیده</v>
      </c>
      <c r="F29" s="128">
        <f>Elements!G2012</f>
        <v>1</v>
      </c>
      <c r="G29" s="128">
        <f>$F29*Constants!W19</f>
        <v>17</v>
      </c>
      <c r="H29" s="128">
        <f>$F29*Constants!X19</f>
        <v>41</v>
      </c>
      <c r="I29" s="128">
        <f>$F29*Constants!Y19</f>
        <v>9</v>
      </c>
    </row>
    <row r="30" spans="3:12" ht="18" customHeight="1" x14ac:dyDescent="0.8">
      <c r="D30" s="347"/>
      <c r="E30" s="132" t="str">
        <f>Constants!E6</f>
        <v>بسیار پیچیده</v>
      </c>
      <c r="F30" s="128">
        <f>Elements!H2012</f>
        <v>2</v>
      </c>
      <c r="G30" s="128">
        <f>$F30*Constants!W20</f>
        <v>42</v>
      </c>
      <c r="H30" s="128">
        <f>$F30*Constants!X20</f>
        <v>106</v>
      </c>
      <c r="I30" s="128">
        <f>$F30*Constants!Y20</f>
        <v>28</v>
      </c>
    </row>
    <row r="31" spans="3:12" ht="18" customHeight="1" x14ac:dyDescent="0.8">
      <c r="D31" s="348"/>
      <c r="E31" s="132" t="str">
        <f>Constants!E7</f>
        <v>فوق العاده پیچیده</v>
      </c>
      <c r="F31" s="128">
        <f>Elements!I2012</f>
        <v>2</v>
      </c>
      <c r="G31" s="128">
        <f>$F31*Constants!W21</f>
        <v>64</v>
      </c>
      <c r="H31" s="128">
        <f>$F31*Constants!X21</f>
        <v>160</v>
      </c>
      <c r="I31" s="128">
        <f>$F31*Constants!Y21</f>
        <v>40</v>
      </c>
    </row>
    <row r="32" spans="3:12" ht="18" customHeight="1" x14ac:dyDescent="0.8">
      <c r="D32" s="409" t="str">
        <f>Constants!A5</f>
        <v>سرویس</v>
      </c>
      <c r="E32" s="132" t="str">
        <f>Constants!E3</f>
        <v>ساده</v>
      </c>
      <c r="F32" s="128">
        <f>Elements!E2013</f>
        <v>0</v>
      </c>
      <c r="G32" s="128">
        <f>$F32*Constants!W22</f>
        <v>0</v>
      </c>
      <c r="H32" s="128">
        <f>$F32*Constants!X22</f>
        <v>0</v>
      </c>
      <c r="I32" s="128">
        <f>$F32*Constants!Y22</f>
        <v>0</v>
      </c>
    </row>
    <row r="33" spans="3:11" ht="18" customHeight="1" x14ac:dyDescent="0.8">
      <c r="D33" s="347"/>
      <c r="E33" s="132" t="str">
        <f>Constants!E4</f>
        <v>معمولی</v>
      </c>
      <c r="F33" s="128">
        <f>Elements!F2013</f>
        <v>1</v>
      </c>
      <c r="G33" s="128">
        <f>$F33*Constants!W23</f>
        <v>11</v>
      </c>
      <c r="H33" s="128">
        <f>$F33*Constants!X23</f>
        <v>27</v>
      </c>
      <c r="I33" s="128">
        <f>$F33*Constants!Y23</f>
        <v>6</v>
      </c>
    </row>
    <row r="34" spans="3:11" ht="18" customHeight="1" x14ac:dyDescent="0.8">
      <c r="D34" s="347"/>
      <c r="E34" s="132" t="str">
        <f>Constants!E5</f>
        <v>پیچیده</v>
      </c>
      <c r="F34" s="128">
        <f>Elements!G2013</f>
        <v>7</v>
      </c>
      <c r="G34" s="128">
        <f>$F34*Constants!W24</f>
        <v>119</v>
      </c>
      <c r="H34" s="128">
        <f>$F34*Constants!X24</f>
        <v>287</v>
      </c>
      <c r="I34" s="128">
        <f>$F34*Constants!Y24</f>
        <v>63</v>
      </c>
    </row>
    <row r="35" spans="3:11" ht="18" customHeight="1" x14ac:dyDescent="0.8">
      <c r="D35" s="347"/>
      <c r="E35" s="132" t="str">
        <f>Constants!E6</f>
        <v>بسیار پیچیده</v>
      </c>
      <c r="F35" s="128">
        <f>Elements!H2013</f>
        <v>2</v>
      </c>
      <c r="G35" s="128">
        <f>$F35*Constants!W25</f>
        <v>42</v>
      </c>
      <c r="H35" s="128">
        <f>$F35*Constants!X25</f>
        <v>106</v>
      </c>
      <c r="I35" s="128">
        <f>$F35*Constants!Y25</f>
        <v>28</v>
      </c>
    </row>
    <row r="36" spans="3:11" ht="18" customHeight="1" x14ac:dyDescent="0.8">
      <c r="D36" s="348"/>
      <c r="E36" s="132" t="str">
        <f>Constants!E7</f>
        <v>فوق العاده پیچیده</v>
      </c>
      <c r="F36" s="128">
        <f>Elements!I2013</f>
        <v>1</v>
      </c>
      <c r="G36" s="128">
        <f>$F36*Constants!W26</f>
        <v>32</v>
      </c>
      <c r="H36" s="128">
        <f>$F36*Constants!X26</f>
        <v>80</v>
      </c>
      <c r="I36" s="128">
        <f>$F36*Constants!Y26</f>
        <v>20</v>
      </c>
    </row>
    <row r="37" spans="3:11" ht="18" customHeight="1" x14ac:dyDescent="0.8">
      <c r="D37" s="409" t="str">
        <f>Constants!A6</f>
        <v>گزارش</v>
      </c>
      <c r="E37" s="132" t="str">
        <f>Constants!E3</f>
        <v>ساده</v>
      </c>
      <c r="F37" s="128">
        <f>Elements!E2014</f>
        <v>0</v>
      </c>
      <c r="G37" s="128">
        <f>$F37*Constants!W27</f>
        <v>0</v>
      </c>
      <c r="H37" s="128">
        <f>$F37*Constants!X27</f>
        <v>0</v>
      </c>
      <c r="I37" s="128">
        <f>$F37*Constants!Y27</f>
        <v>0</v>
      </c>
    </row>
    <row r="38" spans="3:11" ht="18" customHeight="1" x14ac:dyDescent="0.8">
      <c r="D38" s="347"/>
      <c r="E38" s="132" t="str">
        <f>Constants!E4</f>
        <v>معمولی</v>
      </c>
      <c r="F38" s="128">
        <f>Elements!F2014</f>
        <v>0</v>
      </c>
      <c r="G38" s="128">
        <f>$F38*Constants!W28</f>
        <v>0</v>
      </c>
      <c r="H38" s="128">
        <f>$F38*Constants!X28</f>
        <v>0</v>
      </c>
      <c r="I38" s="128">
        <f>$F38*Constants!Y28</f>
        <v>0</v>
      </c>
    </row>
    <row r="39" spans="3:11" ht="18" customHeight="1" x14ac:dyDescent="0.8">
      <c r="D39" s="347"/>
      <c r="E39" s="132" t="str">
        <f>Constants!E5</f>
        <v>پیچیده</v>
      </c>
      <c r="F39" s="128">
        <f>Elements!G2014</f>
        <v>1</v>
      </c>
      <c r="G39" s="128">
        <f>$F39*Constants!W29</f>
        <v>17</v>
      </c>
      <c r="H39" s="128">
        <f>$F39*Constants!X29</f>
        <v>41</v>
      </c>
      <c r="I39" s="128">
        <f>$F39*Constants!Y29</f>
        <v>9</v>
      </c>
    </row>
    <row r="40" spans="3:11" ht="18" customHeight="1" x14ac:dyDescent="0.8">
      <c r="D40" s="347"/>
      <c r="E40" s="132" t="str">
        <f>Constants!E6</f>
        <v>بسیار پیچیده</v>
      </c>
      <c r="F40" s="128">
        <f>Elements!H2014</f>
        <v>0</v>
      </c>
      <c r="G40" s="128">
        <f>$F40*Constants!W30</f>
        <v>0</v>
      </c>
      <c r="H40" s="128">
        <f>$F40*Constants!X30</f>
        <v>0</v>
      </c>
      <c r="I40" s="128">
        <f>$F40*Constants!Y30</f>
        <v>0</v>
      </c>
    </row>
    <row r="41" spans="3:11" ht="18" customHeight="1" x14ac:dyDescent="0.8">
      <c r="D41" s="348"/>
      <c r="E41" s="132" t="str">
        <f>Constants!E7</f>
        <v>فوق العاده پیچیده</v>
      </c>
      <c r="F41" s="128">
        <f>Elements!I2014</f>
        <v>0</v>
      </c>
      <c r="G41" s="128">
        <f>$F41*Constants!W31</f>
        <v>0</v>
      </c>
      <c r="H41" s="128">
        <f>$F41*Constants!X31</f>
        <v>0</v>
      </c>
      <c r="I41" s="128">
        <f>$F41*Constants!Y31</f>
        <v>0</v>
      </c>
    </row>
    <row r="42" spans="3:11" x14ac:dyDescent="0.45">
      <c r="G42" s="110">
        <f>SUM(G22:G41)</f>
        <v>504</v>
      </c>
      <c r="H42" s="110">
        <f>SUM(H22:H41)</f>
        <v>1249</v>
      </c>
      <c r="I42" s="110">
        <f>SUM(I22:I41)</f>
        <v>297</v>
      </c>
    </row>
    <row r="43" spans="3:11" x14ac:dyDescent="0.45">
      <c r="G43" s="128">
        <f>G42/Constants!$A19</f>
        <v>3.15</v>
      </c>
      <c r="H43" s="128">
        <f>H42/Constants!$A19</f>
        <v>7.8062500000000004</v>
      </c>
      <c r="I43" s="128">
        <f>I42/Constants!$A19</f>
        <v>1.85625</v>
      </c>
    </row>
    <row r="45" spans="3:11" ht="23.25" customHeight="1" x14ac:dyDescent="0.45">
      <c r="C45" s="20"/>
      <c r="D45" s="102">
        <f>SUM(LifeCycle!F3:F5)+SUM(LifeCycle!F9:F30)</f>
        <v>0.42999999999999994</v>
      </c>
    </row>
    <row r="47" spans="3:11" x14ac:dyDescent="0.45">
      <c r="C47" s="147"/>
      <c r="D47" s="147"/>
      <c r="E47" s="147"/>
      <c r="F47" s="147"/>
      <c r="G47" s="148">
        <f>Constants!S40</f>
        <v>233752781</v>
      </c>
      <c r="H47" s="148">
        <f>Constants!S41</f>
        <v>182145024</v>
      </c>
      <c r="I47" s="148">
        <f>Constants!S42</f>
        <v>138126643</v>
      </c>
    </row>
    <row r="48" spans="3:11" x14ac:dyDescent="0.45">
      <c r="C48" s="147"/>
      <c r="D48" s="147"/>
      <c r="E48" s="147"/>
      <c r="F48" s="147"/>
      <c r="G48" s="148">
        <f>G43*G47</f>
        <v>736321260.14999998</v>
      </c>
      <c r="H48" s="148">
        <f>H43*H47</f>
        <v>1421869593.6000001</v>
      </c>
      <c r="I48" s="148">
        <f>I43*I47</f>
        <v>256397581.06874999</v>
      </c>
      <c r="J48" s="148">
        <f>SUM(G48:I48)</f>
        <v>2414588434.8187499</v>
      </c>
      <c r="K48" s="149" t="s">
        <v>203</v>
      </c>
    </row>
    <row r="49" spans="3:11" x14ac:dyDescent="0.45">
      <c r="C49" s="147"/>
      <c r="D49" s="147"/>
      <c r="E49" s="147"/>
      <c r="F49" s="147"/>
      <c r="G49" s="128">
        <f>(1-$D$45)*G48/$J$48</f>
        <v>0.17381973351371779</v>
      </c>
      <c r="H49" s="128">
        <f>(1-$D$45)*H48/$J$48</f>
        <v>0.33565375227718153</v>
      </c>
      <c r="I49" s="128">
        <f>(1-$D$45)*I48/$J$48</f>
        <v>6.0526514209100789E-2</v>
      </c>
    </row>
    <row r="51" spans="3:11" x14ac:dyDescent="0.45">
      <c r="D51" s="410">
        <f>I60*J48/(1-D45)</f>
        <v>4236120061.0855255</v>
      </c>
      <c r="E51" s="291"/>
    </row>
    <row r="53" spans="3:11" x14ac:dyDescent="0.45">
      <c r="D53" s="154" t="e">
        <f t="shared" ref="D53:K53" si="7">$D$51*D16/$G$16</f>
        <v>#DIV/0!</v>
      </c>
      <c r="E53" s="154" t="e">
        <f t="shared" si="7"/>
        <v>#DIV/0!</v>
      </c>
      <c r="F53" s="154" t="e">
        <f t="shared" si="7"/>
        <v>#DIV/0!</v>
      </c>
      <c r="G53" s="154" t="e">
        <f t="shared" si="7"/>
        <v>#DIV/0!</v>
      </c>
      <c r="H53" s="154" t="e">
        <f t="shared" si="7"/>
        <v>#DIV/0!</v>
      </c>
      <c r="I53" s="154" t="e">
        <f t="shared" si="7"/>
        <v>#DIV/0!</v>
      </c>
      <c r="J53" s="154" t="e">
        <f t="shared" si="7"/>
        <v>#DIV/0!</v>
      </c>
      <c r="K53" s="154" t="e">
        <f t="shared" si="7"/>
        <v>#DIV/0!</v>
      </c>
    </row>
    <row r="55" spans="3:11" x14ac:dyDescent="0.45">
      <c r="D55" s="408" t="e">
        <f>SUM(D53:K53)</f>
        <v>#DIV/0!</v>
      </c>
      <c r="E55" s="291"/>
    </row>
    <row r="56" spans="3:11" x14ac:dyDescent="0.45">
      <c r="D56" s="152"/>
      <c r="E56" s="152"/>
    </row>
    <row r="57" spans="3:11" x14ac:dyDescent="0.45">
      <c r="D57" s="153">
        <f t="shared" ref="D57:K57" si="8">IFERROR(D53*D18/D16,0)</f>
        <v>0</v>
      </c>
      <c r="E57" s="153">
        <f t="shared" si="8"/>
        <v>0</v>
      </c>
      <c r="F57" s="153">
        <f t="shared" si="8"/>
        <v>0</v>
      </c>
      <c r="G57" s="153">
        <f t="shared" si="8"/>
        <v>0</v>
      </c>
      <c r="H57" s="153">
        <f t="shared" si="8"/>
        <v>0</v>
      </c>
      <c r="I57" s="153">
        <f t="shared" si="8"/>
        <v>0</v>
      </c>
      <c r="J57" s="153">
        <f t="shared" si="8"/>
        <v>0</v>
      </c>
      <c r="K57" s="153">
        <f t="shared" si="8"/>
        <v>0</v>
      </c>
    </row>
    <row r="58" spans="3:11" x14ac:dyDescent="0.45">
      <c r="D58" s="152"/>
      <c r="E58" s="152"/>
    </row>
    <row r="59" spans="3:11" x14ac:dyDescent="0.45">
      <c r="D59" s="410">
        <f>SUM(D57:K57)</f>
        <v>0</v>
      </c>
      <c r="E59" s="291"/>
      <c r="G59" s="147" t="s">
        <v>204</v>
      </c>
      <c r="H59" s="169" t="e">
        <f>J59*I59</f>
        <v>#DIV/0!</v>
      </c>
      <c r="I59" s="110">
        <v>0.7</v>
      </c>
      <c r="J59" s="147" t="e">
        <f>D59/D55-1</f>
        <v>#DIV/0!</v>
      </c>
    </row>
    <row r="60" spans="3:11" x14ac:dyDescent="0.45">
      <c r="H60" s="169">
        <f>J60*I60</f>
        <v>0</v>
      </c>
      <c r="I60" s="110">
        <v>1</v>
      </c>
      <c r="J60">
        <f>IF(K60&gt;0,K60,0)</f>
        <v>0</v>
      </c>
      <c r="K60">
        <f>(D59/CLMin!D59)-1</f>
        <v>-1</v>
      </c>
    </row>
    <row r="61" spans="3:11" x14ac:dyDescent="0.45">
      <c r="D61" s="153">
        <f>SUM(ProjectDef!I23:I25)</f>
        <v>0</v>
      </c>
      <c r="E61" s="162"/>
      <c r="F61" s="162"/>
      <c r="G61" s="162"/>
      <c r="H61" s="162"/>
      <c r="I61" s="162"/>
      <c r="J61" s="162"/>
      <c r="K61" s="162"/>
    </row>
    <row r="63" spans="3:11" x14ac:dyDescent="0.45">
      <c r="D63" s="153">
        <f t="shared" ref="D63:K63" si="9">D57*(1+$D61)</f>
        <v>0</v>
      </c>
      <c r="E63" s="153">
        <f t="shared" si="9"/>
        <v>0</v>
      </c>
      <c r="F63" s="153">
        <f t="shared" si="9"/>
        <v>0</v>
      </c>
      <c r="G63" s="153">
        <f t="shared" si="9"/>
        <v>0</v>
      </c>
      <c r="H63" s="153">
        <f t="shared" si="9"/>
        <v>0</v>
      </c>
      <c r="I63" s="153">
        <f t="shared" si="9"/>
        <v>0</v>
      </c>
      <c r="J63" s="153">
        <f t="shared" si="9"/>
        <v>0</v>
      </c>
      <c r="K63" s="153">
        <f t="shared" si="9"/>
        <v>0</v>
      </c>
    </row>
    <row r="64" spans="3:11" ht="15.75" customHeight="1" thickBot="1" x14ac:dyDescent="0.5"/>
    <row r="65" spans="2:11" ht="15.75" customHeight="1" thickBot="1" x14ac:dyDescent="0.5">
      <c r="C65" s="168"/>
      <c r="D65" s="411">
        <f>SUM(D63:K63)</f>
        <v>0</v>
      </c>
      <c r="E65" s="291"/>
    </row>
    <row r="70" spans="2:11" ht="18" customHeight="1" x14ac:dyDescent="0.45">
      <c r="C70" s="110"/>
      <c r="D70" s="155"/>
      <c r="E70" s="155"/>
      <c r="F70" s="155"/>
    </row>
    <row r="71" spans="2:11" ht="18" customHeight="1" x14ac:dyDescent="0.45">
      <c r="B71" s="129">
        <v>1</v>
      </c>
      <c r="C71" s="150" t="str">
        <f>Constants!R37</f>
        <v>مدیر پروژه</v>
      </c>
      <c r="D71" s="156" t="e">
        <f>D$53*LifeCycle!C3</f>
        <v>#DIV/0!</v>
      </c>
      <c r="E71" s="156" t="e">
        <f>E$53*LifeCycle!D3</f>
        <v>#DIV/0!</v>
      </c>
      <c r="F71" s="156" t="e">
        <f>F$53*LifeCycle!E3</f>
        <v>#DIV/0!</v>
      </c>
      <c r="G71" s="156" t="e">
        <f>G$53*LifeCycle!F3</f>
        <v>#DIV/0!</v>
      </c>
      <c r="H71" s="156" t="e">
        <f>H$53*LifeCycle!G3</f>
        <v>#DIV/0!</v>
      </c>
      <c r="I71" s="156" t="e">
        <f>I$53*LifeCycle!H3</f>
        <v>#DIV/0!</v>
      </c>
      <c r="J71" s="156" t="e">
        <f>J$53*LifeCycle!I3</f>
        <v>#DIV/0!</v>
      </c>
      <c r="K71" s="156" t="e">
        <f>K$53*LifeCycle!J3</f>
        <v>#DIV/0!</v>
      </c>
    </row>
    <row r="72" spans="2:11" ht="18" customHeight="1" x14ac:dyDescent="0.45">
      <c r="B72" s="129">
        <v>2</v>
      </c>
      <c r="C72" s="150" t="str">
        <f>Constants!R38</f>
        <v xml:space="preserve">تحلیلگر </v>
      </c>
      <c r="D72" s="156" t="e">
        <f>D$53*LifeCycle!C4</f>
        <v>#DIV/0!</v>
      </c>
      <c r="E72" s="156" t="e">
        <f>E$53*LifeCycle!D4</f>
        <v>#DIV/0!</v>
      </c>
      <c r="F72" s="156" t="e">
        <f>F$53*LifeCycle!E4</f>
        <v>#DIV/0!</v>
      </c>
      <c r="G72" s="156" t="e">
        <f>G$53*LifeCycle!F4</f>
        <v>#DIV/0!</v>
      </c>
      <c r="H72" s="156" t="e">
        <f>H$53*LifeCycle!G4</f>
        <v>#DIV/0!</v>
      </c>
      <c r="I72" s="156" t="e">
        <f>I$53*LifeCycle!H4</f>
        <v>#DIV/0!</v>
      </c>
      <c r="J72" s="156" t="e">
        <f>J$53*LifeCycle!I4</f>
        <v>#DIV/0!</v>
      </c>
      <c r="K72" s="156" t="e">
        <f>K$53*LifeCycle!J4</f>
        <v>#DIV/0!</v>
      </c>
    </row>
    <row r="73" spans="2:11" ht="18" customHeight="1" x14ac:dyDescent="0.45">
      <c r="B73" s="129">
        <v>3</v>
      </c>
      <c r="C73" s="150" t="str">
        <f>Constants!R39</f>
        <v xml:space="preserve">طراح </v>
      </c>
      <c r="D73" s="156" t="e">
        <f>D$53*LifeCycle!C5</f>
        <v>#DIV/0!</v>
      </c>
      <c r="E73" s="156" t="e">
        <f>E$53*LifeCycle!D5</f>
        <v>#DIV/0!</v>
      </c>
      <c r="F73" s="156" t="e">
        <f>F$53*LifeCycle!E5</f>
        <v>#DIV/0!</v>
      </c>
      <c r="G73" s="156" t="e">
        <f>G$53*LifeCycle!F5</f>
        <v>#DIV/0!</v>
      </c>
      <c r="H73" s="156" t="e">
        <f>H$53*LifeCycle!G5</f>
        <v>#DIV/0!</v>
      </c>
      <c r="I73" s="156" t="e">
        <f>I$53*LifeCycle!H5</f>
        <v>#DIV/0!</v>
      </c>
      <c r="J73" s="156" t="e">
        <f>J$53*LifeCycle!I5</f>
        <v>#DIV/0!</v>
      </c>
      <c r="K73" s="156" t="e">
        <f>K$53*LifeCycle!J5</f>
        <v>#DIV/0!</v>
      </c>
    </row>
    <row r="74" spans="2:11" ht="18" customHeight="1" x14ac:dyDescent="0.45">
      <c r="B74" s="129">
        <v>4</v>
      </c>
      <c r="C74" s="150" t="str">
        <f>Constants!R40</f>
        <v>برنامه نویس ارشد</v>
      </c>
      <c r="D74" s="156" t="e">
        <f>D$53*LifeCycle!C6</f>
        <v>#DIV/0!</v>
      </c>
      <c r="E74" s="156" t="e">
        <f>E$53*LifeCycle!D6</f>
        <v>#DIV/0!</v>
      </c>
      <c r="F74" s="156" t="e">
        <f>F$53*LifeCycle!E6</f>
        <v>#DIV/0!</v>
      </c>
      <c r="G74" s="156" t="e">
        <f>G$53*LifeCycle!F6</f>
        <v>#DIV/0!</v>
      </c>
      <c r="H74" s="156" t="e">
        <f>H$53*LifeCycle!G6</f>
        <v>#DIV/0!</v>
      </c>
      <c r="I74" s="156" t="e">
        <f>I$53*LifeCycle!H6</f>
        <v>#DIV/0!</v>
      </c>
      <c r="J74" s="156" t="e">
        <f>J$53*LifeCycle!I6</f>
        <v>#DIV/0!</v>
      </c>
      <c r="K74" s="156" t="e">
        <f>K$53*LifeCycle!J6</f>
        <v>#DIV/0!</v>
      </c>
    </row>
    <row r="75" spans="2:11" ht="18" customHeight="1" x14ac:dyDescent="0.45">
      <c r="B75" s="129">
        <v>5</v>
      </c>
      <c r="C75" s="150" t="str">
        <f>Constants!R41</f>
        <v>برنامه نویس درجه 1</v>
      </c>
      <c r="D75" s="156" t="e">
        <f>D$53*LifeCycle!C7</f>
        <v>#DIV/0!</v>
      </c>
      <c r="E75" s="156" t="e">
        <f>E$53*LifeCycle!D7</f>
        <v>#DIV/0!</v>
      </c>
      <c r="F75" s="156" t="e">
        <f>F$53*LifeCycle!E7</f>
        <v>#DIV/0!</v>
      </c>
      <c r="G75" s="156" t="e">
        <f>G$53*LifeCycle!F7</f>
        <v>#DIV/0!</v>
      </c>
      <c r="H75" s="156" t="e">
        <f>H$53*LifeCycle!G7</f>
        <v>#DIV/0!</v>
      </c>
      <c r="I75" s="156" t="e">
        <f>I$53*LifeCycle!H7</f>
        <v>#DIV/0!</v>
      </c>
      <c r="J75" s="156" t="e">
        <f>J$53*LifeCycle!I7</f>
        <v>#DIV/0!</v>
      </c>
      <c r="K75" s="156" t="e">
        <f>K$53*LifeCycle!J7</f>
        <v>#DIV/0!</v>
      </c>
    </row>
    <row r="76" spans="2:11" ht="18" customHeight="1" x14ac:dyDescent="0.45">
      <c r="B76" s="129">
        <v>6</v>
      </c>
      <c r="C76" s="150" t="str">
        <f>Constants!R42</f>
        <v>برنامه نویس درجه 2</v>
      </c>
      <c r="D76" s="156" t="e">
        <f>D$53*LifeCycle!C8</f>
        <v>#DIV/0!</v>
      </c>
      <c r="E76" s="156" t="e">
        <f>E$53*LifeCycle!D8</f>
        <v>#DIV/0!</v>
      </c>
      <c r="F76" s="156" t="e">
        <f>F$53*LifeCycle!E8</f>
        <v>#DIV/0!</v>
      </c>
      <c r="G76" s="156" t="e">
        <f>G$53*LifeCycle!F8</f>
        <v>#DIV/0!</v>
      </c>
      <c r="H76" s="156" t="e">
        <f>H$53*LifeCycle!G8</f>
        <v>#DIV/0!</v>
      </c>
      <c r="I76" s="156" t="e">
        <f>I$53*LifeCycle!H8</f>
        <v>#DIV/0!</v>
      </c>
      <c r="J76" s="156" t="e">
        <f>J$53*LifeCycle!I8</f>
        <v>#DIV/0!</v>
      </c>
      <c r="K76" s="156" t="e">
        <f>K$53*LifeCycle!J8</f>
        <v>#DIV/0!</v>
      </c>
    </row>
    <row r="77" spans="2:11" ht="18" customHeight="1" x14ac:dyDescent="0.45">
      <c r="B77" s="129">
        <v>7</v>
      </c>
      <c r="C77" s="150" t="str">
        <f>Constants!R43</f>
        <v>طراح آزمایش</v>
      </c>
      <c r="D77" s="156" t="e">
        <f>D$53*LifeCycle!C9</f>
        <v>#DIV/0!</v>
      </c>
      <c r="E77" s="156" t="e">
        <f>E$53*LifeCycle!D9</f>
        <v>#DIV/0!</v>
      </c>
      <c r="F77" s="156" t="e">
        <f>F$53*LifeCycle!E9</f>
        <v>#DIV/0!</v>
      </c>
      <c r="G77" s="156" t="e">
        <f>G$53*LifeCycle!F9</f>
        <v>#DIV/0!</v>
      </c>
      <c r="H77" s="156" t="e">
        <f>H$53*LifeCycle!G9</f>
        <v>#DIV/0!</v>
      </c>
      <c r="I77" s="156" t="e">
        <f>I$53*LifeCycle!H9</f>
        <v>#DIV/0!</v>
      </c>
      <c r="J77" s="156" t="e">
        <f>J$53*LifeCycle!I9</f>
        <v>#DIV/0!</v>
      </c>
      <c r="K77" s="156" t="e">
        <f>K$53*LifeCycle!J9</f>
        <v>#DIV/0!</v>
      </c>
    </row>
    <row r="78" spans="2:11" ht="18" customHeight="1" x14ac:dyDescent="0.45">
      <c r="B78" s="129">
        <v>8</v>
      </c>
      <c r="C78" s="150" t="str">
        <f>Constants!R44</f>
        <v>آزمونگر</v>
      </c>
      <c r="D78" s="156" t="e">
        <f>D$53*LifeCycle!C10</f>
        <v>#DIV/0!</v>
      </c>
      <c r="E78" s="156" t="e">
        <f>E$53*LifeCycle!D10</f>
        <v>#DIV/0!</v>
      </c>
      <c r="F78" s="156" t="e">
        <f>F$53*LifeCycle!E10</f>
        <v>#DIV/0!</v>
      </c>
      <c r="G78" s="156" t="e">
        <f>G$53*LifeCycle!F10</f>
        <v>#DIV/0!</v>
      </c>
      <c r="H78" s="156" t="e">
        <f>H$53*LifeCycle!G10</f>
        <v>#DIV/0!</v>
      </c>
      <c r="I78" s="156" t="e">
        <f>I$53*LifeCycle!H10</f>
        <v>#DIV/0!</v>
      </c>
      <c r="J78" s="156" t="e">
        <f>J$53*LifeCycle!I10</f>
        <v>#DIV/0!</v>
      </c>
      <c r="K78" s="156" t="e">
        <f>K$53*LifeCycle!J10</f>
        <v>#DIV/0!</v>
      </c>
    </row>
    <row r="79" spans="2:11" ht="18" customHeight="1" x14ac:dyDescent="0.45">
      <c r="B79" s="129">
        <v>9</v>
      </c>
      <c r="C79" s="150" t="str">
        <f>Constants!R45</f>
        <v>کارشناس مستندساز</v>
      </c>
      <c r="D79" s="156" t="e">
        <f>D$53*LifeCycle!C11</f>
        <v>#DIV/0!</v>
      </c>
      <c r="E79" s="156" t="e">
        <f>E$53*LifeCycle!D11</f>
        <v>#DIV/0!</v>
      </c>
      <c r="F79" s="156" t="e">
        <f>F$53*LifeCycle!E11</f>
        <v>#DIV/0!</v>
      </c>
      <c r="G79" s="156" t="e">
        <f>G$53*LifeCycle!F11</f>
        <v>#DIV/0!</v>
      </c>
      <c r="H79" s="156" t="e">
        <f>H$53*LifeCycle!G11</f>
        <v>#DIV/0!</v>
      </c>
      <c r="I79" s="156" t="e">
        <f>I$53*LifeCycle!H11</f>
        <v>#DIV/0!</v>
      </c>
      <c r="J79" s="156" t="e">
        <f>J$53*LifeCycle!I11</f>
        <v>#DIV/0!</v>
      </c>
      <c r="K79" s="156" t="e">
        <f>K$53*LifeCycle!J11</f>
        <v>#DIV/0!</v>
      </c>
    </row>
    <row r="80" spans="2:11" ht="18" customHeight="1" x14ac:dyDescent="0.45">
      <c r="B80" s="129">
        <v>10</v>
      </c>
      <c r="C80" s="150" t="str">
        <f>Constants!R46</f>
        <v>نگارگر (گرافیست)</v>
      </c>
      <c r="D80" s="156" t="e">
        <f>D$53*LifeCycle!C12</f>
        <v>#DIV/0!</v>
      </c>
      <c r="E80" s="156" t="e">
        <f>E$53*LifeCycle!D12</f>
        <v>#DIV/0!</v>
      </c>
      <c r="F80" s="156" t="e">
        <f>F$53*LifeCycle!E12</f>
        <v>#DIV/0!</v>
      </c>
      <c r="G80" s="156" t="e">
        <f>G$53*LifeCycle!F12</f>
        <v>#DIV/0!</v>
      </c>
      <c r="H80" s="156" t="e">
        <f>H$53*LifeCycle!G12</f>
        <v>#DIV/0!</v>
      </c>
      <c r="I80" s="156" t="e">
        <f>I$53*LifeCycle!H12</f>
        <v>#DIV/0!</v>
      </c>
      <c r="J80" s="156" t="e">
        <f>J$53*LifeCycle!I12</f>
        <v>#DIV/0!</v>
      </c>
      <c r="K80" s="156" t="e">
        <f>K$53*LifeCycle!J12</f>
        <v>#DIV/0!</v>
      </c>
    </row>
    <row r="81" spans="2:11" ht="18" customHeight="1" x14ac:dyDescent="0.45">
      <c r="B81" s="129">
        <v>11</v>
      </c>
      <c r="C81" s="150" t="str">
        <f>Constants!R47</f>
        <v>مدیر کیفیت</v>
      </c>
      <c r="D81" s="156" t="e">
        <f>D$53*LifeCycle!C13</f>
        <v>#DIV/0!</v>
      </c>
      <c r="E81" s="156" t="e">
        <f>E$53*LifeCycle!D13</f>
        <v>#DIV/0!</v>
      </c>
      <c r="F81" s="156" t="e">
        <f>F$53*LifeCycle!E13</f>
        <v>#DIV/0!</v>
      </c>
      <c r="G81" s="156" t="e">
        <f>G$53*LifeCycle!F13</f>
        <v>#DIV/0!</v>
      </c>
      <c r="H81" s="156" t="e">
        <f>H$53*LifeCycle!G13</f>
        <v>#DIV/0!</v>
      </c>
      <c r="I81" s="156" t="e">
        <f>I$53*LifeCycle!H13</f>
        <v>#DIV/0!</v>
      </c>
      <c r="J81" s="156" t="e">
        <f>J$53*LifeCycle!I13</f>
        <v>#DIV/0!</v>
      </c>
      <c r="K81" s="156" t="e">
        <f>K$53*LifeCycle!J13</f>
        <v>#DIV/0!</v>
      </c>
    </row>
    <row r="82" spans="2:11" ht="18" customHeight="1" x14ac:dyDescent="0.45">
      <c r="B82" s="129">
        <v>12</v>
      </c>
      <c r="C82" s="150" t="str">
        <f>Constants!R48</f>
        <v>کارشناس کیفیت</v>
      </c>
      <c r="D82" s="156" t="e">
        <f>D$53*LifeCycle!C14</f>
        <v>#DIV/0!</v>
      </c>
      <c r="E82" s="156" t="e">
        <f>E$53*LifeCycle!D14</f>
        <v>#DIV/0!</v>
      </c>
      <c r="F82" s="156" t="e">
        <f>F$53*LifeCycle!E14</f>
        <v>#DIV/0!</v>
      </c>
      <c r="G82" s="156" t="e">
        <f>G$53*LifeCycle!F14</f>
        <v>#DIV/0!</v>
      </c>
      <c r="H82" s="156" t="e">
        <f>H$53*LifeCycle!G14</f>
        <v>#DIV/0!</v>
      </c>
      <c r="I82" s="156" t="e">
        <f>I$53*LifeCycle!H14</f>
        <v>#DIV/0!</v>
      </c>
      <c r="J82" s="156" t="e">
        <f>J$53*LifeCycle!I14</f>
        <v>#DIV/0!</v>
      </c>
      <c r="K82" s="156" t="e">
        <f>K$53*LifeCycle!J14</f>
        <v>#DIV/0!</v>
      </c>
    </row>
    <row r="83" spans="2:11" ht="18" customHeight="1" x14ac:dyDescent="0.45">
      <c r="B83" s="129">
        <v>13</v>
      </c>
      <c r="C83" s="150" t="str">
        <f>Constants!R49</f>
        <v>کارشناس پیکربندی</v>
      </c>
      <c r="D83" s="156" t="e">
        <f>D$53*LifeCycle!C15</f>
        <v>#DIV/0!</v>
      </c>
      <c r="E83" s="156" t="e">
        <f>E$53*LifeCycle!D15</f>
        <v>#DIV/0!</v>
      </c>
      <c r="F83" s="156" t="e">
        <f>F$53*LifeCycle!E15</f>
        <v>#DIV/0!</v>
      </c>
      <c r="G83" s="156" t="e">
        <f>G$53*LifeCycle!F15</f>
        <v>#DIV/0!</v>
      </c>
      <c r="H83" s="156" t="e">
        <f>H$53*LifeCycle!G15</f>
        <v>#DIV/0!</v>
      </c>
      <c r="I83" s="156" t="e">
        <f>I$53*LifeCycle!H15</f>
        <v>#DIV/0!</v>
      </c>
      <c r="J83" s="156" t="e">
        <f>J$53*LifeCycle!I15</f>
        <v>#DIV/0!</v>
      </c>
      <c r="K83" s="156" t="e">
        <f>K$53*LifeCycle!J15</f>
        <v>#DIV/0!</v>
      </c>
    </row>
    <row r="84" spans="2:11" ht="18" customHeight="1" x14ac:dyDescent="0.45">
      <c r="B84" s="129">
        <v>14</v>
      </c>
      <c r="C84" s="150" t="str">
        <f>Constants!R50</f>
        <v>مسئول سایت/کارگاه</v>
      </c>
      <c r="D84" s="156" t="e">
        <f>D$53*LifeCycle!C16</f>
        <v>#DIV/0!</v>
      </c>
      <c r="E84" s="156" t="e">
        <f>E$53*LifeCycle!D16</f>
        <v>#DIV/0!</v>
      </c>
      <c r="F84" s="156" t="e">
        <f>F$53*LifeCycle!E16</f>
        <v>#DIV/0!</v>
      </c>
      <c r="G84" s="156" t="e">
        <f>G$53*LifeCycle!F16</f>
        <v>#DIV/0!</v>
      </c>
      <c r="H84" s="156" t="e">
        <f>H$53*LifeCycle!G16</f>
        <v>#DIV/0!</v>
      </c>
      <c r="I84" s="156" t="e">
        <f>I$53*LifeCycle!H16</f>
        <v>#DIV/0!</v>
      </c>
      <c r="J84" s="156" t="e">
        <f>J$53*LifeCycle!I16</f>
        <v>#DIV/0!</v>
      </c>
      <c r="K84" s="156" t="e">
        <f>K$53*LifeCycle!J16</f>
        <v>#DIV/0!</v>
      </c>
    </row>
    <row r="85" spans="2:11" ht="18" customHeight="1" x14ac:dyDescent="0.45">
      <c r="B85" s="129">
        <v>15</v>
      </c>
      <c r="C85" s="150" t="str">
        <f>Constants!R51</f>
        <v>مدیر خدمات پس از فروش</v>
      </c>
      <c r="D85" s="156" t="e">
        <f>D$53*LifeCycle!C17</f>
        <v>#DIV/0!</v>
      </c>
      <c r="E85" s="156" t="e">
        <f>E$53*LifeCycle!D17</f>
        <v>#DIV/0!</v>
      </c>
      <c r="F85" s="156" t="e">
        <f>F$53*LifeCycle!E17</f>
        <v>#DIV/0!</v>
      </c>
      <c r="G85" s="156" t="e">
        <f>G$53*LifeCycle!F17</f>
        <v>#DIV/0!</v>
      </c>
      <c r="H85" s="156" t="e">
        <f>H$53*LifeCycle!G17</f>
        <v>#DIV/0!</v>
      </c>
      <c r="I85" s="156" t="e">
        <f>I$53*LifeCycle!H17</f>
        <v>#DIV/0!</v>
      </c>
      <c r="J85" s="156" t="e">
        <f>J$53*LifeCycle!I17</f>
        <v>#DIV/0!</v>
      </c>
      <c r="K85" s="156" t="e">
        <f>K$53*LifeCycle!J17</f>
        <v>#DIV/0!</v>
      </c>
    </row>
    <row r="86" spans="2:11" ht="18" customHeight="1" x14ac:dyDescent="0.45">
      <c r="B86" s="129">
        <v>16</v>
      </c>
      <c r="C86" s="150" t="str">
        <f>Constants!R52</f>
        <v>تکنسین عملیات</v>
      </c>
      <c r="D86" s="156" t="e">
        <f>D$53*LifeCycle!C18</f>
        <v>#DIV/0!</v>
      </c>
      <c r="E86" s="156" t="e">
        <f>E$53*LifeCycle!D18</f>
        <v>#DIV/0!</v>
      </c>
      <c r="F86" s="156" t="e">
        <f>F$53*LifeCycle!E18</f>
        <v>#DIV/0!</v>
      </c>
      <c r="G86" s="156" t="e">
        <f>G$53*LifeCycle!F18</f>
        <v>#DIV/0!</v>
      </c>
      <c r="H86" s="156" t="e">
        <f>H$53*LifeCycle!G18</f>
        <v>#DIV/0!</v>
      </c>
      <c r="I86" s="156" t="e">
        <f>I$53*LifeCycle!H18</f>
        <v>#DIV/0!</v>
      </c>
      <c r="J86" s="156" t="e">
        <f>J$53*LifeCycle!I18</f>
        <v>#DIV/0!</v>
      </c>
      <c r="K86" s="156" t="e">
        <f>K$53*LifeCycle!J18</f>
        <v>#DIV/0!</v>
      </c>
    </row>
    <row r="87" spans="2:11" ht="18" customHeight="1" x14ac:dyDescent="0.45">
      <c r="B87" s="129">
        <v>17</v>
      </c>
      <c r="C87" s="150" t="str">
        <f>Constants!R53</f>
        <v>کارشناس آموزش</v>
      </c>
      <c r="D87" s="156" t="e">
        <f>D$53*LifeCycle!C19</f>
        <v>#DIV/0!</v>
      </c>
      <c r="E87" s="156" t="e">
        <f>E$53*LifeCycle!D19</f>
        <v>#DIV/0!</v>
      </c>
      <c r="F87" s="156" t="e">
        <f>F$53*LifeCycle!E19</f>
        <v>#DIV/0!</v>
      </c>
      <c r="G87" s="156" t="e">
        <f>G$53*LifeCycle!F19</f>
        <v>#DIV/0!</v>
      </c>
      <c r="H87" s="156" t="e">
        <f>H$53*LifeCycle!G19</f>
        <v>#DIV/0!</v>
      </c>
      <c r="I87" s="156" t="e">
        <f>I$53*LifeCycle!H19</f>
        <v>#DIV/0!</v>
      </c>
      <c r="J87" s="156" t="e">
        <f>J$53*LifeCycle!I19</f>
        <v>#DIV/0!</v>
      </c>
      <c r="K87" s="156" t="e">
        <f>K$53*LifeCycle!J19</f>
        <v>#DIV/0!</v>
      </c>
    </row>
    <row r="88" spans="2:11" ht="18" customHeight="1" x14ac:dyDescent="0.45">
      <c r="B88" s="129">
        <v>18</v>
      </c>
      <c r="C88" s="150" t="str">
        <f>Constants!R54</f>
        <v>مشاور ارشد</v>
      </c>
      <c r="D88" s="156" t="e">
        <f>D$53*LifeCycle!C20</f>
        <v>#DIV/0!</v>
      </c>
      <c r="E88" s="156" t="e">
        <f>E$53*LifeCycle!D20</f>
        <v>#DIV/0!</v>
      </c>
      <c r="F88" s="156" t="e">
        <f>F$53*LifeCycle!E20</f>
        <v>#DIV/0!</v>
      </c>
      <c r="G88" s="156" t="e">
        <f>G$53*LifeCycle!F20</f>
        <v>#DIV/0!</v>
      </c>
      <c r="H88" s="156" t="e">
        <f>H$53*LifeCycle!G20</f>
        <v>#DIV/0!</v>
      </c>
      <c r="I88" s="156" t="e">
        <f>I$53*LifeCycle!H20</f>
        <v>#DIV/0!</v>
      </c>
      <c r="J88" s="156" t="e">
        <f>J$53*LifeCycle!I20</f>
        <v>#DIV/0!</v>
      </c>
      <c r="K88" s="156" t="e">
        <f>K$53*LifeCycle!J20</f>
        <v>#DIV/0!</v>
      </c>
    </row>
    <row r="89" spans="2:11" ht="18" customHeight="1" x14ac:dyDescent="0.45">
      <c r="B89" s="129">
        <v>19</v>
      </c>
      <c r="C89" s="150" t="str">
        <f>Constants!R55</f>
        <v>مشاور</v>
      </c>
      <c r="D89" s="156" t="e">
        <f>D$53*LifeCycle!C21</f>
        <v>#DIV/0!</v>
      </c>
      <c r="E89" s="156" t="e">
        <f>E$53*LifeCycle!D21</f>
        <v>#DIV/0!</v>
      </c>
      <c r="F89" s="156" t="e">
        <f>F$53*LifeCycle!E21</f>
        <v>#DIV/0!</v>
      </c>
      <c r="G89" s="156" t="e">
        <f>G$53*LifeCycle!F21</f>
        <v>#DIV/0!</v>
      </c>
      <c r="H89" s="156" t="e">
        <f>H$53*LifeCycle!G21</f>
        <v>#DIV/0!</v>
      </c>
      <c r="I89" s="156" t="e">
        <f>I$53*LifeCycle!H21</f>
        <v>#DIV/0!</v>
      </c>
      <c r="J89" s="156" t="e">
        <f>J$53*LifeCycle!I21</f>
        <v>#DIV/0!</v>
      </c>
      <c r="K89" s="156" t="e">
        <f>K$53*LifeCycle!J21</f>
        <v>#DIV/0!</v>
      </c>
    </row>
    <row r="90" spans="2:11" ht="18" customHeight="1" x14ac:dyDescent="0.45">
      <c r="B90" s="129">
        <v>20</v>
      </c>
      <c r="C90" s="150" t="str">
        <f>Constants!R56</f>
        <v>کارشناس ارشد شبکه</v>
      </c>
      <c r="D90" s="156" t="e">
        <f>D$53*LifeCycle!C22</f>
        <v>#DIV/0!</v>
      </c>
      <c r="E90" s="156" t="e">
        <f>E$53*LifeCycle!D22</f>
        <v>#DIV/0!</v>
      </c>
      <c r="F90" s="156" t="e">
        <f>F$53*LifeCycle!E22</f>
        <v>#DIV/0!</v>
      </c>
      <c r="G90" s="156" t="e">
        <f>G$53*LifeCycle!F22</f>
        <v>#DIV/0!</v>
      </c>
      <c r="H90" s="156" t="e">
        <f>H$53*LifeCycle!G22</f>
        <v>#DIV/0!</v>
      </c>
      <c r="I90" s="156" t="e">
        <f>I$53*LifeCycle!H22</f>
        <v>#DIV/0!</v>
      </c>
      <c r="J90" s="156" t="e">
        <f>J$53*LifeCycle!I22</f>
        <v>#DIV/0!</v>
      </c>
      <c r="K90" s="156" t="e">
        <f>K$53*LifeCycle!J22</f>
        <v>#DIV/0!</v>
      </c>
    </row>
    <row r="91" spans="2:11" ht="18" customHeight="1" x14ac:dyDescent="0.45">
      <c r="B91" s="129">
        <v>21</v>
      </c>
      <c r="C91" s="150" t="str">
        <f>Constants!R57</f>
        <v>کارشناس درجه 1 شبکه</v>
      </c>
      <c r="D91" s="156" t="e">
        <f>D$53*LifeCycle!C23</f>
        <v>#DIV/0!</v>
      </c>
      <c r="E91" s="156" t="e">
        <f>E$53*LifeCycle!D23</f>
        <v>#DIV/0!</v>
      </c>
      <c r="F91" s="156" t="e">
        <f>F$53*LifeCycle!E23</f>
        <v>#DIV/0!</v>
      </c>
      <c r="G91" s="156" t="e">
        <f>G$53*LifeCycle!F23</f>
        <v>#DIV/0!</v>
      </c>
      <c r="H91" s="156" t="e">
        <f>H$53*LifeCycle!G23</f>
        <v>#DIV/0!</v>
      </c>
      <c r="I91" s="156" t="e">
        <f>I$53*LifeCycle!H23</f>
        <v>#DIV/0!</v>
      </c>
      <c r="J91" s="156" t="e">
        <f>J$53*LifeCycle!I23</f>
        <v>#DIV/0!</v>
      </c>
      <c r="K91" s="156" t="e">
        <f>K$53*LifeCycle!J23</f>
        <v>#DIV/0!</v>
      </c>
    </row>
    <row r="92" spans="2:11" ht="18" customHeight="1" x14ac:dyDescent="0.45">
      <c r="B92" s="129">
        <v>22</v>
      </c>
      <c r="C92" s="150" t="str">
        <f>Constants!R58</f>
        <v>تکنسین شبکه</v>
      </c>
      <c r="D92" s="156" t="e">
        <f>D$53*LifeCycle!C24</f>
        <v>#DIV/0!</v>
      </c>
      <c r="E92" s="156" t="e">
        <f>E$53*LifeCycle!D24</f>
        <v>#DIV/0!</v>
      </c>
      <c r="F92" s="156" t="e">
        <f>F$53*LifeCycle!E24</f>
        <v>#DIV/0!</v>
      </c>
      <c r="G92" s="156" t="e">
        <f>G$53*LifeCycle!F24</f>
        <v>#DIV/0!</v>
      </c>
      <c r="H92" s="156" t="e">
        <f>H$53*LifeCycle!G24</f>
        <v>#DIV/0!</v>
      </c>
      <c r="I92" s="156" t="e">
        <f>I$53*LifeCycle!H24</f>
        <v>#DIV/0!</v>
      </c>
      <c r="J92" s="156" t="e">
        <f>J$53*LifeCycle!I24</f>
        <v>#DIV/0!</v>
      </c>
      <c r="K92" s="156" t="e">
        <f>K$53*LifeCycle!J24</f>
        <v>#DIV/0!</v>
      </c>
    </row>
    <row r="93" spans="2:11" ht="18" customHeight="1" x14ac:dyDescent="0.45">
      <c r="B93" s="129">
        <v>23</v>
      </c>
      <c r="C93" s="150" t="str">
        <f>Constants!R59</f>
        <v>کارشناس امنیت</v>
      </c>
      <c r="D93" s="156" t="e">
        <f>D$53*LifeCycle!C25</f>
        <v>#DIV/0!</v>
      </c>
      <c r="E93" s="156" t="e">
        <f>E$53*LifeCycle!D25</f>
        <v>#DIV/0!</v>
      </c>
      <c r="F93" s="156" t="e">
        <f>F$53*LifeCycle!E25</f>
        <v>#DIV/0!</v>
      </c>
      <c r="G93" s="156" t="e">
        <f>G$53*LifeCycle!F25</f>
        <v>#DIV/0!</v>
      </c>
      <c r="H93" s="156" t="e">
        <f>H$53*LifeCycle!G25</f>
        <v>#DIV/0!</v>
      </c>
      <c r="I93" s="156" t="e">
        <f>I$53*LifeCycle!H25</f>
        <v>#DIV/0!</v>
      </c>
      <c r="J93" s="156" t="e">
        <f>J$53*LifeCycle!I25</f>
        <v>#DIV/0!</v>
      </c>
      <c r="K93" s="156" t="e">
        <f>K$53*LifeCycle!J25</f>
        <v>#DIV/0!</v>
      </c>
    </row>
    <row r="94" spans="2:11" ht="18" customHeight="1" x14ac:dyDescent="0.45">
      <c r="B94" s="129">
        <v>24</v>
      </c>
      <c r="C94" s="150" t="str">
        <f>Constants!R60</f>
        <v>کارشناس کنترل پروژه</v>
      </c>
      <c r="D94" s="156" t="e">
        <f>D$53*LifeCycle!C26</f>
        <v>#DIV/0!</v>
      </c>
      <c r="E94" s="156" t="e">
        <f>E$53*LifeCycle!D26</f>
        <v>#DIV/0!</v>
      </c>
      <c r="F94" s="156" t="e">
        <f>F$53*LifeCycle!E26</f>
        <v>#DIV/0!</v>
      </c>
      <c r="G94" s="156" t="e">
        <f>G$53*LifeCycle!F26</f>
        <v>#DIV/0!</v>
      </c>
      <c r="H94" s="156" t="e">
        <f>H$53*LifeCycle!G26</f>
        <v>#DIV/0!</v>
      </c>
      <c r="I94" s="156" t="e">
        <f>I$53*LifeCycle!H26</f>
        <v>#DIV/0!</v>
      </c>
      <c r="J94" s="156" t="e">
        <f>J$53*LifeCycle!I26</f>
        <v>#DIV/0!</v>
      </c>
      <c r="K94" s="156" t="e">
        <f>K$53*LifeCycle!J26</f>
        <v>#DIV/0!</v>
      </c>
    </row>
    <row r="95" spans="2:11" ht="18" customHeight="1" x14ac:dyDescent="0.45">
      <c r="B95" s="129">
        <v>25</v>
      </c>
      <c r="C95" s="150" t="str">
        <f>Constants!R61</f>
        <v>کارشناس پایگاه داده ارشد</v>
      </c>
      <c r="D95" s="156" t="e">
        <f>D$53*LifeCycle!C27</f>
        <v>#DIV/0!</v>
      </c>
      <c r="E95" s="156" t="e">
        <f>E$53*LifeCycle!D27</f>
        <v>#DIV/0!</v>
      </c>
      <c r="F95" s="156" t="e">
        <f>F$53*LifeCycle!E27</f>
        <v>#DIV/0!</v>
      </c>
      <c r="G95" s="156" t="e">
        <f>G$53*LifeCycle!F27</f>
        <v>#DIV/0!</v>
      </c>
      <c r="H95" s="156" t="e">
        <f>H$53*LifeCycle!G27</f>
        <v>#DIV/0!</v>
      </c>
      <c r="I95" s="156" t="e">
        <f>I$53*LifeCycle!H27</f>
        <v>#DIV/0!</v>
      </c>
      <c r="J95" s="156" t="e">
        <f>J$53*LifeCycle!I27</f>
        <v>#DIV/0!</v>
      </c>
      <c r="K95" s="156" t="e">
        <f>K$53*LifeCycle!J27</f>
        <v>#DIV/0!</v>
      </c>
    </row>
    <row r="96" spans="2:11" ht="18" customHeight="1" x14ac:dyDescent="0.45">
      <c r="B96" s="129">
        <v>26</v>
      </c>
      <c r="C96" s="150" t="str">
        <f>Constants!R62</f>
        <v>کارشناس پایگاه داده درجه 1</v>
      </c>
      <c r="D96" s="156" t="e">
        <f>D$53*LifeCycle!C28</f>
        <v>#DIV/0!</v>
      </c>
      <c r="E96" s="156" t="e">
        <f>E$53*LifeCycle!D28</f>
        <v>#DIV/0!</v>
      </c>
      <c r="F96" s="156" t="e">
        <f>F$53*LifeCycle!E28</f>
        <v>#DIV/0!</v>
      </c>
      <c r="G96" s="156" t="e">
        <f>G$53*LifeCycle!F28</f>
        <v>#DIV/0!</v>
      </c>
      <c r="H96" s="156" t="e">
        <f>H$53*LifeCycle!G28</f>
        <v>#DIV/0!</v>
      </c>
      <c r="I96" s="156" t="e">
        <f>I$53*LifeCycle!H28</f>
        <v>#DIV/0!</v>
      </c>
      <c r="J96" s="156" t="e">
        <f>J$53*LifeCycle!I28</f>
        <v>#DIV/0!</v>
      </c>
      <c r="K96" s="156" t="e">
        <f>K$53*LifeCycle!J28</f>
        <v>#DIV/0!</v>
      </c>
    </row>
    <row r="97" spans="2:11" ht="18" customHeight="1" x14ac:dyDescent="0.45">
      <c r="B97" s="129">
        <v>27</v>
      </c>
      <c r="C97" s="150" t="str">
        <f>Constants!R63</f>
        <v xml:space="preserve">مهندس ارشد سیستم </v>
      </c>
      <c r="D97" s="156" t="e">
        <f>D$53*LifeCycle!C29</f>
        <v>#DIV/0!</v>
      </c>
      <c r="E97" s="156" t="e">
        <f>E$53*LifeCycle!D29</f>
        <v>#DIV/0!</v>
      </c>
      <c r="F97" s="156" t="e">
        <f>F$53*LifeCycle!E29</f>
        <v>#DIV/0!</v>
      </c>
      <c r="G97" s="156" t="e">
        <f>G$53*LifeCycle!F29</f>
        <v>#DIV/0!</v>
      </c>
      <c r="H97" s="156" t="e">
        <f>H$53*LifeCycle!G29</f>
        <v>#DIV/0!</v>
      </c>
      <c r="I97" s="156" t="e">
        <f>I$53*LifeCycle!H29</f>
        <v>#DIV/0!</v>
      </c>
      <c r="J97" s="156" t="e">
        <f>J$53*LifeCycle!I29</f>
        <v>#DIV/0!</v>
      </c>
      <c r="K97" s="156" t="e">
        <f>K$53*LifeCycle!J29</f>
        <v>#DIV/0!</v>
      </c>
    </row>
    <row r="98" spans="2:11" ht="18" customHeight="1" x14ac:dyDescent="0.45">
      <c r="B98" s="129">
        <v>28</v>
      </c>
      <c r="C98" s="150" t="str">
        <f>Constants!R64</f>
        <v>مهندس سیستم درجه 1</v>
      </c>
      <c r="D98" s="156" t="e">
        <f>D$53*LifeCycle!C30</f>
        <v>#DIV/0!</v>
      </c>
      <c r="E98" s="156" t="e">
        <f>E$53*LifeCycle!D30</f>
        <v>#DIV/0!</v>
      </c>
      <c r="F98" s="156" t="e">
        <f>F$53*LifeCycle!E30</f>
        <v>#DIV/0!</v>
      </c>
      <c r="G98" s="156" t="e">
        <f>G$53*LifeCycle!F30</f>
        <v>#DIV/0!</v>
      </c>
      <c r="H98" s="156" t="e">
        <f>H$53*LifeCycle!G30</f>
        <v>#DIV/0!</v>
      </c>
      <c r="I98" s="156" t="e">
        <f>I$53*LifeCycle!H30</f>
        <v>#DIV/0!</v>
      </c>
      <c r="J98" s="156" t="e">
        <f>J$53*LifeCycle!I30</f>
        <v>#DIV/0!</v>
      </c>
      <c r="K98" s="156" t="e">
        <f>K$53*LifeCycle!J30</f>
        <v>#DIV/0!</v>
      </c>
    </row>
    <row r="99" spans="2:11" ht="23.25" customHeight="1" x14ac:dyDescent="0.45">
      <c r="D99" s="157" t="e">
        <f t="shared" ref="D99:K99" si="10">SUM(D71:D98)</f>
        <v>#DIV/0!</v>
      </c>
      <c r="E99" s="157" t="e">
        <f t="shared" si="10"/>
        <v>#DIV/0!</v>
      </c>
      <c r="F99" s="157" t="e">
        <f t="shared" si="10"/>
        <v>#DIV/0!</v>
      </c>
      <c r="G99" s="157" t="e">
        <f t="shared" si="10"/>
        <v>#DIV/0!</v>
      </c>
      <c r="H99" s="157" t="e">
        <f t="shared" si="10"/>
        <v>#DIV/0!</v>
      </c>
      <c r="I99" s="157" t="e">
        <f t="shared" si="10"/>
        <v>#DIV/0!</v>
      </c>
      <c r="J99" s="157" t="e">
        <f t="shared" si="10"/>
        <v>#DIV/0!</v>
      </c>
      <c r="K99" s="157" t="e">
        <f t="shared" si="10"/>
        <v>#DIV/0!</v>
      </c>
    </row>
    <row r="102" spans="2:11" ht="18" customHeight="1" x14ac:dyDescent="0.45">
      <c r="C102" s="110"/>
      <c r="D102" s="155"/>
      <c r="E102" s="155"/>
      <c r="F102" s="155"/>
    </row>
    <row r="103" spans="2:11" ht="18" customHeight="1" x14ac:dyDescent="0.45">
      <c r="B103" s="129">
        <v>1</v>
      </c>
      <c r="C103" s="150" t="str">
        <f>Constants!R37</f>
        <v>مدیر پروژه</v>
      </c>
      <c r="D103" s="156">
        <f>D$63*LifeCycle!C3</f>
        <v>0</v>
      </c>
      <c r="E103" s="156">
        <f>E$63*LifeCycle!D3</f>
        <v>0</v>
      </c>
      <c r="F103" s="156">
        <f>F$63*LifeCycle!E3</f>
        <v>0</v>
      </c>
      <c r="G103" s="156">
        <f>G$63*LifeCycle!F3</f>
        <v>0</v>
      </c>
      <c r="H103" s="156">
        <f>H$63*LifeCycle!G3</f>
        <v>0</v>
      </c>
      <c r="I103" s="156">
        <f>I$63*LifeCycle!H3</f>
        <v>0</v>
      </c>
      <c r="J103" s="156">
        <f>J$63*LifeCycle!I3</f>
        <v>0</v>
      </c>
      <c r="K103" s="156">
        <f>K$63*LifeCycle!J3</f>
        <v>0</v>
      </c>
    </row>
    <row r="104" spans="2:11" ht="18" customHeight="1" x14ac:dyDescent="0.45">
      <c r="B104" s="129">
        <v>2</v>
      </c>
      <c r="C104" s="150" t="str">
        <f>Constants!R38</f>
        <v xml:space="preserve">تحلیلگر </v>
      </c>
      <c r="D104" s="156">
        <f>D$63*LifeCycle!C4</f>
        <v>0</v>
      </c>
      <c r="E104" s="156">
        <f>E$63*LifeCycle!D4</f>
        <v>0</v>
      </c>
      <c r="F104" s="156">
        <f>F$63*LifeCycle!E4</f>
        <v>0</v>
      </c>
      <c r="G104" s="156">
        <f>G$63*LifeCycle!F4</f>
        <v>0</v>
      </c>
      <c r="H104" s="156">
        <f>H$63*LifeCycle!G4</f>
        <v>0</v>
      </c>
      <c r="I104" s="156">
        <f>I$63*LifeCycle!H4</f>
        <v>0</v>
      </c>
      <c r="J104" s="156">
        <f>J$63*LifeCycle!I4</f>
        <v>0</v>
      </c>
      <c r="K104" s="156">
        <f>K$63*LifeCycle!J4</f>
        <v>0</v>
      </c>
    </row>
    <row r="105" spans="2:11" ht="18" customHeight="1" x14ac:dyDescent="0.45">
      <c r="B105" s="129">
        <v>3</v>
      </c>
      <c r="C105" s="150" t="str">
        <f>Constants!R39</f>
        <v xml:space="preserve">طراح </v>
      </c>
      <c r="D105" s="156">
        <f>D$63*LifeCycle!C5</f>
        <v>0</v>
      </c>
      <c r="E105" s="156">
        <f>E$63*LifeCycle!D5</f>
        <v>0</v>
      </c>
      <c r="F105" s="156">
        <f>F$63*LifeCycle!E5</f>
        <v>0</v>
      </c>
      <c r="G105" s="156">
        <f>G$63*LifeCycle!F5</f>
        <v>0</v>
      </c>
      <c r="H105" s="156">
        <f>H$63*LifeCycle!G5</f>
        <v>0</v>
      </c>
      <c r="I105" s="156">
        <f>I$63*LifeCycle!H5</f>
        <v>0</v>
      </c>
      <c r="J105" s="156">
        <f>J$63*LifeCycle!I5</f>
        <v>0</v>
      </c>
      <c r="K105" s="156">
        <f>K$63*LifeCycle!J5</f>
        <v>0</v>
      </c>
    </row>
    <row r="106" spans="2:11" ht="18" customHeight="1" x14ac:dyDescent="0.45">
      <c r="B106" s="129">
        <v>4</v>
      </c>
      <c r="C106" s="150" t="str">
        <f>Constants!R40</f>
        <v>برنامه نویس ارشد</v>
      </c>
      <c r="D106" s="156">
        <f>D$63*LifeCycle!C6</f>
        <v>0</v>
      </c>
      <c r="E106" s="156">
        <f>E$63*LifeCycle!D6</f>
        <v>0</v>
      </c>
      <c r="F106" s="156">
        <f>F$63*LifeCycle!E6</f>
        <v>0</v>
      </c>
      <c r="G106" s="156">
        <f>G$63*LifeCycle!F6</f>
        <v>0</v>
      </c>
      <c r="H106" s="156">
        <f>H$63*LifeCycle!G6</f>
        <v>0</v>
      </c>
      <c r="I106" s="156">
        <f>I$63*LifeCycle!H6</f>
        <v>0</v>
      </c>
      <c r="J106" s="156">
        <f>J$63*LifeCycle!I6</f>
        <v>0</v>
      </c>
      <c r="K106" s="156">
        <f>K$63*LifeCycle!J6</f>
        <v>0</v>
      </c>
    </row>
    <row r="107" spans="2:11" ht="18" customHeight="1" x14ac:dyDescent="0.45">
      <c r="B107" s="129">
        <v>5</v>
      </c>
      <c r="C107" s="150" t="str">
        <f>Constants!R41</f>
        <v>برنامه نویس درجه 1</v>
      </c>
      <c r="D107" s="156">
        <f>D$63*LifeCycle!C7</f>
        <v>0</v>
      </c>
      <c r="E107" s="156">
        <f>E$63*LifeCycle!D7</f>
        <v>0</v>
      </c>
      <c r="F107" s="156">
        <f>F$63*LifeCycle!E7</f>
        <v>0</v>
      </c>
      <c r="G107" s="156">
        <f>G$63*LifeCycle!F7</f>
        <v>0</v>
      </c>
      <c r="H107" s="156">
        <f>H$63*LifeCycle!G7</f>
        <v>0</v>
      </c>
      <c r="I107" s="156">
        <f>I$63*LifeCycle!H7</f>
        <v>0</v>
      </c>
      <c r="J107" s="156">
        <f>J$63*LifeCycle!I7</f>
        <v>0</v>
      </c>
      <c r="K107" s="156">
        <f>K$63*LifeCycle!J7</f>
        <v>0</v>
      </c>
    </row>
    <row r="108" spans="2:11" ht="18" customHeight="1" x14ac:dyDescent="0.45">
      <c r="B108" s="129">
        <v>6</v>
      </c>
      <c r="C108" s="150" t="str">
        <f>Constants!R42</f>
        <v>برنامه نویس درجه 2</v>
      </c>
      <c r="D108" s="156">
        <f>D$63*LifeCycle!C8</f>
        <v>0</v>
      </c>
      <c r="E108" s="156">
        <f>E$63*LifeCycle!D8</f>
        <v>0</v>
      </c>
      <c r="F108" s="156">
        <f>F$63*LifeCycle!E8</f>
        <v>0</v>
      </c>
      <c r="G108" s="156">
        <f>G$63*LifeCycle!F8</f>
        <v>0</v>
      </c>
      <c r="H108" s="156">
        <f>H$63*LifeCycle!G8</f>
        <v>0</v>
      </c>
      <c r="I108" s="156">
        <f>I$63*LifeCycle!H8</f>
        <v>0</v>
      </c>
      <c r="J108" s="156">
        <f>J$63*LifeCycle!I8</f>
        <v>0</v>
      </c>
      <c r="K108" s="156">
        <f>K$63*LifeCycle!J8</f>
        <v>0</v>
      </c>
    </row>
    <row r="109" spans="2:11" ht="18" customHeight="1" x14ac:dyDescent="0.45">
      <c r="B109" s="129">
        <v>7</v>
      </c>
      <c r="C109" s="150" t="str">
        <f>Constants!R43</f>
        <v>طراح آزمایش</v>
      </c>
      <c r="D109" s="156">
        <f>D$63*LifeCycle!C9</f>
        <v>0</v>
      </c>
      <c r="E109" s="156">
        <f>E$63*LifeCycle!D9</f>
        <v>0</v>
      </c>
      <c r="F109" s="156">
        <f>F$63*LifeCycle!E9</f>
        <v>0</v>
      </c>
      <c r="G109" s="156">
        <f>G$63*LifeCycle!F9</f>
        <v>0</v>
      </c>
      <c r="H109" s="156">
        <f>H$63*LifeCycle!G9</f>
        <v>0</v>
      </c>
      <c r="I109" s="156">
        <f>I$63*LifeCycle!H9</f>
        <v>0</v>
      </c>
      <c r="J109" s="156">
        <f>J$63*LifeCycle!I9</f>
        <v>0</v>
      </c>
      <c r="K109" s="156">
        <f>K$63*LifeCycle!J9</f>
        <v>0</v>
      </c>
    </row>
    <row r="110" spans="2:11" ht="18" customHeight="1" x14ac:dyDescent="0.45">
      <c r="B110" s="129">
        <v>8</v>
      </c>
      <c r="C110" s="150" t="str">
        <f>Constants!R44</f>
        <v>آزمونگر</v>
      </c>
      <c r="D110" s="156">
        <f>D$63*LifeCycle!C10</f>
        <v>0</v>
      </c>
      <c r="E110" s="156">
        <f>E$63*LifeCycle!D10</f>
        <v>0</v>
      </c>
      <c r="F110" s="156">
        <f>F$63*LifeCycle!E10</f>
        <v>0</v>
      </c>
      <c r="G110" s="156">
        <f>G$63*LifeCycle!F10</f>
        <v>0</v>
      </c>
      <c r="H110" s="156">
        <f>H$63*LifeCycle!G10</f>
        <v>0</v>
      </c>
      <c r="I110" s="156">
        <f>I$63*LifeCycle!H10</f>
        <v>0</v>
      </c>
      <c r="J110" s="156">
        <f>J$63*LifeCycle!I10</f>
        <v>0</v>
      </c>
      <c r="K110" s="156">
        <f>K$63*LifeCycle!J10</f>
        <v>0</v>
      </c>
    </row>
    <row r="111" spans="2:11" ht="18" customHeight="1" x14ac:dyDescent="0.45">
      <c r="B111" s="129">
        <v>9</v>
      </c>
      <c r="C111" s="150" t="str">
        <f>Constants!R45</f>
        <v>کارشناس مستندساز</v>
      </c>
      <c r="D111" s="156">
        <f>D$63*LifeCycle!C11</f>
        <v>0</v>
      </c>
      <c r="E111" s="156">
        <f>E$63*LifeCycle!D11</f>
        <v>0</v>
      </c>
      <c r="F111" s="156">
        <f>F$63*LifeCycle!E11</f>
        <v>0</v>
      </c>
      <c r="G111" s="156">
        <f>G$63*LifeCycle!F11</f>
        <v>0</v>
      </c>
      <c r="H111" s="156">
        <f>H$63*LifeCycle!G11</f>
        <v>0</v>
      </c>
      <c r="I111" s="156">
        <f>I$63*LifeCycle!H11</f>
        <v>0</v>
      </c>
      <c r="J111" s="156">
        <f>J$63*LifeCycle!I11</f>
        <v>0</v>
      </c>
      <c r="K111" s="156">
        <f>K$63*LifeCycle!J11</f>
        <v>0</v>
      </c>
    </row>
    <row r="112" spans="2:11" ht="18" customHeight="1" x14ac:dyDescent="0.45">
      <c r="B112" s="129">
        <v>10</v>
      </c>
      <c r="C112" s="150" t="str">
        <f>Constants!R46</f>
        <v>نگارگر (گرافیست)</v>
      </c>
      <c r="D112" s="156">
        <f>D$63*LifeCycle!C12</f>
        <v>0</v>
      </c>
      <c r="E112" s="156">
        <f>E$63*LifeCycle!D12</f>
        <v>0</v>
      </c>
      <c r="F112" s="156">
        <f>F$63*LifeCycle!E12</f>
        <v>0</v>
      </c>
      <c r="G112" s="156">
        <f>G$63*LifeCycle!F12</f>
        <v>0</v>
      </c>
      <c r="H112" s="156">
        <f>H$63*LifeCycle!G12</f>
        <v>0</v>
      </c>
      <c r="I112" s="156">
        <f>I$63*LifeCycle!H12</f>
        <v>0</v>
      </c>
      <c r="J112" s="156">
        <f>J$63*LifeCycle!I12</f>
        <v>0</v>
      </c>
      <c r="K112" s="156">
        <f>K$63*LifeCycle!J12</f>
        <v>0</v>
      </c>
    </row>
    <row r="113" spans="2:11" ht="18" customHeight="1" x14ac:dyDescent="0.45">
      <c r="B113" s="129">
        <v>11</v>
      </c>
      <c r="C113" s="150" t="str">
        <f>Constants!R47</f>
        <v>مدیر کیفیت</v>
      </c>
      <c r="D113" s="156">
        <f>D$63*LifeCycle!C13</f>
        <v>0</v>
      </c>
      <c r="E113" s="156">
        <f>E$63*LifeCycle!D13</f>
        <v>0</v>
      </c>
      <c r="F113" s="156">
        <f>F$63*LifeCycle!E13</f>
        <v>0</v>
      </c>
      <c r="G113" s="156">
        <f>G$63*LifeCycle!F13</f>
        <v>0</v>
      </c>
      <c r="H113" s="156">
        <f>H$63*LifeCycle!G13</f>
        <v>0</v>
      </c>
      <c r="I113" s="156">
        <f>I$63*LifeCycle!H13</f>
        <v>0</v>
      </c>
      <c r="J113" s="156">
        <f>J$63*LifeCycle!I13</f>
        <v>0</v>
      </c>
      <c r="K113" s="156">
        <f>K$63*LifeCycle!J13</f>
        <v>0</v>
      </c>
    </row>
    <row r="114" spans="2:11" ht="18" customHeight="1" x14ac:dyDescent="0.45">
      <c r="B114" s="129">
        <v>12</v>
      </c>
      <c r="C114" s="150" t="str">
        <f>Constants!R48</f>
        <v>کارشناس کیفیت</v>
      </c>
      <c r="D114" s="156">
        <f>D$63*LifeCycle!C14</f>
        <v>0</v>
      </c>
      <c r="E114" s="156">
        <f>E$63*LifeCycle!D14</f>
        <v>0</v>
      </c>
      <c r="F114" s="156">
        <f>F$63*LifeCycle!E14</f>
        <v>0</v>
      </c>
      <c r="G114" s="156">
        <f>G$63*LifeCycle!F14</f>
        <v>0</v>
      </c>
      <c r="H114" s="156">
        <f>H$63*LifeCycle!G14</f>
        <v>0</v>
      </c>
      <c r="I114" s="156">
        <f>I$63*LifeCycle!H14</f>
        <v>0</v>
      </c>
      <c r="J114" s="156">
        <f>J$63*LifeCycle!I14</f>
        <v>0</v>
      </c>
      <c r="K114" s="156">
        <f>K$63*LifeCycle!J14</f>
        <v>0</v>
      </c>
    </row>
    <row r="115" spans="2:11" ht="18" customHeight="1" x14ac:dyDescent="0.45">
      <c r="B115" s="129">
        <v>13</v>
      </c>
      <c r="C115" s="150" t="str">
        <f>Constants!R49</f>
        <v>کارشناس پیکربندی</v>
      </c>
      <c r="D115" s="156">
        <f>D$63*LifeCycle!C15</f>
        <v>0</v>
      </c>
      <c r="E115" s="156">
        <f>E$63*LifeCycle!D15</f>
        <v>0</v>
      </c>
      <c r="F115" s="156">
        <f>F$63*LifeCycle!E15</f>
        <v>0</v>
      </c>
      <c r="G115" s="156">
        <f>G$63*LifeCycle!F15</f>
        <v>0</v>
      </c>
      <c r="H115" s="156">
        <f>H$63*LifeCycle!G15</f>
        <v>0</v>
      </c>
      <c r="I115" s="156">
        <f>I$63*LifeCycle!H15</f>
        <v>0</v>
      </c>
      <c r="J115" s="156">
        <f>J$63*LifeCycle!I15</f>
        <v>0</v>
      </c>
      <c r="K115" s="156">
        <f>K$63*LifeCycle!J15</f>
        <v>0</v>
      </c>
    </row>
    <row r="116" spans="2:11" ht="18" customHeight="1" x14ac:dyDescent="0.45">
      <c r="B116" s="129">
        <v>14</v>
      </c>
      <c r="C116" s="150" t="str">
        <f>Constants!R50</f>
        <v>مسئول سایت/کارگاه</v>
      </c>
      <c r="D116" s="156">
        <f>D$63*LifeCycle!C16</f>
        <v>0</v>
      </c>
      <c r="E116" s="156">
        <f>E$63*LifeCycle!D16</f>
        <v>0</v>
      </c>
      <c r="F116" s="156">
        <f>F$63*LifeCycle!E16</f>
        <v>0</v>
      </c>
      <c r="G116" s="156">
        <f>G$63*LifeCycle!F16</f>
        <v>0</v>
      </c>
      <c r="H116" s="156">
        <f>H$63*LifeCycle!G16</f>
        <v>0</v>
      </c>
      <c r="I116" s="156">
        <f>I$63*LifeCycle!H16</f>
        <v>0</v>
      </c>
      <c r="J116" s="156">
        <f>J$63*LifeCycle!I16</f>
        <v>0</v>
      </c>
      <c r="K116" s="156">
        <f>K$63*LifeCycle!J16</f>
        <v>0</v>
      </c>
    </row>
    <row r="117" spans="2:11" ht="18" customHeight="1" x14ac:dyDescent="0.45">
      <c r="B117" s="129">
        <v>15</v>
      </c>
      <c r="C117" s="150" t="str">
        <f>Constants!R51</f>
        <v>مدیر خدمات پس از فروش</v>
      </c>
      <c r="D117" s="156">
        <f>D$63*LifeCycle!C17</f>
        <v>0</v>
      </c>
      <c r="E117" s="156">
        <f>E$63*LifeCycle!D17</f>
        <v>0</v>
      </c>
      <c r="F117" s="156">
        <f>F$63*LifeCycle!E17</f>
        <v>0</v>
      </c>
      <c r="G117" s="156">
        <f>G$63*LifeCycle!F17</f>
        <v>0</v>
      </c>
      <c r="H117" s="156">
        <f>H$63*LifeCycle!G17</f>
        <v>0</v>
      </c>
      <c r="I117" s="156">
        <f>I$63*LifeCycle!H17</f>
        <v>0</v>
      </c>
      <c r="J117" s="156">
        <f>J$63*LifeCycle!I17</f>
        <v>0</v>
      </c>
      <c r="K117" s="156">
        <f>K$63*LifeCycle!J17</f>
        <v>0</v>
      </c>
    </row>
    <row r="118" spans="2:11" ht="18" customHeight="1" x14ac:dyDescent="0.45">
      <c r="B118" s="129">
        <v>16</v>
      </c>
      <c r="C118" s="150" t="str">
        <f>Constants!R52</f>
        <v>تکنسین عملیات</v>
      </c>
      <c r="D118" s="156">
        <f>D$63*LifeCycle!C18</f>
        <v>0</v>
      </c>
      <c r="E118" s="156">
        <f>E$63*LifeCycle!D18</f>
        <v>0</v>
      </c>
      <c r="F118" s="156">
        <f>F$63*LifeCycle!E18</f>
        <v>0</v>
      </c>
      <c r="G118" s="156">
        <f>G$63*LifeCycle!F18</f>
        <v>0</v>
      </c>
      <c r="H118" s="156">
        <f>H$63*LifeCycle!G18</f>
        <v>0</v>
      </c>
      <c r="I118" s="156">
        <f>I$63*LifeCycle!H18</f>
        <v>0</v>
      </c>
      <c r="J118" s="156">
        <f>J$63*LifeCycle!I18</f>
        <v>0</v>
      </c>
      <c r="K118" s="156">
        <f>K$63*LifeCycle!J18</f>
        <v>0</v>
      </c>
    </row>
    <row r="119" spans="2:11" ht="18" customHeight="1" x14ac:dyDescent="0.45">
      <c r="B119" s="129">
        <v>17</v>
      </c>
      <c r="C119" s="150" t="str">
        <f>Constants!R53</f>
        <v>کارشناس آموزش</v>
      </c>
      <c r="D119" s="156">
        <f>D$63*LifeCycle!C19</f>
        <v>0</v>
      </c>
      <c r="E119" s="156">
        <f>E$63*LifeCycle!D19</f>
        <v>0</v>
      </c>
      <c r="F119" s="156">
        <f>F$63*LifeCycle!E19</f>
        <v>0</v>
      </c>
      <c r="G119" s="156">
        <f>G$63*LifeCycle!F19</f>
        <v>0</v>
      </c>
      <c r="H119" s="156">
        <f>H$63*LifeCycle!G19</f>
        <v>0</v>
      </c>
      <c r="I119" s="156">
        <f>I$63*LifeCycle!H19</f>
        <v>0</v>
      </c>
      <c r="J119" s="156">
        <f>J$63*LifeCycle!I19</f>
        <v>0</v>
      </c>
      <c r="K119" s="156">
        <f>K$63*LifeCycle!J19</f>
        <v>0</v>
      </c>
    </row>
    <row r="120" spans="2:11" ht="18" customHeight="1" x14ac:dyDescent="0.45">
      <c r="B120" s="129">
        <v>18</v>
      </c>
      <c r="C120" s="150" t="str">
        <f>Constants!R54</f>
        <v>مشاور ارشد</v>
      </c>
      <c r="D120" s="156">
        <f>D$63*LifeCycle!C20</f>
        <v>0</v>
      </c>
      <c r="E120" s="156">
        <f>E$63*LifeCycle!D20</f>
        <v>0</v>
      </c>
      <c r="F120" s="156">
        <f>F$63*LifeCycle!E20</f>
        <v>0</v>
      </c>
      <c r="G120" s="156">
        <f>G$63*LifeCycle!F20</f>
        <v>0</v>
      </c>
      <c r="H120" s="156">
        <f>H$63*LifeCycle!G20</f>
        <v>0</v>
      </c>
      <c r="I120" s="156">
        <f>I$63*LifeCycle!H20</f>
        <v>0</v>
      </c>
      <c r="J120" s="156">
        <f>J$63*LifeCycle!I20</f>
        <v>0</v>
      </c>
      <c r="K120" s="156">
        <f>K$63*LifeCycle!J20</f>
        <v>0</v>
      </c>
    </row>
    <row r="121" spans="2:11" ht="18" customHeight="1" x14ac:dyDescent="0.45">
      <c r="B121" s="129">
        <v>19</v>
      </c>
      <c r="C121" s="150" t="str">
        <f>Constants!R55</f>
        <v>مشاور</v>
      </c>
      <c r="D121" s="156">
        <f>D$63*LifeCycle!C21</f>
        <v>0</v>
      </c>
      <c r="E121" s="156">
        <f>E$63*LifeCycle!D21</f>
        <v>0</v>
      </c>
      <c r="F121" s="156">
        <f>F$63*LifeCycle!E21</f>
        <v>0</v>
      </c>
      <c r="G121" s="156">
        <f>G$63*LifeCycle!F21</f>
        <v>0</v>
      </c>
      <c r="H121" s="156">
        <f>H$63*LifeCycle!G21</f>
        <v>0</v>
      </c>
      <c r="I121" s="156">
        <f>I$63*LifeCycle!H21</f>
        <v>0</v>
      </c>
      <c r="J121" s="156">
        <f>J$63*LifeCycle!I21</f>
        <v>0</v>
      </c>
      <c r="K121" s="156">
        <f>K$63*LifeCycle!J21</f>
        <v>0</v>
      </c>
    </row>
    <row r="122" spans="2:11" ht="18" customHeight="1" x14ac:dyDescent="0.45">
      <c r="B122" s="129">
        <v>20</v>
      </c>
      <c r="C122" s="150" t="str">
        <f>Constants!R56</f>
        <v>کارشناس ارشد شبکه</v>
      </c>
      <c r="D122" s="156">
        <f>D$63*LifeCycle!C22</f>
        <v>0</v>
      </c>
      <c r="E122" s="156">
        <f>E$63*LifeCycle!D22</f>
        <v>0</v>
      </c>
      <c r="F122" s="156">
        <f>F$63*LifeCycle!E22</f>
        <v>0</v>
      </c>
      <c r="G122" s="156">
        <f>G$63*LifeCycle!F22</f>
        <v>0</v>
      </c>
      <c r="H122" s="156">
        <f>H$63*LifeCycle!G22</f>
        <v>0</v>
      </c>
      <c r="I122" s="156">
        <f>I$63*LifeCycle!H22</f>
        <v>0</v>
      </c>
      <c r="J122" s="156">
        <f>J$63*LifeCycle!I22</f>
        <v>0</v>
      </c>
      <c r="K122" s="156">
        <f>K$63*LifeCycle!J22</f>
        <v>0</v>
      </c>
    </row>
    <row r="123" spans="2:11" ht="18" customHeight="1" x14ac:dyDescent="0.45">
      <c r="B123" s="129">
        <v>21</v>
      </c>
      <c r="C123" s="150" t="str">
        <f>Constants!R57</f>
        <v>کارشناس درجه 1 شبکه</v>
      </c>
      <c r="D123" s="156">
        <f>D$63*LifeCycle!C23</f>
        <v>0</v>
      </c>
      <c r="E123" s="156">
        <f>E$63*LifeCycle!D23</f>
        <v>0</v>
      </c>
      <c r="F123" s="156">
        <f>F$63*LifeCycle!E23</f>
        <v>0</v>
      </c>
      <c r="G123" s="156">
        <f>G$63*LifeCycle!F23</f>
        <v>0</v>
      </c>
      <c r="H123" s="156">
        <f>H$63*LifeCycle!G23</f>
        <v>0</v>
      </c>
      <c r="I123" s="156">
        <f>I$63*LifeCycle!H23</f>
        <v>0</v>
      </c>
      <c r="J123" s="156">
        <f>J$63*LifeCycle!I23</f>
        <v>0</v>
      </c>
      <c r="K123" s="156">
        <f>K$63*LifeCycle!J23</f>
        <v>0</v>
      </c>
    </row>
    <row r="124" spans="2:11" ht="18" customHeight="1" x14ac:dyDescent="0.45">
      <c r="B124" s="129">
        <v>22</v>
      </c>
      <c r="C124" s="150" t="str">
        <f>Constants!R58</f>
        <v>تکنسین شبکه</v>
      </c>
      <c r="D124" s="156">
        <f>D$63*LifeCycle!C24</f>
        <v>0</v>
      </c>
      <c r="E124" s="156">
        <f>E$63*LifeCycle!D24</f>
        <v>0</v>
      </c>
      <c r="F124" s="156">
        <f>F$63*LifeCycle!E24</f>
        <v>0</v>
      </c>
      <c r="G124" s="156">
        <f>G$63*LifeCycle!F24</f>
        <v>0</v>
      </c>
      <c r="H124" s="156">
        <f>H$63*LifeCycle!G24</f>
        <v>0</v>
      </c>
      <c r="I124" s="156">
        <f>I$63*LifeCycle!H24</f>
        <v>0</v>
      </c>
      <c r="J124" s="156">
        <f>J$63*LifeCycle!I24</f>
        <v>0</v>
      </c>
      <c r="K124" s="156">
        <f>K$63*LifeCycle!J24</f>
        <v>0</v>
      </c>
    </row>
    <row r="125" spans="2:11" ht="18" customHeight="1" x14ac:dyDescent="0.45">
      <c r="B125" s="129">
        <v>23</v>
      </c>
      <c r="C125" s="150" t="str">
        <f>Constants!R59</f>
        <v>کارشناس امنیت</v>
      </c>
      <c r="D125" s="156">
        <f>D$63*LifeCycle!C25</f>
        <v>0</v>
      </c>
      <c r="E125" s="156">
        <f>E$63*LifeCycle!D25</f>
        <v>0</v>
      </c>
      <c r="F125" s="156">
        <f>F$63*LifeCycle!E25</f>
        <v>0</v>
      </c>
      <c r="G125" s="156">
        <f>G$63*LifeCycle!F25</f>
        <v>0</v>
      </c>
      <c r="H125" s="156">
        <f>H$63*LifeCycle!G25</f>
        <v>0</v>
      </c>
      <c r="I125" s="156">
        <f>I$63*LifeCycle!H25</f>
        <v>0</v>
      </c>
      <c r="J125" s="156">
        <f>J$63*LifeCycle!I25</f>
        <v>0</v>
      </c>
      <c r="K125" s="156">
        <f>K$63*LifeCycle!J25</f>
        <v>0</v>
      </c>
    </row>
    <row r="126" spans="2:11" ht="18" customHeight="1" x14ac:dyDescent="0.45">
      <c r="B126" s="129">
        <v>24</v>
      </c>
      <c r="C126" s="150" t="str">
        <f>Constants!R60</f>
        <v>کارشناس کنترل پروژه</v>
      </c>
      <c r="D126" s="156">
        <f>D$63*LifeCycle!C26</f>
        <v>0</v>
      </c>
      <c r="E126" s="156">
        <f>E$63*LifeCycle!D26</f>
        <v>0</v>
      </c>
      <c r="F126" s="156">
        <f>F$63*LifeCycle!E26</f>
        <v>0</v>
      </c>
      <c r="G126" s="156">
        <f>G$63*LifeCycle!F26</f>
        <v>0</v>
      </c>
      <c r="H126" s="156">
        <f>H$63*LifeCycle!G26</f>
        <v>0</v>
      </c>
      <c r="I126" s="156">
        <f>I$63*LifeCycle!H26</f>
        <v>0</v>
      </c>
      <c r="J126" s="156">
        <f>J$63*LifeCycle!I26</f>
        <v>0</v>
      </c>
      <c r="K126" s="156">
        <f>K$63*LifeCycle!J26</f>
        <v>0</v>
      </c>
    </row>
    <row r="127" spans="2:11" ht="18" customHeight="1" x14ac:dyDescent="0.45">
      <c r="B127" s="129">
        <v>25</v>
      </c>
      <c r="C127" s="150" t="str">
        <f>Constants!R61</f>
        <v>کارشناس پایگاه داده ارشد</v>
      </c>
      <c r="D127" s="156">
        <f>D$63*LifeCycle!C27</f>
        <v>0</v>
      </c>
      <c r="E127" s="156">
        <f>E$63*LifeCycle!D27</f>
        <v>0</v>
      </c>
      <c r="F127" s="156">
        <f>F$63*LifeCycle!E27</f>
        <v>0</v>
      </c>
      <c r="G127" s="156">
        <f>G$63*LifeCycle!F27</f>
        <v>0</v>
      </c>
      <c r="H127" s="156">
        <f>H$63*LifeCycle!G27</f>
        <v>0</v>
      </c>
      <c r="I127" s="156">
        <f>I$63*LifeCycle!H27</f>
        <v>0</v>
      </c>
      <c r="J127" s="156">
        <f>J$63*LifeCycle!I27</f>
        <v>0</v>
      </c>
      <c r="K127" s="156">
        <f>K$63*LifeCycle!J27</f>
        <v>0</v>
      </c>
    </row>
    <row r="128" spans="2:11" ht="18" customHeight="1" x14ac:dyDescent="0.45">
      <c r="B128" s="129">
        <v>26</v>
      </c>
      <c r="C128" s="150" t="str">
        <f>Constants!R62</f>
        <v>کارشناس پایگاه داده درجه 1</v>
      </c>
      <c r="D128" s="156">
        <f>D$63*LifeCycle!C28</f>
        <v>0</v>
      </c>
      <c r="E128" s="156">
        <f>E$63*LifeCycle!D28</f>
        <v>0</v>
      </c>
      <c r="F128" s="156">
        <f>F$63*LifeCycle!E28</f>
        <v>0</v>
      </c>
      <c r="G128" s="156">
        <f>G$63*LifeCycle!F28</f>
        <v>0</v>
      </c>
      <c r="H128" s="156">
        <f>H$63*LifeCycle!G28</f>
        <v>0</v>
      </c>
      <c r="I128" s="156">
        <f>I$63*LifeCycle!H28</f>
        <v>0</v>
      </c>
      <c r="J128" s="156">
        <f>J$63*LifeCycle!I28</f>
        <v>0</v>
      </c>
      <c r="K128" s="156">
        <f>K$63*LifeCycle!J28</f>
        <v>0</v>
      </c>
    </row>
    <row r="129" spans="2:12" ht="18" customHeight="1" x14ac:dyDescent="0.45">
      <c r="B129" s="129">
        <v>27</v>
      </c>
      <c r="C129" s="150" t="str">
        <f>Constants!R63</f>
        <v xml:space="preserve">مهندس ارشد سیستم </v>
      </c>
      <c r="D129" s="156">
        <f>D$63*LifeCycle!C29</f>
        <v>0</v>
      </c>
      <c r="E129" s="156">
        <f>E$63*LifeCycle!D29</f>
        <v>0</v>
      </c>
      <c r="F129" s="156">
        <f>F$63*LifeCycle!E29</f>
        <v>0</v>
      </c>
      <c r="G129" s="156">
        <f>G$63*LifeCycle!F29</f>
        <v>0</v>
      </c>
      <c r="H129" s="156">
        <f>H$63*LifeCycle!G29</f>
        <v>0</v>
      </c>
      <c r="I129" s="156">
        <f>I$63*LifeCycle!H29</f>
        <v>0</v>
      </c>
      <c r="J129" s="156">
        <f>J$63*LifeCycle!I29</f>
        <v>0</v>
      </c>
      <c r="K129" s="156">
        <f>K$63*LifeCycle!J29</f>
        <v>0</v>
      </c>
    </row>
    <row r="130" spans="2:12" ht="18" customHeight="1" x14ac:dyDescent="0.45">
      <c r="B130" s="129">
        <v>28</v>
      </c>
      <c r="C130" s="150" t="str">
        <f>Constants!R64</f>
        <v>مهندس سیستم درجه 1</v>
      </c>
      <c r="D130" s="156">
        <f>D$63*LifeCycle!C30</f>
        <v>0</v>
      </c>
      <c r="E130" s="156">
        <f>E$63*LifeCycle!D30</f>
        <v>0</v>
      </c>
      <c r="F130" s="156">
        <f>F$63*LifeCycle!E30</f>
        <v>0</v>
      </c>
      <c r="G130" s="156">
        <f>G$63*LifeCycle!F30</f>
        <v>0</v>
      </c>
      <c r="H130" s="156">
        <f>H$63*LifeCycle!G30</f>
        <v>0</v>
      </c>
      <c r="I130" s="156">
        <f>I$63*LifeCycle!H30</f>
        <v>0</v>
      </c>
      <c r="J130" s="156">
        <f>J$63*LifeCycle!I30</f>
        <v>0</v>
      </c>
      <c r="K130" s="156">
        <f>K$63*LifeCycle!J30</f>
        <v>0</v>
      </c>
    </row>
    <row r="131" spans="2:12" ht="21" customHeight="1" x14ac:dyDescent="0.45">
      <c r="D131" s="157">
        <f t="shared" ref="D131:K131" si="11">SUM(D103:D130)</f>
        <v>0</v>
      </c>
      <c r="E131" s="157">
        <f t="shared" si="11"/>
        <v>0</v>
      </c>
      <c r="F131" s="157">
        <f t="shared" si="11"/>
        <v>0</v>
      </c>
      <c r="G131" s="157">
        <f t="shared" si="11"/>
        <v>0</v>
      </c>
      <c r="H131" s="157">
        <f t="shared" si="11"/>
        <v>0</v>
      </c>
      <c r="I131" s="157">
        <f t="shared" si="11"/>
        <v>0</v>
      </c>
      <c r="J131" s="157">
        <f t="shared" si="11"/>
        <v>0</v>
      </c>
      <c r="K131" s="157">
        <f t="shared" si="11"/>
        <v>0</v>
      </c>
    </row>
    <row r="134" spans="2:12" x14ac:dyDescent="0.45">
      <c r="E134" s="300"/>
      <c r="F134" s="301"/>
      <c r="G134" s="301"/>
      <c r="I134" s="300"/>
      <c r="J134" s="301"/>
      <c r="K134" s="301"/>
    </row>
    <row r="135" spans="2:12" x14ac:dyDescent="0.45">
      <c r="E135" s="160"/>
      <c r="F135" s="161"/>
      <c r="G135" s="110"/>
      <c r="J135" s="110"/>
      <c r="K135" s="110"/>
    </row>
    <row r="136" spans="2:12" ht="18" customHeight="1" x14ac:dyDescent="0.45">
      <c r="B136" s="129">
        <v>1</v>
      </c>
      <c r="C136" s="150" t="str">
        <f>Constants!R37</f>
        <v>مدیر پروژه</v>
      </c>
      <c r="D136" s="156">
        <f>Constants!S37</f>
        <v>230385000</v>
      </c>
      <c r="E136" s="156" t="e">
        <f t="shared" ref="E136:E163" si="12">SUM(D71:K71)</f>
        <v>#DIV/0!</v>
      </c>
      <c r="F136" s="128" t="e">
        <f t="shared" ref="F136:F163" si="13">E136/D136</f>
        <v>#DIV/0!</v>
      </c>
      <c r="G136" s="128" t="e">
        <f>F136*Constants!A$19</f>
        <v>#DIV/0!</v>
      </c>
      <c r="I136" s="156">
        <f t="shared" ref="I136:I163" si="14">SUM(D103:K103)</f>
        <v>0</v>
      </c>
      <c r="J136" s="128">
        <f t="shared" ref="J136:J163" si="15">I136/D136</f>
        <v>0</v>
      </c>
      <c r="K136" s="128">
        <f>J136*Constants!A$19</f>
        <v>0</v>
      </c>
      <c r="L136" s="163" t="e">
        <f t="shared" ref="L136:L163" si="16">I136/I$164</f>
        <v>#DIV/0!</v>
      </c>
    </row>
    <row r="137" spans="2:12" ht="18" customHeight="1" x14ac:dyDescent="0.45">
      <c r="B137" s="129">
        <v>2</v>
      </c>
      <c r="C137" s="150" t="str">
        <f>Constants!R38</f>
        <v xml:space="preserve">تحلیلگر </v>
      </c>
      <c r="D137" s="156">
        <f>Constants!S38</f>
        <v>153260000</v>
      </c>
      <c r="E137" s="156" t="e">
        <f t="shared" si="12"/>
        <v>#DIV/0!</v>
      </c>
      <c r="F137" s="128" t="e">
        <f t="shared" si="13"/>
        <v>#DIV/0!</v>
      </c>
      <c r="G137" s="128" t="e">
        <f>F137*Constants!A$19</f>
        <v>#DIV/0!</v>
      </c>
      <c r="I137" s="156">
        <f t="shared" si="14"/>
        <v>0</v>
      </c>
      <c r="J137" s="128">
        <f t="shared" si="15"/>
        <v>0</v>
      </c>
      <c r="K137" s="128">
        <f>J137*Constants!A$19</f>
        <v>0</v>
      </c>
      <c r="L137" s="163" t="e">
        <f t="shared" si="16"/>
        <v>#DIV/0!</v>
      </c>
    </row>
    <row r="138" spans="2:12" ht="18" customHeight="1" x14ac:dyDescent="0.45">
      <c r="B138" s="129">
        <v>3</v>
      </c>
      <c r="C138" s="150" t="str">
        <f>Constants!R39</f>
        <v xml:space="preserve">طراح </v>
      </c>
      <c r="D138" s="156">
        <f>Constants!S39</f>
        <v>156900000</v>
      </c>
      <c r="E138" s="156" t="e">
        <f t="shared" si="12"/>
        <v>#DIV/0!</v>
      </c>
      <c r="F138" s="128" t="e">
        <f t="shared" si="13"/>
        <v>#DIV/0!</v>
      </c>
      <c r="G138" s="128" t="e">
        <f>F138*Constants!A$19</f>
        <v>#DIV/0!</v>
      </c>
      <c r="I138" s="156">
        <f t="shared" si="14"/>
        <v>0</v>
      </c>
      <c r="J138" s="128">
        <f t="shared" si="15"/>
        <v>0</v>
      </c>
      <c r="K138" s="128">
        <f>J138*Constants!A$19</f>
        <v>0</v>
      </c>
      <c r="L138" s="163" t="e">
        <f t="shared" si="16"/>
        <v>#DIV/0!</v>
      </c>
    </row>
    <row r="139" spans="2:12" ht="18" customHeight="1" x14ac:dyDescent="0.45">
      <c r="B139" s="129">
        <v>4</v>
      </c>
      <c r="C139" s="150" t="str">
        <f>Constants!R40</f>
        <v>برنامه نویس ارشد</v>
      </c>
      <c r="D139" s="156">
        <f>Constants!S40</f>
        <v>233752781</v>
      </c>
      <c r="E139" s="156" t="e">
        <f t="shared" si="12"/>
        <v>#DIV/0!</v>
      </c>
      <c r="F139" s="128" t="e">
        <f t="shared" si="13"/>
        <v>#DIV/0!</v>
      </c>
      <c r="G139" s="128" t="e">
        <f>F139*Constants!A$19</f>
        <v>#DIV/0!</v>
      </c>
      <c r="I139" s="156">
        <f t="shared" si="14"/>
        <v>0</v>
      </c>
      <c r="J139" s="128">
        <f t="shared" si="15"/>
        <v>0</v>
      </c>
      <c r="K139" s="128">
        <f>J139*Constants!A$19</f>
        <v>0</v>
      </c>
      <c r="L139" s="163" t="e">
        <f t="shared" si="16"/>
        <v>#DIV/0!</v>
      </c>
    </row>
    <row r="140" spans="2:12" ht="18" customHeight="1" x14ac:dyDescent="0.45">
      <c r="B140" s="129">
        <v>5</v>
      </c>
      <c r="C140" s="150" t="str">
        <f>Constants!R41</f>
        <v>برنامه نویس درجه 1</v>
      </c>
      <c r="D140" s="156">
        <f>Constants!S41</f>
        <v>182145024</v>
      </c>
      <c r="E140" s="156" t="e">
        <f t="shared" si="12"/>
        <v>#DIV/0!</v>
      </c>
      <c r="F140" s="128" t="e">
        <f t="shared" si="13"/>
        <v>#DIV/0!</v>
      </c>
      <c r="G140" s="128" t="e">
        <f>F140*Constants!A$19</f>
        <v>#DIV/0!</v>
      </c>
      <c r="I140" s="156">
        <f t="shared" si="14"/>
        <v>0</v>
      </c>
      <c r="J140" s="128">
        <f t="shared" si="15"/>
        <v>0</v>
      </c>
      <c r="K140" s="128">
        <f>J140*Constants!A$19</f>
        <v>0</v>
      </c>
      <c r="L140" s="163" t="e">
        <f t="shared" si="16"/>
        <v>#DIV/0!</v>
      </c>
    </row>
    <row r="141" spans="2:12" ht="18" customHeight="1" x14ac:dyDescent="0.45">
      <c r="B141" s="129">
        <v>6</v>
      </c>
      <c r="C141" s="150" t="str">
        <f>Constants!R42</f>
        <v>برنامه نویس درجه 2</v>
      </c>
      <c r="D141" s="156">
        <f>Constants!S42</f>
        <v>138126643</v>
      </c>
      <c r="E141" s="156" t="e">
        <f t="shared" si="12"/>
        <v>#DIV/0!</v>
      </c>
      <c r="F141" s="128" t="e">
        <f t="shared" si="13"/>
        <v>#DIV/0!</v>
      </c>
      <c r="G141" s="128" t="e">
        <f>F141*Constants!A$19</f>
        <v>#DIV/0!</v>
      </c>
      <c r="I141" s="156">
        <f t="shared" si="14"/>
        <v>0</v>
      </c>
      <c r="J141" s="128">
        <f t="shared" si="15"/>
        <v>0</v>
      </c>
      <c r="K141" s="128">
        <f>J141*Constants!A$19</f>
        <v>0</v>
      </c>
      <c r="L141" s="163" t="e">
        <f t="shared" si="16"/>
        <v>#DIV/0!</v>
      </c>
    </row>
    <row r="142" spans="2:12" ht="18" customHeight="1" x14ac:dyDescent="0.45">
      <c r="B142" s="129">
        <v>7</v>
      </c>
      <c r="C142" s="150" t="str">
        <f>Constants!R43</f>
        <v>طراح آزمایش</v>
      </c>
      <c r="D142" s="156">
        <f>Constants!S43</f>
        <v>98524000</v>
      </c>
      <c r="E142" s="156" t="e">
        <f t="shared" si="12"/>
        <v>#DIV/0!</v>
      </c>
      <c r="F142" s="128" t="e">
        <f t="shared" si="13"/>
        <v>#DIV/0!</v>
      </c>
      <c r="G142" s="128" t="e">
        <f>F142*Constants!A$19</f>
        <v>#DIV/0!</v>
      </c>
      <c r="I142" s="156">
        <f t="shared" si="14"/>
        <v>0</v>
      </c>
      <c r="J142" s="128">
        <f t="shared" si="15"/>
        <v>0</v>
      </c>
      <c r="K142" s="128">
        <f>J142*Constants!A$19</f>
        <v>0</v>
      </c>
      <c r="L142" s="163" t="e">
        <f t="shared" si="16"/>
        <v>#DIV/0!</v>
      </c>
    </row>
    <row r="143" spans="2:12" ht="18" customHeight="1" x14ac:dyDescent="0.45">
      <c r="B143" s="129">
        <v>8</v>
      </c>
      <c r="C143" s="150" t="str">
        <f>Constants!R44</f>
        <v>آزمونگر</v>
      </c>
      <c r="D143" s="156">
        <f>Constants!S44</f>
        <v>67948000</v>
      </c>
      <c r="E143" s="156" t="e">
        <f t="shared" si="12"/>
        <v>#DIV/0!</v>
      </c>
      <c r="F143" s="128" t="e">
        <f t="shared" si="13"/>
        <v>#DIV/0!</v>
      </c>
      <c r="G143" s="128" t="e">
        <f>F143*Constants!A$19</f>
        <v>#DIV/0!</v>
      </c>
      <c r="I143" s="156">
        <f t="shared" si="14"/>
        <v>0</v>
      </c>
      <c r="J143" s="128">
        <f t="shared" si="15"/>
        <v>0</v>
      </c>
      <c r="K143" s="128">
        <f>J143*Constants!A$19</f>
        <v>0</v>
      </c>
      <c r="L143" s="163" t="e">
        <f t="shared" si="16"/>
        <v>#DIV/0!</v>
      </c>
    </row>
    <row r="144" spans="2:12" ht="18" customHeight="1" x14ac:dyDescent="0.45">
      <c r="B144" s="129">
        <v>9</v>
      </c>
      <c r="C144" s="150" t="str">
        <f>Constants!R45</f>
        <v>کارشناس مستندساز</v>
      </c>
      <c r="D144" s="156">
        <f>Constants!S45</f>
        <v>63701000</v>
      </c>
      <c r="E144" s="156" t="e">
        <f t="shared" si="12"/>
        <v>#DIV/0!</v>
      </c>
      <c r="F144" s="128" t="e">
        <f t="shared" si="13"/>
        <v>#DIV/0!</v>
      </c>
      <c r="G144" s="128" t="e">
        <f>F144*Constants!A$19</f>
        <v>#DIV/0!</v>
      </c>
      <c r="I144" s="156">
        <f t="shared" si="14"/>
        <v>0</v>
      </c>
      <c r="J144" s="128">
        <f t="shared" si="15"/>
        <v>0</v>
      </c>
      <c r="K144" s="128">
        <f>J144*Constants!A$19</f>
        <v>0</v>
      </c>
      <c r="L144" s="163" t="e">
        <f t="shared" si="16"/>
        <v>#DIV/0!</v>
      </c>
    </row>
    <row r="145" spans="2:12" ht="18" customHeight="1" x14ac:dyDescent="0.45">
      <c r="B145" s="129">
        <v>10</v>
      </c>
      <c r="C145" s="150" t="str">
        <f>Constants!R46</f>
        <v>نگارگر (گرافیست)</v>
      </c>
      <c r="D145" s="156">
        <f>Constants!S46</f>
        <v>67948000</v>
      </c>
      <c r="E145" s="156" t="e">
        <f t="shared" si="12"/>
        <v>#DIV/0!</v>
      </c>
      <c r="F145" s="128" t="e">
        <f t="shared" si="13"/>
        <v>#DIV/0!</v>
      </c>
      <c r="G145" s="128" t="e">
        <f>F145*Constants!A$19</f>
        <v>#DIV/0!</v>
      </c>
      <c r="I145" s="156">
        <f t="shared" si="14"/>
        <v>0</v>
      </c>
      <c r="J145" s="128">
        <f t="shared" si="15"/>
        <v>0</v>
      </c>
      <c r="K145" s="128">
        <f>J145*Constants!A$19</f>
        <v>0</v>
      </c>
      <c r="L145" s="163" t="e">
        <f t="shared" si="16"/>
        <v>#DIV/0!</v>
      </c>
    </row>
    <row r="146" spans="2:12" ht="18" customHeight="1" x14ac:dyDescent="0.45">
      <c r="B146" s="129">
        <v>11</v>
      </c>
      <c r="C146" s="150" t="str">
        <f>Constants!R47</f>
        <v>مدیر کیفیت</v>
      </c>
      <c r="D146" s="156">
        <f>Constants!S47</f>
        <v>148636000</v>
      </c>
      <c r="E146" s="156" t="e">
        <f t="shared" si="12"/>
        <v>#DIV/0!</v>
      </c>
      <c r="F146" s="128" t="e">
        <f t="shared" si="13"/>
        <v>#DIV/0!</v>
      </c>
      <c r="G146" s="128" t="e">
        <f>F146*Constants!A$19</f>
        <v>#DIV/0!</v>
      </c>
      <c r="I146" s="156">
        <f t="shared" si="14"/>
        <v>0</v>
      </c>
      <c r="J146" s="128">
        <f t="shared" si="15"/>
        <v>0</v>
      </c>
      <c r="K146" s="128">
        <f>J146*Constants!A$19</f>
        <v>0</v>
      </c>
      <c r="L146" s="163" t="e">
        <f t="shared" si="16"/>
        <v>#DIV/0!</v>
      </c>
    </row>
    <row r="147" spans="2:12" ht="18" customHeight="1" x14ac:dyDescent="0.45">
      <c r="B147" s="129">
        <v>12</v>
      </c>
      <c r="C147" s="150" t="str">
        <f>Constants!R48</f>
        <v>کارشناس کیفیت</v>
      </c>
      <c r="D147" s="156">
        <f>Constants!S48</f>
        <v>81537000</v>
      </c>
      <c r="E147" s="156" t="e">
        <f t="shared" si="12"/>
        <v>#DIV/0!</v>
      </c>
      <c r="F147" s="128" t="e">
        <f t="shared" si="13"/>
        <v>#DIV/0!</v>
      </c>
      <c r="G147" s="128" t="e">
        <f>F147*Constants!A$19</f>
        <v>#DIV/0!</v>
      </c>
      <c r="I147" s="156">
        <f t="shared" si="14"/>
        <v>0</v>
      </c>
      <c r="J147" s="128">
        <f t="shared" si="15"/>
        <v>0</v>
      </c>
      <c r="K147" s="128">
        <f>J147*Constants!A$19</f>
        <v>0</v>
      </c>
      <c r="L147" s="163" t="e">
        <f t="shared" si="16"/>
        <v>#DIV/0!</v>
      </c>
    </row>
    <row r="148" spans="2:12" ht="18" customHeight="1" x14ac:dyDescent="0.45">
      <c r="B148" s="129">
        <v>13</v>
      </c>
      <c r="C148" s="150" t="str">
        <f>Constants!R49</f>
        <v>کارشناس پیکربندی</v>
      </c>
      <c r="D148" s="156">
        <f>Constants!S49</f>
        <v>89181000</v>
      </c>
      <c r="E148" s="156" t="e">
        <f t="shared" si="12"/>
        <v>#DIV/0!</v>
      </c>
      <c r="F148" s="128" t="e">
        <f t="shared" si="13"/>
        <v>#DIV/0!</v>
      </c>
      <c r="G148" s="128" t="e">
        <f>F148*Constants!A$19</f>
        <v>#DIV/0!</v>
      </c>
      <c r="I148" s="156">
        <f t="shared" si="14"/>
        <v>0</v>
      </c>
      <c r="J148" s="128">
        <f t="shared" si="15"/>
        <v>0</v>
      </c>
      <c r="K148" s="128">
        <f>J148*Constants!A$19</f>
        <v>0</v>
      </c>
      <c r="L148" s="163" t="e">
        <f t="shared" si="16"/>
        <v>#DIV/0!</v>
      </c>
    </row>
    <row r="149" spans="2:12" ht="18" customHeight="1" x14ac:dyDescent="0.45">
      <c r="B149" s="129">
        <v>14</v>
      </c>
      <c r="C149" s="150" t="str">
        <f>Constants!R50</f>
        <v>مسئول سایت/کارگاه</v>
      </c>
      <c r="D149" s="156">
        <f>Constants!S50</f>
        <v>81537000</v>
      </c>
      <c r="E149" s="156" t="e">
        <f t="shared" si="12"/>
        <v>#DIV/0!</v>
      </c>
      <c r="F149" s="128" t="e">
        <f t="shared" si="13"/>
        <v>#DIV/0!</v>
      </c>
      <c r="G149" s="128" t="e">
        <f>F149*Constants!A$19</f>
        <v>#DIV/0!</v>
      </c>
      <c r="I149" s="156">
        <f t="shared" si="14"/>
        <v>0</v>
      </c>
      <c r="J149" s="128">
        <f t="shared" si="15"/>
        <v>0</v>
      </c>
      <c r="K149" s="128">
        <f>J149*Constants!A$19</f>
        <v>0</v>
      </c>
      <c r="L149" s="163" t="e">
        <f t="shared" si="16"/>
        <v>#DIV/0!</v>
      </c>
    </row>
    <row r="150" spans="2:12" ht="18" customHeight="1" x14ac:dyDescent="0.45">
      <c r="B150" s="129">
        <v>15</v>
      </c>
      <c r="C150" s="150" t="str">
        <f>Constants!R51</f>
        <v>مدیر خدمات پس از فروش</v>
      </c>
      <c r="D150" s="156">
        <f>Constants!S51</f>
        <v>113246000</v>
      </c>
      <c r="E150" s="156" t="e">
        <f t="shared" si="12"/>
        <v>#DIV/0!</v>
      </c>
      <c r="F150" s="128" t="e">
        <f t="shared" si="13"/>
        <v>#DIV/0!</v>
      </c>
      <c r="G150" s="128" t="e">
        <f>F150*Constants!A$19</f>
        <v>#DIV/0!</v>
      </c>
      <c r="I150" s="156">
        <f t="shared" si="14"/>
        <v>0</v>
      </c>
      <c r="J150" s="128">
        <f t="shared" si="15"/>
        <v>0</v>
      </c>
      <c r="K150" s="128">
        <f>J150*Constants!A$19</f>
        <v>0</v>
      </c>
      <c r="L150" s="163" t="e">
        <f t="shared" si="16"/>
        <v>#DIV/0!</v>
      </c>
    </row>
    <row r="151" spans="2:12" ht="18" customHeight="1" x14ac:dyDescent="0.45">
      <c r="B151" s="129">
        <v>16</v>
      </c>
      <c r="C151" s="150" t="str">
        <f>Constants!R52</f>
        <v>تکنسین عملیات</v>
      </c>
      <c r="D151" s="156">
        <f>Constants!S52</f>
        <v>62285000</v>
      </c>
      <c r="E151" s="156" t="e">
        <f t="shared" si="12"/>
        <v>#DIV/0!</v>
      </c>
      <c r="F151" s="128" t="e">
        <f t="shared" si="13"/>
        <v>#DIV/0!</v>
      </c>
      <c r="G151" s="128" t="e">
        <f>F151*Constants!A$19</f>
        <v>#DIV/0!</v>
      </c>
      <c r="I151" s="156">
        <f t="shared" si="14"/>
        <v>0</v>
      </c>
      <c r="J151" s="128">
        <f t="shared" si="15"/>
        <v>0</v>
      </c>
      <c r="K151" s="128">
        <f>J151*Constants!A$19</f>
        <v>0</v>
      </c>
      <c r="L151" s="163" t="e">
        <f t="shared" si="16"/>
        <v>#DIV/0!</v>
      </c>
    </row>
    <row r="152" spans="2:12" ht="18" customHeight="1" x14ac:dyDescent="0.45">
      <c r="B152" s="129">
        <v>17</v>
      </c>
      <c r="C152" s="150" t="str">
        <f>Constants!R53</f>
        <v>کارشناس آموزش</v>
      </c>
      <c r="D152" s="156">
        <f>Constants!S53</f>
        <v>67948000</v>
      </c>
      <c r="E152" s="156" t="e">
        <f t="shared" si="12"/>
        <v>#DIV/0!</v>
      </c>
      <c r="F152" s="128" t="e">
        <f t="shared" si="13"/>
        <v>#DIV/0!</v>
      </c>
      <c r="G152" s="128" t="e">
        <f>F152*Constants!A$19</f>
        <v>#DIV/0!</v>
      </c>
      <c r="I152" s="156">
        <f t="shared" si="14"/>
        <v>0</v>
      </c>
      <c r="J152" s="128">
        <f t="shared" si="15"/>
        <v>0</v>
      </c>
      <c r="K152" s="128">
        <f>J152*Constants!A$19</f>
        <v>0</v>
      </c>
      <c r="L152" s="163" t="e">
        <f t="shared" si="16"/>
        <v>#DIV/0!</v>
      </c>
    </row>
    <row r="153" spans="2:12" ht="18" customHeight="1" x14ac:dyDescent="0.45">
      <c r="B153" s="129">
        <v>18</v>
      </c>
      <c r="C153" s="150" t="str">
        <f>Constants!R54</f>
        <v>مشاور ارشد</v>
      </c>
      <c r="D153" s="156">
        <f>Constants!S54</f>
        <v>347421000</v>
      </c>
      <c r="E153" s="156" t="e">
        <f t="shared" si="12"/>
        <v>#DIV/0!</v>
      </c>
      <c r="F153" s="128" t="e">
        <f t="shared" si="13"/>
        <v>#DIV/0!</v>
      </c>
      <c r="G153" s="128" t="e">
        <f>F153*Constants!A$19</f>
        <v>#DIV/0!</v>
      </c>
      <c r="I153" s="156">
        <f t="shared" si="14"/>
        <v>0</v>
      </c>
      <c r="J153" s="128">
        <f t="shared" si="15"/>
        <v>0</v>
      </c>
      <c r="K153" s="128">
        <f>J153*Constants!A$19</f>
        <v>0</v>
      </c>
      <c r="L153" s="163" t="e">
        <f t="shared" si="16"/>
        <v>#DIV/0!</v>
      </c>
    </row>
    <row r="154" spans="2:12" ht="18" customHeight="1" x14ac:dyDescent="0.45">
      <c r="B154" s="129">
        <v>19</v>
      </c>
      <c r="C154" s="150" t="str">
        <f>Constants!R55</f>
        <v>مشاور</v>
      </c>
      <c r="D154" s="156">
        <f>Constants!S55</f>
        <v>268783000</v>
      </c>
      <c r="E154" s="156" t="e">
        <f t="shared" si="12"/>
        <v>#DIV/0!</v>
      </c>
      <c r="F154" s="128" t="e">
        <f t="shared" si="13"/>
        <v>#DIV/0!</v>
      </c>
      <c r="G154" s="128" t="e">
        <f>F154*Constants!A$19</f>
        <v>#DIV/0!</v>
      </c>
      <c r="I154" s="156">
        <f t="shared" si="14"/>
        <v>0</v>
      </c>
      <c r="J154" s="128">
        <f t="shared" si="15"/>
        <v>0</v>
      </c>
      <c r="K154" s="128">
        <f>J154*Constants!A$19</f>
        <v>0</v>
      </c>
      <c r="L154" s="163" t="e">
        <f t="shared" si="16"/>
        <v>#DIV/0!</v>
      </c>
    </row>
    <row r="155" spans="2:12" ht="18" customHeight="1" x14ac:dyDescent="0.45">
      <c r="B155" s="129">
        <v>20</v>
      </c>
      <c r="C155" s="150" t="str">
        <f>Constants!R56</f>
        <v>کارشناس ارشد شبکه</v>
      </c>
      <c r="D155" s="156">
        <f>Constants!S56</f>
        <v>96613000</v>
      </c>
      <c r="E155" s="156" t="e">
        <f t="shared" si="12"/>
        <v>#DIV/0!</v>
      </c>
      <c r="F155" s="128" t="e">
        <f t="shared" si="13"/>
        <v>#DIV/0!</v>
      </c>
      <c r="G155" s="128" t="e">
        <f>F155*Constants!A$19</f>
        <v>#DIV/0!</v>
      </c>
      <c r="I155" s="156">
        <f t="shared" si="14"/>
        <v>0</v>
      </c>
      <c r="J155" s="128">
        <f t="shared" si="15"/>
        <v>0</v>
      </c>
      <c r="K155" s="128">
        <f>J155*Constants!A$19</f>
        <v>0</v>
      </c>
      <c r="L155" s="163" t="e">
        <f t="shared" si="16"/>
        <v>#DIV/0!</v>
      </c>
    </row>
    <row r="156" spans="2:12" ht="18" customHeight="1" x14ac:dyDescent="0.45">
      <c r="B156" s="129">
        <v>21</v>
      </c>
      <c r="C156" s="150" t="str">
        <f>Constants!R57</f>
        <v>کارشناس درجه 1 شبکه</v>
      </c>
      <c r="D156" s="156">
        <f>Constants!S57</f>
        <v>73610000</v>
      </c>
      <c r="E156" s="156" t="e">
        <f t="shared" si="12"/>
        <v>#DIV/0!</v>
      </c>
      <c r="F156" s="128" t="e">
        <f t="shared" si="13"/>
        <v>#DIV/0!</v>
      </c>
      <c r="G156" s="128" t="e">
        <f>F156*Constants!A$19</f>
        <v>#DIV/0!</v>
      </c>
      <c r="I156" s="156">
        <f t="shared" si="14"/>
        <v>0</v>
      </c>
      <c r="J156" s="128">
        <f t="shared" si="15"/>
        <v>0</v>
      </c>
      <c r="K156" s="128">
        <f>J156*Constants!A$19</f>
        <v>0</v>
      </c>
      <c r="L156" s="163" t="e">
        <f t="shared" si="16"/>
        <v>#DIV/0!</v>
      </c>
    </row>
    <row r="157" spans="2:12" ht="18" customHeight="1" x14ac:dyDescent="0.45">
      <c r="B157" s="129">
        <v>22</v>
      </c>
      <c r="C157" s="150" t="str">
        <f>Constants!R58</f>
        <v>تکنسین شبکه</v>
      </c>
      <c r="D157" s="156">
        <f>Constants!S58</f>
        <v>67476000</v>
      </c>
      <c r="E157" s="156" t="e">
        <f t="shared" si="12"/>
        <v>#DIV/0!</v>
      </c>
      <c r="F157" s="128" t="e">
        <f t="shared" si="13"/>
        <v>#DIV/0!</v>
      </c>
      <c r="G157" s="128" t="e">
        <f>F157*Constants!A$19</f>
        <v>#DIV/0!</v>
      </c>
      <c r="I157" s="156">
        <f t="shared" si="14"/>
        <v>0</v>
      </c>
      <c r="J157" s="128">
        <f t="shared" si="15"/>
        <v>0</v>
      </c>
      <c r="K157" s="128">
        <f>J157*Constants!A$19</f>
        <v>0</v>
      </c>
      <c r="L157" s="163" t="e">
        <f t="shared" si="16"/>
        <v>#DIV/0!</v>
      </c>
    </row>
    <row r="158" spans="2:12" ht="18" customHeight="1" x14ac:dyDescent="0.45">
      <c r="B158" s="129">
        <v>23</v>
      </c>
      <c r="C158" s="150" t="str">
        <f>Constants!R59</f>
        <v>کارشناس امنیت</v>
      </c>
      <c r="D158" s="156">
        <f>Constants!S59</f>
        <v>121386000</v>
      </c>
      <c r="E158" s="156" t="e">
        <f t="shared" si="12"/>
        <v>#DIV/0!</v>
      </c>
      <c r="F158" s="128" t="e">
        <f t="shared" si="13"/>
        <v>#DIV/0!</v>
      </c>
      <c r="G158" s="128" t="e">
        <f>F158*Constants!A$19</f>
        <v>#DIV/0!</v>
      </c>
      <c r="I158" s="156">
        <f t="shared" si="14"/>
        <v>0</v>
      </c>
      <c r="J158" s="128">
        <f t="shared" si="15"/>
        <v>0</v>
      </c>
      <c r="K158" s="128">
        <f>J158*Constants!A$19</f>
        <v>0</v>
      </c>
      <c r="L158" s="163" t="e">
        <f t="shared" si="16"/>
        <v>#DIV/0!</v>
      </c>
    </row>
    <row r="159" spans="2:12" ht="18" customHeight="1" x14ac:dyDescent="0.45">
      <c r="B159" s="129">
        <v>24</v>
      </c>
      <c r="C159" s="150" t="str">
        <f>Constants!R60</f>
        <v>کارشناس کنترل پروژه</v>
      </c>
      <c r="D159" s="156">
        <f>Constants!S60</f>
        <v>89181000</v>
      </c>
      <c r="E159" s="156" t="e">
        <f t="shared" si="12"/>
        <v>#DIV/0!</v>
      </c>
      <c r="F159" s="128" t="e">
        <f t="shared" si="13"/>
        <v>#DIV/0!</v>
      </c>
      <c r="G159" s="128" t="e">
        <f>F159*Constants!A$19</f>
        <v>#DIV/0!</v>
      </c>
      <c r="I159" s="156">
        <f t="shared" si="14"/>
        <v>0</v>
      </c>
      <c r="J159" s="128">
        <f t="shared" si="15"/>
        <v>0</v>
      </c>
      <c r="K159" s="128">
        <f>J159*Constants!A$19</f>
        <v>0</v>
      </c>
      <c r="L159" s="163" t="e">
        <f t="shared" si="16"/>
        <v>#DIV/0!</v>
      </c>
    </row>
    <row r="160" spans="2:12" ht="18" customHeight="1" x14ac:dyDescent="0.45">
      <c r="B160" s="129">
        <v>25</v>
      </c>
      <c r="C160" s="150" t="str">
        <f>Constants!R61</f>
        <v>کارشناس پایگاه داده ارشد</v>
      </c>
      <c r="D160" s="156">
        <f>Constants!S61</f>
        <v>134486000</v>
      </c>
      <c r="E160" s="156" t="e">
        <f t="shared" si="12"/>
        <v>#DIV/0!</v>
      </c>
      <c r="F160" s="128" t="e">
        <f t="shared" si="13"/>
        <v>#DIV/0!</v>
      </c>
      <c r="G160" s="128" t="e">
        <f>F160*Constants!A$19</f>
        <v>#DIV/0!</v>
      </c>
      <c r="I160" s="156">
        <f t="shared" si="14"/>
        <v>0</v>
      </c>
      <c r="J160" s="128">
        <f t="shared" si="15"/>
        <v>0</v>
      </c>
      <c r="K160" s="128">
        <f>J160*Constants!A$19</f>
        <v>0</v>
      </c>
      <c r="L160" s="163" t="e">
        <f t="shared" si="16"/>
        <v>#DIV/0!</v>
      </c>
    </row>
    <row r="161" spans="2:12" ht="18" customHeight="1" x14ac:dyDescent="0.45">
      <c r="B161" s="129">
        <v>26</v>
      </c>
      <c r="C161" s="150" t="str">
        <f>Constants!R62</f>
        <v>کارشناس پایگاه داده درجه 1</v>
      </c>
      <c r="D161" s="156">
        <f>Constants!S62</f>
        <v>89181000</v>
      </c>
      <c r="E161" s="156" t="e">
        <f t="shared" si="12"/>
        <v>#DIV/0!</v>
      </c>
      <c r="F161" s="128" t="e">
        <f t="shared" si="13"/>
        <v>#DIV/0!</v>
      </c>
      <c r="G161" s="128" t="e">
        <f>F161*Constants!A$19</f>
        <v>#DIV/0!</v>
      </c>
      <c r="I161" s="156">
        <f t="shared" si="14"/>
        <v>0</v>
      </c>
      <c r="J161" s="128">
        <f t="shared" si="15"/>
        <v>0</v>
      </c>
      <c r="K161" s="128">
        <f>J161*Constants!A$19</f>
        <v>0</v>
      </c>
      <c r="L161" s="163" t="e">
        <f t="shared" si="16"/>
        <v>#DIV/0!</v>
      </c>
    </row>
    <row r="162" spans="2:12" ht="18" customHeight="1" x14ac:dyDescent="0.45">
      <c r="B162" s="129">
        <v>27</v>
      </c>
      <c r="C162" s="150" t="str">
        <f>Constants!R63</f>
        <v xml:space="preserve">مهندس ارشد سیستم </v>
      </c>
      <c r="D162" s="156">
        <f>Constants!S63</f>
        <v>114945000</v>
      </c>
      <c r="E162" s="156" t="e">
        <f t="shared" si="12"/>
        <v>#DIV/0!</v>
      </c>
      <c r="F162" s="128" t="e">
        <f t="shared" si="13"/>
        <v>#DIV/0!</v>
      </c>
      <c r="G162" s="128" t="e">
        <f>F162*Constants!A$19</f>
        <v>#DIV/0!</v>
      </c>
      <c r="I162" s="156">
        <f t="shared" si="14"/>
        <v>0</v>
      </c>
      <c r="J162" s="128">
        <f t="shared" si="15"/>
        <v>0</v>
      </c>
      <c r="K162" s="128">
        <f>J162*Constants!A$19</f>
        <v>0</v>
      </c>
      <c r="L162" s="163" t="e">
        <f t="shared" si="16"/>
        <v>#DIV/0!</v>
      </c>
    </row>
    <row r="163" spans="2:12" ht="18" customHeight="1" x14ac:dyDescent="0.45">
      <c r="B163" s="129">
        <v>28</v>
      </c>
      <c r="C163" s="150" t="str">
        <f>Constants!R64</f>
        <v>مهندس سیستم درجه 1</v>
      </c>
      <c r="D163" s="156">
        <f>Constants!S64</f>
        <v>89181000</v>
      </c>
      <c r="E163" s="156" t="e">
        <f t="shared" si="12"/>
        <v>#DIV/0!</v>
      </c>
      <c r="F163" s="128" t="e">
        <f t="shared" si="13"/>
        <v>#DIV/0!</v>
      </c>
      <c r="G163" s="128" t="e">
        <f>F163*Constants!A$19</f>
        <v>#DIV/0!</v>
      </c>
      <c r="I163" s="156">
        <f t="shared" si="14"/>
        <v>0</v>
      </c>
      <c r="J163" s="128">
        <f t="shared" si="15"/>
        <v>0</v>
      </c>
      <c r="K163" s="128">
        <f>J163*Constants!A$19</f>
        <v>0</v>
      </c>
      <c r="L163" s="163" t="e">
        <f t="shared" si="16"/>
        <v>#DIV/0!</v>
      </c>
    </row>
    <row r="164" spans="2:12" x14ac:dyDescent="0.45">
      <c r="I164" s="195">
        <f>SUM(I136:I163)</f>
        <v>0</v>
      </c>
      <c r="L164" s="163" t="e">
        <f>SUM(L136:L163)</f>
        <v>#DIV/0!</v>
      </c>
    </row>
  </sheetData>
  <mergeCells count="10">
    <mergeCell ref="I134:K134"/>
    <mergeCell ref="E134:G134"/>
    <mergeCell ref="D55:E55"/>
    <mergeCell ref="D22:D26"/>
    <mergeCell ref="D51:E51"/>
    <mergeCell ref="D27:D31"/>
    <mergeCell ref="D37:D41"/>
    <mergeCell ref="D65:E65"/>
    <mergeCell ref="D59:E59"/>
    <mergeCell ref="D32:D36"/>
  </mergeCells>
  <pageMargins left="0.7" right="0.7" top="0.75" bottom="0.75" header="0.3" footer="0.3"/>
  <pageSetup paperSize="9" scale="26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3:L164"/>
  <sheetViews>
    <sheetView rightToLeft="1" workbookViewId="0">
      <selection activeCell="C4" sqref="C4"/>
    </sheetView>
  </sheetViews>
  <sheetFormatPr defaultColWidth="9" defaultRowHeight="14.25" x14ac:dyDescent="0.45"/>
  <cols>
    <col min="1" max="1" width="4.46484375" customWidth="1"/>
    <col min="2" max="2" width="9.86328125" customWidth="1"/>
    <col min="3" max="3" width="39.53125" customWidth="1"/>
    <col min="4" max="12" width="17.46484375" customWidth="1"/>
    <col min="13" max="13" width="9" customWidth="1"/>
  </cols>
  <sheetData>
    <row r="3" spans="1:12" ht="18" customHeight="1" x14ac:dyDescent="0.45">
      <c r="A3" t="s">
        <v>197</v>
      </c>
      <c r="B3" s="104" t="s">
        <v>40</v>
      </c>
      <c r="C3" s="129" t="s">
        <v>205</v>
      </c>
      <c r="D3" s="128">
        <v>0.05</v>
      </c>
      <c r="E3" s="128">
        <v>0.1</v>
      </c>
      <c r="F3" s="128">
        <v>0.15</v>
      </c>
      <c r="G3" s="128">
        <v>0.5</v>
      </c>
      <c r="H3" s="128">
        <v>0.05</v>
      </c>
      <c r="I3" s="128">
        <v>0.08</v>
      </c>
      <c r="J3" s="128">
        <v>0.05</v>
      </c>
      <c r="K3" s="128">
        <v>0.02</v>
      </c>
    </row>
    <row r="4" spans="1:12" ht="18" customHeight="1" x14ac:dyDescent="0.45">
      <c r="A4" t="s">
        <v>198</v>
      </c>
      <c r="B4" s="104" t="s">
        <v>41</v>
      </c>
      <c r="C4" s="129" t="s">
        <v>112</v>
      </c>
      <c r="D4" s="128">
        <v>0.5</v>
      </c>
      <c r="E4" s="128">
        <v>0.7</v>
      </c>
      <c r="F4" s="128">
        <v>1</v>
      </c>
      <c r="G4" s="128">
        <v>1</v>
      </c>
      <c r="H4" s="128">
        <v>1.5</v>
      </c>
      <c r="I4" s="128">
        <v>1</v>
      </c>
      <c r="J4" s="128">
        <v>0.5</v>
      </c>
      <c r="K4" s="128">
        <v>0.5</v>
      </c>
    </row>
    <row r="5" spans="1:12" ht="18" customHeight="1" x14ac:dyDescent="0.45">
      <c r="A5" t="s">
        <v>199</v>
      </c>
      <c r="B5" s="104" t="s">
        <v>42</v>
      </c>
      <c r="C5" s="129" t="s">
        <v>115</v>
      </c>
      <c r="D5" s="128">
        <v>1</v>
      </c>
      <c r="E5" s="128">
        <v>1</v>
      </c>
      <c r="F5" s="128">
        <v>1</v>
      </c>
      <c r="G5" s="128">
        <v>1</v>
      </c>
      <c r="H5" s="128">
        <v>1</v>
      </c>
      <c r="I5" s="128">
        <v>1</v>
      </c>
      <c r="J5" s="128">
        <v>1</v>
      </c>
      <c r="K5" s="128">
        <v>1</v>
      </c>
    </row>
    <row r="6" spans="1:12" ht="18" customHeight="1" x14ac:dyDescent="0.45">
      <c r="A6" t="s">
        <v>200</v>
      </c>
      <c r="B6" s="104" t="s">
        <v>43</v>
      </c>
      <c r="C6" s="129" t="s">
        <v>117</v>
      </c>
      <c r="D6" s="128">
        <v>1</v>
      </c>
      <c r="E6" s="128">
        <v>1</v>
      </c>
      <c r="F6" s="128">
        <v>1</v>
      </c>
      <c r="G6" s="128">
        <v>1</v>
      </c>
      <c r="H6" s="128">
        <v>1</v>
      </c>
      <c r="I6" s="128">
        <v>1</v>
      </c>
      <c r="J6" s="128">
        <v>1</v>
      </c>
      <c r="K6" s="128">
        <v>1</v>
      </c>
    </row>
    <row r="7" spans="1:12" ht="18" customHeight="1" x14ac:dyDescent="0.45">
      <c r="A7" t="s">
        <v>201</v>
      </c>
      <c r="B7" s="104"/>
      <c r="C7" s="129"/>
      <c r="D7" s="128">
        <v>1</v>
      </c>
      <c r="E7" s="128">
        <v>1</v>
      </c>
      <c r="F7" s="128">
        <v>1</v>
      </c>
      <c r="G7" s="128">
        <v>1</v>
      </c>
      <c r="H7" s="128">
        <v>1</v>
      </c>
      <c r="I7" s="128">
        <v>1</v>
      </c>
      <c r="J7" s="128">
        <v>1</v>
      </c>
      <c r="K7" s="128">
        <v>1</v>
      </c>
    </row>
    <row r="9" spans="1:12" ht="18.75" customHeight="1" x14ac:dyDescent="0.45">
      <c r="C9" s="130" t="s">
        <v>52</v>
      </c>
      <c r="D9" s="128">
        <f t="shared" ref="D9:K9" si="0">D3*D4</f>
        <v>2.5000000000000001E-2</v>
      </c>
      <c r="E9" s="128">
        <f t="shared" si="0"/>
        <v>6.9999999999999993E-2</v>
      </c>
      <c r="F9" s="128">
        <f t="shared" si="0"/>
        <v>0.15</v>
      </c>
      <c r="G9" s="128">
        <f t="shared" si="0"/>
        <v>0.5</v>
      </c>
      <c r="H9" s="128">
        <f t="shared" si="0"/>
        <v>7.5000000000000011E-2</v>
      </c>
      <c r="I9" s="128">
        <f t="shared" si="0"/>
        <v>0.08</v>
      </c>
      <c r="J9" s="128">
        <f t="shared" si="0"/>
        <v>2.5000000000000001E-2</v>
      </c>
      <c r="K9" s="128">
        <f t="shared" si="0"/>
        <v>0.01</v>
      </c>
      <c r="L9" s="128">
        <f>SUM(D9:K9)</f>
        <v>0.93500000000000005</v>
      </c>
    </row>
    <row r="10" spans="1:12" ht="18.75" customHeight="1" x14ac:dyDescent="0.45">
      <c r="C10" s="130" t="s">
        <v>52</v>
      </c>
      <c r="D10" s="128">
        <f t="shared" ref="D10:K10" si="1">D9/$L$9</f>
        <v>2.6737967914438502E-2</v>
      </c>
      <c r="E10" s="128">
        <f t="shared" si="1"/>
        <v>7.4866310160427801E-2</v>
      </c>
      <c r="F10" s="128">
        <f t="shared" si="1"/>
        <v>0.16042780748663099</v>
      </c>
      <c r="G10" s="128">
        <f t="shared" si="1"/>
        <v>0.53475935828876997</v>
      </c>
      <c r="H10" s="128">
        <f t="shared" si="1"/>
        <v>8.0213903743315509E-2</v>
      </c>
      <c r="I10" s="128">
        <f t="shared" si="1"/>
        <v>8.5561497326203204E-2</v>
      </c>
      <c r="J10" s="128">
        <f t="shared" si="1"/>
        <v>2.6737967914438502E-2</v>
      </c>
      <c r="K10" s="128">
        <f t="shared" si="1"/>
        <v>1.06951871657754E-2</v>
      </c>
      <c r="L10" s="128">
        <f>SUM(D10:K10)</f>
        <v>0.99999999999999989</v>
      </c>
    </row>
    <row r="11" spans="1:12" x14ac:dyDescent="0.45">
      <c r="C11" s="131"/>
      <c r="D11" s="110"/>
      <c r="E11" s="110"/>
      <c r="F11" s="110"/>
      <c r="G11" s="110"/>
      <c r="H11" s="110"/>
      <c r="I11" s="110"/>
      <c r="J11" s="110"/>
      <c r="K11" s="110"/>
      <c r="L11" s="110"/>
    </row>
    <row r="12" spans="1:12" ht="18.75" customHeight="1" x14ac:dyDescent="0.45">
      <c r="C12" s="130" t="s">
        <v>54</v>
      </c>
      <c r="D12" s="128">
        <f t="shared" ref="D12:K12" si="2">D10*D5</f>
        <v>2.6737967914438502E-2</v>
      </c>
      <c r="E12" s="128">
        <f t="shared" si="2"/>
        <v>7.4866310160427801E-2</v>
      </c>
      <c r="F12" s="128">
        <f t="shared" si="2"/>
        <v>0.16042780748663099</v>
      </c>
      <c r="G12" s="128">
        <f t="shared" si="2"/>
        <v>0.53475935828876997</v>
      </c>
      <c r="H12" s="128">
        <f t="shared" si="2"/>
        <v>8.0213903743315509E-2</v>
      </c>
      <c r="I12" s="128">
        <f t="shared" si="2"/>
        <v>8.5561497326203204E-2</v>
      </c>
      <c r="J12" s="128">
        <f t="shared" si="2"/>
        <v>2.6737967914438502E-2</v>
      </c>
      <c r="K12" s="128">
        <f t="shared" si="2"/>
        <v>1.06951871657754E-2</v>
      </c>
      <c r="L12" s="128">
        <f>SUM(D12:K12)</f>
        <v>0.99999999999999989</v>
      </c>
    </row>
    <row r="13" spans="1:12" ht="18.75" customHeight="1" x14ac:dyDescent="0.45">
      <c r="C13" s="130" t="s">
        <v>54</v>
      </c>
      <c r="D13" s="128">
        <f t="shared" ref="D13:K13" si="3">D12/$L$12</f>
        <v>2.6737967914438505E-2</v>
      </c>
      <c r="E13" s="128">
        <f t="shared" si="3"/>
        <v>7.4866310160427815E-2</v>
      </c>
      <c r="F13" s="128">
        <f t="shared" si="3"/>
        <v>0.16042780748663102</v>
      </c>
      <c r="G13" s="128">
        <f t="shared" si="3"/>
        <v>0.53475935828877008</v>
      </c>
      <c r="H13" s="128">
        <f t="shared" si="3"/>
        <v>8.0213903743315523E-2</v>
      </c>
      <c r="I13" s="128">
        <f t="shared" si="3"/>
        <v>8.5561497326203217E-2</v>
      </c>
      <c r="J13" s="128">
        <f t="shared" si="3"/>
        <v>2.6737967914438505E-2</v>
      </c>
      <c r="K13" s="128">
        <f t="shared" si="3"/>
        <v>1.0695187165775402E-2</v>
      </c>
      <c r="L13" s="128">
        <f>SUM(D13:K13)</f>
        <v>1</v>
      </c>
    </row>
    <row r="14" spans="1:12" x14ac:dyDescent="0.45">
      <c r="C14" s="131"/>
      <c r="D14" s="110"/>
      <c r="E14" s="110"/>
      <c r="F14" s="110"/>
      <c r="G14" s="110"/>
      <c r="H14" s="110"/>
      <c r="I14" s="110"/>
      <c r="J14" s="110"/>
      <c r="K14" s="110"/>
      <c r="L14" s="110"/>
    </row>
    <row r="15" spans="1:12" ht="18.75" customHeight="1" x14ac:dyDescent="0.45">
      <c r="C15" s="130" t="s">
        <v>56</v>
      </c>
      <c r="D15" s="128">
        <f t="shared" ref="D15:K15" si="4">D13*D6</f>
        <v>2.6737967914438505E-2</v>
      </c>
      <c r="E15" s="128">
        <f t="shared" si="4"/>
        <v>7.4866310160427815E-2</v>
      </c>
      <c r="F15" s="128">
        <f t="shared" si="4"/>
        <v>0.16042780748663102</v>
      </c>
      <c r="G15" s="128">
        <f t="shared" si="4"/>
        <v>0.53475935828877008</v>
      </c>
      <c r="H15" s="128">
        <f t="shared" si="4"/>
        <v>8.0213903743315523E-2</v>
      </c>
      <c r="I15" s="128">
        <f t="shared" si="4"/>
        <v>8.5561497326203217E-2</v>
      </c>
      <c r="J15" s="128">
        <f t="shared" si="4"/>
        <v>2.6737967914438505E-2</v>
      </c>
      <c r="K15" s="128">
        <f t="shared" si="4"/>
        <v>1.0695187165775402E-2</v>
      </c>
      <c r="L15" s="128">
        <f>SUM(D15:K15)</f>
        <v>1</v>
      </c>
    </row>
    <row r="16" spans="1:12" ht="18.75" customHeight="1" x14ac:dyDescent="0.45">
      <c r="C16" s="130" t="s">
        <v>56</v>
      </c>
      <c r="D16" s="151">
        <f t="shared" ref="D16:K16" si="5">D15/$L$15</f>
        <v>2.6737967914438505E-2</v>
      </c>
      <c r="E16" s="151">
        <f t="shared" si="5"/>
        <v>7.4866310160427815E-2</v>
      </c>
      <c r="F16" s="151">
        <f t="shared" si="5"/>
        <v>0.16042780748663102</v>
      </c>
      <c r="G16" s="151">
        <f t="shared" si="5"/>
        <v>0.53475935828877008</v>
      </c>
      <c r="H16" s="151">
        <f t="shared" si="5"/>
        <v>8.0213903743315523E-2</v>
      </c>
      <c r="I16" s="151">
        <f t="shared" si="5"/>
        <v>8.5561497326203217E-2</v>
      </c>
      <c r="J16" s="151">
        <f t="shared" si="5"/>
        <v>2.6737967914438505E-2</v>
      </c>
      <c r="K16" s="151">
        <f t="shared" si="5"/>
        <v>1.0695187165775402E-2</v>
      </c>
      <c r="L16" s="151">
        <f>SUM(D16:K16)</f>
        <v>1</v>
      </c>
    </row>
    <row r="18" spans="3:12" ht="19.5" customHeight="1" x14ac:dyDescent="0.45">
      <c r="C18" s="130" t="s">
        <v>202</v>
      </c>
      <c r="D18" s="151">
        <f t="shared" ref="D18:K18" si="6">D16*D7</f>
        <v>2.6737967914438505E-2</v>
      </c>
      <c r="E18" s="151">
        <f t="shared" si="6"/>
        <v>7.4866310160427815E-2</v>
      </c>
      <c r="F18" s="151">
        <f t="shared" si="6"/>
        <v>0.16042780748663102</v>
      </c>
      <c r="G18" s="151">
        <f t="shared" si="6"/>
        <v>0.53475935828877008</v>
      </c>
      <c r="H18" s="151">
        <f t="shared" si="6"/>
        <v>8.0213903743315523E-2</v>
      </c>
      <c r="I18" s="151">
        <f t="shared" si="6"/>
        <v>8.5561497326203217E-2</v>
      </c>
      <c r="J18" s="151">
        <f t="shared" si="6"/>
        <v>2.6737967914438505E-2</v>
      </c>
      <c r="K18" s="151">
        <f t="shared" si="6"/>
        <v>1.0695187165775402E-2</v>
      </c>
      <c r="L18" s="151">
        <f>SUM(D18:K18)</f>
        <v>1</v>
      </c>
    </row>
    <row r="21" spans="3:12" ht="44.25" customHeight="1" x14ac:dyDescent="0.45">
      <c r="F21" s="133" t="s">
        <v>26</v>
      </c>
      <c r="G21" s="134" t="str">
        <f>Constants!W11</f>
        <v>برنامه نویس ارشد</v>
      </c>
      <c r="H21" s="134" t="str">
        <f>Constants!X11</f>
        <v>برنامه نویس درجه 1</v>
      </c>
      <c r="I21" s="134" t="str">
        <f>Constants!Y11</f>
        <v>برنامه نویس درجه 2</v>
      </c>
    </row>
    <row r="22" spans="3:12" ht="18" customHeight="1" x14ac:dyDescent="0.8">
      <c r="D22" s="409" t="str">
        <f>Constants!A3</f>
        <v>فرم</v>
      </c>
      <c r="E22" s="132" t="str">
        <f>Constants!E3</f>
        <v>ساده</v>
      </c>
      <c r="F22" s="128">
        <f>Elements!E2011</f>
        <v>0</v>
      </c>
      <c r="G22" s="128">
        <f>$F22*Constants!W12</f>
        <v>0</v>
      </c>
      <c r="H22" s="128">
        <f>$F22*Constants!X12</f>
        <v>0</v>
      </c>
      <c r="I22" s="128">
        <f>$F22*Constants!Y12</f>
        <v>0</v>
      </c>
    </row>
    <row r="23" spans="3:12" ht="18" customHeight="1" x14ac:dyDescent="0.8">
      <c r="D23" s="347"/>
      <c r="E23" s="132" t="str">
        <f>Constants!E4</f>
        <v>معمولی</v>
      </c>
      <c r="F23" s="128">
        <f>Elements!F2011</f>
        <v>7</v>
      </c>
      <c r="G23" s="128">
        <f>$F23*Constants!W13</f>
        <v>49</v>
      </c>
      <c r="H23" s="128">
        <f>$F23*Constants!X13</f>
        <v>126</v>
      </c>
      <c r="I23" s="128">
        <f>$F23*Constants!Y13</f>
        <v>28</v>
      </c>
    </row>
    <row r="24" spans="3:12" ht="18" customHeight="1" x14ac:dyDescent="0.8">
      <c r="D24" s="347"/>
      <c r="E24" s="132" t="str">
        <f>Constants!E5</f>
        <v>پیچیده</v>
      </c>
      <c r="F24" s="128">
        <f>Elements!G2011</f>
        <v>5</v>
      </c>
      <c r="G24" s="128">
        <f>$F24*Constants!W14</f>
        <v>55</v>
      </c>
      <c r="H24" s="128">
        <f>$F24*Constants!X14</f>
        <v>135</v>
      </c>
      <c r="I24" s="128">
        <f>$F24*Constants!Y14</f>
        <v>30</v>
      </c>
    </row>
    <row r="25" spans="3:12" ht="18" customHeight="1" x14ac:dyDescent="0.8">
      <c r="D25" s="347"/>
      <c r="E25" s="132" t="str">
        <f>Constants!E6</f>
        <v>بسیار پیچیده</v>
      </c>
      <c r="F25" s="128">
        <f>Elements!H2011</f>
        <v>4</v>
      </c>
      <c r="G25" s="128">
        <f>$F25*Constants!W15</f>
        <v>56</v>
      </c>
      <c r="H25" s="128">
        <f>$F25*Constants!X15</f>
        <v>140</v>
      </c>
      <c r="I25" s="128">
        <f>$F25*Constants!Y15</f>
        <v>36</v>
      </c>
    </row>
    <row r="26" spans="3:12" ht="18" customHeight="1" x14ac:dyDescent="0.8">
      <c r="D26" s="348"/>
      <c r="E26" s="132" t="str">
        <f>Constants!E7</f>
        <v>فوق العاده پیچیده</v>
      </c>
      <c r="F26" s="128">
        <f>Elements!I2011</f>
        <v>0</v>
      </c>
      <c r="G26" s="128">
        <f>$F26*Constants!W16</f>
        <v>0</v>
      </c>
      <c r="H26" s="128">
        <f>$F26*Constants!X16</f>
        <v>0</v>
      </c>
      <c r="I26" s="128">
        <f>$F26*Constants!Y16</f>
        <v>0</v>
      </c>
    </row>
    <row r="27" spans="3:12" ht="18" customHeight="1" x14ac:dyDescent="0.8">
      <c r="D27" s="409" t="str">
        <f>Constants!A4</f>
        <v>پردازش</v>
      </c>
      <c r="E27" s="132" t="str">
        <f>Constants!E3</f>
        <v>ساده</v>
      </c>
      <c r="F27" s="128">
        <f>Elements!E2012</f>
        <v>0</v>
      </c>
      <c r="G27" s="128">
        <f>$F27*Constants!W17</f>
        <v>0</v>
      </c>
      <c r="H27" s="128">
        <f>$F27*Constants!X17</f>
        <v>0</v>
      </c>
      <c r="I27" s="128">
        <f>$F27*Constants!Y17</f>
        <v>0</v>
      </c>
    </row>
    <row r="28" spans="3:12" ht="18" customHeight="1" x14ac:dyDescent="0.8">
      <c r="D28" s="347"/>
      <c r="E28" s="132" t="str">
        <f>Constants!E4</f>
        <v>معمولی</v>
      </c>
      <c r="F28" s="128">
        <f>Elements!F2012</f>
        <v>0</v>
      </c>
      <c r="G28" s="128">
        <f>$F28*Constants!W18</f>
        <v>0</v>
      </c>
      <c r="H28" s="128">
        <f>$F28*Constants!X18</f>
        <v>0</v>
      </c>
      <c r="I28" s="128">
        <f>$F28*Constants!Y18</f>
        <v>0</v>
      </c>
    </row>
    <row r="29" spans="3:12" ht="18" customHeight="1" x14ac:dyDescent="0.8">
      <c r="D29" s="347"/>
      <c r="E29" s="132" t="str">
        <f>Constants!E5</f>
        <v>پیچیده</v>
      </c>
      <c r="F29" s="128">
        <f>Elements!G2012</f>
        <v>1</v>
      </c>
      <c r="G29" s="128">
        <f>$F29*Constants!W19</f>
        <v>17</v>
      </c>
      <c r="H29" s="128">
        <f>$F29*Constants!X19</f>
        <v>41</v>
      </c>
      <c r="I29" s="128">
        <f>$F29*Constants!Y19</f>
        <v>9</v>
      </c>
    </row>
    <row r="30" spans="3:12" ht="18" customHeight="1" x14ac:dyDescent="0.8">
      <c r="D30" s="347"/>
      <c r="E30" s="132" t="str">
        <f>Constants!E6</f>
        <v>بسیار پیچیده</v>
      </c>
      <c r="F30" s="128">
        <f>Elements!H2012</f>
        <v>2</v>
      </c>
      <c r="G30" s="128">
        <f>$F30*Constants!W20</f>
        <v>42</v>
      </c>
      <c r="H30" s="128">
        <f>$F30*Constants!X20</f>
        <v>106</v>
      </c>
      <c r="I30" s="128">
        <f>$F30*Constants!Y20</f>
        <v>28</v>
      </c>
    </row>
    <row r="31" spans="3:12" ht="18" customHeight="1" x14ac:dyDescent="0.8">
      <c r="D31" s="348"/>
      <c r="E31" s="132" t="str">
        <f>Constants!E7</f>
        <v>فوق العاده پیچیده</v>
      </c>
      <c r="F31" s="128">
        <f>Elements!I2012</f>
        <v>2</v>
      </c>
      <c r="G31" s="128">
        <f>$F31*Constants!W21</f>
        <v>64</v>
      </c>
      <c r="H31" s="128">
        <f>$F31*Constants!X21</f>
        <v>160</v>
      </c>
      <c r="I31" s="128">
        <f>$F31*Constants!Y21</f>
        <v>40</v>
      </c>
    </row>
    <row r="32" spans="3:12" ht="18" customHeight="1" x14ac:dyDescent="0.8">
      <c r="D32" s="409" t="str">
        <f>Constants!A5</f>
        <v>سرویس</v>
      </c>
      <c r="E32" s="132" t="str">
        <f>Constants!E3</f>
        <v>ساده</v>
      </c>
      <c r="F32" s="128">
        <f>Elements!E2013</f>
        <v>0</v>
      </c>
      <c r="G32" s="128">
        <f>$F32*Constants!W22</f>
        <v>0</v>
      </c>
      <c r="H32" s="128">
        <f>$F32*Constants!X22</f>
        <v>0</v>
      </c>
      <c r="I32" s="128">
        <f>$F32*Constants!Y22</f>
        <v>0</v>
      </c>
    </row>
    <row r="33" spans="3:11" ht="18" customHeight="1" x14ac:dyDescent="0.8">
      <c r="D33" s="347"/>
      <c r="E33" s="132" t="str">
        <f>Constants!E4</f>
        <v>معمولی</v>
      </c>
      <c r="F33" s="128">
        <f>Elements!F2013</f>
        <v>1</v>
      </c>
      <c r="G33" s="128">
        <f>$F33*Constants!W23</f>
        <v>11</v>
      </c>
      <c r="H33" s="128">
        <f>$F33*Constants!X23</f>
        <v>27</v>
      </c>
      <c r="I33" s="128">
        <f>$F33*Constants!Y23</f>
        <v>6</v>
      </c>
    </row>
    <row r="34" spans="3:11" ht="18" customHeight="1" x14ac:dyDescent="0.8">
      <c r="D34" s="347"/>
      <c r="E34" s="132" t="str">
        <f>Constants!E5</f>
        <v>پیچیده</v>
      </c>
      <c r="F34" s="128">
        <f>Elements!G2013</f>
        <v>7</v>
      </c>
      <c r="G34" s="128">
        <f>$F34*Constants!W24</f>
        <v>119</v>
      </c>
      <c r="H34" s="128">
        <f>$F34*Constants!X24</f>
        <v>287</v>
      </c>
      <c r="I34" s="128">
        <f>$F34*Constants!Y24</f>
        <v>63</v>
      </c>
    </row>
    <row r="35" spans="3:11" ht="18" customHeight="1" x14ac:dyDescent="0.8">
      <c r="D35" s="347"/>
      <c r="E35" s="132" t="str">
        <f>Constants!E6</f>
        <v>بسیار پیچیده</v>
      </c>
      <c r="F35" s="128">
        <f>Elements!H2013</f>
        <v>2</v>
      </c>
      <c r="G35" s="128">
        <f>$F35*Constants!W25</f>
        <v>42</v>
      </c>
      <c r="H35" s="128">
        <f>$F35*Constants!X25</f>
        <v>106</v>
      </c>
      <c r="I35" s="128">
        <f>$F35*Constants!Y25</f>
        <v>28</v>
      </c>
    </row>
    <row r="36" spans="3:11" ht="18" customHeight="1" x14ac:dyDescent="0.8">
      <c r="D36" s="348"/>
      <c r="E36" s="132" t="str">
        <f>Constants!E7</f>
        <v>فوق العاده پیچیده</v>
      </c>
      <c r="F36" s="128">
        <f>Elements!I2013</f>
        <v>1</v>
      </c>
      <c r="G36" s="128">
        <f>$F36*Constants!W26</f>
        <v>32</v>
      </c>
      <c r="H36" s="128">
        <f>$F36*Constants!X26</f>
        <v>80</v>
      </c>
      <c r="I36" s="128">
        <f>$F36*Constants!Y26</f>
        <v>20</v>
      </c>
    </row>
    <row r="37" spans="3:11" ht="18" customHeight="1" x14ac:dyDescent="0.8">
      <c r="D37" s="409" t="str">
        <f>Constants!A6</f>
        <v>گزارش</v>
      </c>
      <c r="E37" s="132" t="str">
        <f>Constants!E3</f>
        <v>ساده</v>
      </c>
      <c r="F37" s="128">
        <f>Elements!E2014</f>
        <v>0</v>
      </c>
      <c r="G37" s="128">
        <f>$F37*Constants!W27</f>
        <v>0</v>
      </c>
      <c r="H37" s="128">
        <f>$F37*Constants!X27</f>
        <v>0</v>
      </c>
      <c r="I37" s="128">
        <f>$F37*Constants!Y27</f>
        <v>0</v>
      </c>
    </row>
    <row r="38" spans="3:11" ht="18" customHeight="1" x14ac:dyDescent="0.8">
      <c r="D38" s="347"/>
      <c r="E38" s="132" t="str">
        <f>Constants!E4</f>
        <v>معمولی</v>
      </c>
      <c r="F38" s="128">
        <f>Elements!F2014</f>
        <v>0</v>
      </c>
      <c r="G38" s="128">
        <f>$F38*Constants!W28</f>
        <v>0</v>
      </c>
      <c r="H38" s="128">
        <f>$F38*Constants!X28</f>
        <v>0</v>
      </c>
      <c r="I38" s="128">
        <f>$F38*Constants!Y28</f>
        <v>0</v>
      </c>
    </row>
    <row r="39" spans="3:11" ht="18" customHeight="1" x14ac:dyDescent="0.8">
      <c r="D39" s="347"/>
      <c r="E39" s="132" t="str">
        <f>Constants!E5</f>
        <v>پیچیده</v>
      </c>
      <c r="F39" s="128">
        <f>Elements!G2014</f>
        <v>1</v>
      </c>
      <c r="G39" s="128">
        <f>$F39*Constants!W29</f>
        <v>17</v>
      </c>
      <c r="H39" s="128">
        <f>$F39*Constants!X29</f>
        <v>41</v>
      </c>
      <c r="I39" s="128">
        <f>$F39*Constants!Y29</f>
        <v>9</v>
      </c>
    </row>
    <row r="40" spans="3:11" ht="18" customHeight="1" x14ac:dyDescent="0.8">
      <c r="D40" s="347"/>
      <c r="E40" s="132" t="str">
        <f>Constants!E6</f>
        <v>بسیار پیچیده</v>
      </c>
      <c r="F40" s="128">
        <f>Elements!H2014</f>
        <v>0</v>
      </c>
      <c r="G40" s="128">
        <f>$F40*Constants!W30</f>
        <v>0</v>
      </c>
      <c r="H40" s="128">
        <f>$F40*Constants!X30</f>
        <v>0</v>
      </c>
      <c r="I40" s="128">
        <f>$F40*Constants!Y30</f>
        <v>0</v>
      </c>
    </row>
    <row r="41" spans="3:11" ht="18" customHeight="1" x14ac:dyDescent="0.8">
      <c r="D41" s="348"/>
      <c r="E41" s="132" t="str">
        <f>Constants!E7</f>
        <v>فوق العاده پیچیده</v>
      </c>
      <c r="F41" s="128">
        <f>Elements!I2014</f>
        <v>0</v>
      </c>
      <c r="G41" s="128">
        <f>$F41*Constants!W31</f>
        <v>0</v>
      </c>
      <c r="H41" s="128">
        <f>$F41*Constants!X31</f>
        <v>0</v>
      </c>
      <c r="I41" s="128">
        <f>$F41*Constants!Y31</f>
        <v>0</v>
      </c>
    </row>
    <row r="42" spans="3:11" x14ac:dyDescent="0.45">
      <c r="G42" s="110">
        <f>SUM(G22:G41)</f>
        <v>504</v>
      </c>
      <c r="H42" s="110">
        <f>SUM(H22:H41)</f>
        <v>1249</v>
      </c>
      <c r="I42" s="110">
        <f>SUM(I22:I41)</f>
        <v>297</v>
      </c>
    </row>
    <row r="43" spans="3:11" x14ac:dyDescent="0.45">
      <c r="G43" s="128">
        <f>G42/Constants!$A19</f>
        <v>3.15</v>
      </c>
      <c r="H43" s="128">
        <f>H42/Constants!$A19</f>
        <v>7.8062500000000004</v>
      </c>
      <c r="I43" s="128">
        <f>I42/Constants!$A19</f>
        <v>1.85625</v>
      </c>
    </row>
    <row r="45" spans="3:11" ht="23.25" customHeight="1" x14ac:dyDescent="0.45">
      <c r="C45" s="20"/>
      <c r="D45" s="102">
        <f>SUM(LifeCycle!F3:F5)+SUM(LifeCycle!F9:F30)</f>
        <v>0.42999999999999994</v>
      </c>
    </row>
    <row r="47" spans="3:11" x14ac:dyDescent="0.45">
      <c r="C47" s="147"/>
      <c r="D47" s="147"/>
      <c r="E47" s="147"/>
      <c r="F47" s="147"/>
      <c r="G47" s="148">
        <f>Constants!S40</f>
        <v>233752781</v>
      </c>
      <c r="H47" s="148">
        <f>Constants!S41</f>
        <v>182145024</v>
      </c>
      <c r="I47" s="148">
        <f>Constants!S42</f>
        <v>138126643</v>
      </c>
    </row>
    <row r="48" spans="3:11" x14ac:dyDescent="0.45">
      <c r="C48" s="147"/>
      <c r="D48" s="147"/>
      <c r="E48" s="147"/>
      <c r="F48" s="147"/>
      <c r="G48" s="148">
        <f>G43*G47</f>
        <v>736321260.14999998</v>
      </c>
      <c r="H48" s="148">
        <f>H43*H47</f>
        <v>1421869593.6000001</v>
      </c>
      <c r="I48" s="148">
        <f>I43*I47</f>
        <v>256397581.06874999</v>
      </c>
      <c r="J48" s="148">
        <f>SUM(G48:I48)</f>
        <v>2414588434.8187499</v>
      </c>
      <c r="K48" s="149" t="s">
        <v>203</v>
      </c>
    </row>
    <row r="49" spans="3:11" x14ac:dyDescent="0.45">
      <c r="C49" s="147"/>
      <c r="D49" s="147"/>
      <c r="E49" s="147"/>
      <c r="F49" s="147"/>
      <c r="G49" s="128">
        <f>(1-$D$45)*G48/$J$48</f>
        <v>0.17381973351371779</v>
      </c>
      <c r="H49" s="128">
        <f>(1-$D$45)*H48/$J$48</f>
        <v>0.33565375227718153</v>
      </c>
      <c r="I49" s="128">
        <f>(1-$D$45)*I48/$J$48</f>
        <v>6.0526514209100789E-2</v>
      </c>
    </row>
    <row r="51" spans="3:11" x14ac:dyDescent="0.45">
      <c r="D51" s="410">
        <f>CL!I60*J48/(1-D45)</f>
        <v>4236120061.0855255</v>
      </c>
      <c r="E51" s="291"/>
    </row>
    <row r="53" spans="3:11" x14ac:dyDescent="0.45">
      <c r="D53" s="154">
        <f t="shared" ref="D53:K53" si="7">$D$51*D16/$G$16</f>
        <v>211806003.05427629</v>
      </c>
      <c r="E53" s="154">
        <f t="shared" si="7"/>
        <v>593056808.5519737</v>
      </c>
      <c r="F53" s="154">
        <f t="shared" si="7"/>
        <v>1270836018.3256576</v>
      </c>
      <c r="G53" s="154">
        <f t="shared" si="7"/>
        <v>4236120061.085526</v>
      </c>
      <c r="H53" s="154">
        <f t="shared" si="7"/>
        <v>635418009.16282892</v>
      </c>
      <c r="I53" s="154">
        <f t="shared" si="7"/>
        <v>677779209.77368402</v>
      </c>
      <c r="J53" s="154">
        <f t="shared" si="7"/>
        <v>211806003.05427629</v>
      </c>
      <c r="K53" s="154">
        <f t="shared" si="7"/>
        <v>84722401.221710503</v>
      </c>
    </row>
    <row r="55" spans="3:11" x14ac:dyDescent="0.45">
      <c r="D55" s="408">
        <f>SUM(D53:K53)</f>
        <v>7921544514.2299318</v>
      </c>
      <c r="E55" s="291"/>
    </row>
    <row r="56" spans="3:11" x14ac:dyDescent="0.45">
      <c r="D56" s="152"/>
      <c r="E56" s="152"/>
    </row>
    <row r="57" spans="3:11" x14ac:dyDescent="0.45">
      <c r="D57" s="153">
        <f t="shared" ref="D57:K57" si="8">IFERROR(D53*D18/D16,0)</f>
        <v>211806003.05427629</v>
      </c>
      <c r="E57" s="153">
        <f t="shared" si="8"/>
        <v>593056808.5519737</v>
      </c>
      <c r="F57" s="153">
        <f t="shared" si="8"/>
        <v>1270836018.3256576</v>
      </c>
      <c r="G57" s="153">
        <f t="shared" si="8"/>
        <v>4236120061.085526</v>
      </c>
      <c r="H57" s="153">
        <f t="shared" si="8"/>
        <v>635418009.16282892</v>
      </c>
      <c r="I57" s="153">
        <f t="shared" si="8"/>
        <v>677779209.77368402</v>
      </c>
      <c r="J57" s="153">
        <f t="shared" si="8"/>
        <v>211806003.05427629</v>
      </c>
      <c r="K57" s="153">
        <f t="shared" si="8"/>
        <v>84722401.221710503</v>
      </c>
    </row>
    <row r="58" spans="3:11" x14ac:dyDescent="0.45">
      <c r="D58" s="152"/>
      <c r="E58" s="152"/>
    </row>
    <row r="59" spans="3:11" x14ac:dyDescent="0.45">
      <c r="D59" s="410">
        <f>SUM(D57:K57)</f>
        <v>7921544514.2299318</v>
      </c>
      <c r="E59" s="291"/>
      <c r="G59" s="147" t="s">
        <v>204</v>
      </c>
      <c r="H59" s="169">
        <f>J59*I59</f>
        <v>0</v>
      </c>
      <c r="I59" s="110">
        <v>0.7</v>
      </c>
      <c r="J59" s="147">
        <f>D59/D55-1</f>
        <v>0</v>
      </c>
    </row>
    <row r="61" spans="3:11" x14ac:dyDescent="0.45">
      <c r="D61" s="153">
        <f>SUM(ProjectDef!I23:I25)</f>
        <v>0</v>
      </c>
      <c r="E61" s="162"/>
      <c r="F61" s="162"/>
      <c r="G61" s="162"/>
      <c r="H61" s="162"/>
      <c r="I61" s="162"/>
      <c r="J61" s="162"/>
      <c r="K61" s="162"/>
    </row>
    <row r="63" spans="3:11" x14ac:dyDescent="0.45">
      <c r="D63" s="153">
        <f t="shared" ref="D63:K63" si="9">D57*(1+$D61)</f>
        <v>211806003.05427629</v>
      </c>
      <c r="E63" s="153">
        <f t="shared" si="9"/>
        <v>593056808.5519737</v>
      </c>
      <c r="F63" s="153">
        <f t="shared" si="9"/>
        <v>1270836018.3256576</v>
      </c>
      <c r="G63" s="153">
        <f t="shared" si="9"/>
        <v>4236120061.085526</v>
      </c>
      <c r="H63" s="153">
        <f t="shared" si="9"/>
        <v>635418009.16282892</v>
      </c>
      <c r="I63" s="153">
        <f t="shared" si="9"/>
        <v>677779209.77368402</v>
      </c>
      <c r="J63" s="153">
        <f t="shared" si="9"/>
        <v>211806003.05427629</v>
      </c>
      <c r="K63" s="153">
        <f t="shared" si="9"/>
        <v>84722401.221710503</v>
      </c>
    </row>
    <row r="64" spans="3:11" ht="15.75" customHeight="1" thickBot="1" x14ac:dyDescent="0.5"/>
    <row r="65" spans="2:11" ht="15.75" customHeight="1" thickBot="1" x14ac:dyDescent="0.5">
      <c r="C65" s="168"/>
      <c r="D65" s="411">
        <f>SUM(D63:K63)</f>
        <v>7921544514.2299318</v>
      </c>
      <c r="E65" s="291"/>
    </row>
    <row r="70" spans="2:11" ht="18" customHeight="1" x14ac:dyDescent="0.45">
      <c r="C70" s="110"/>
      <c r="D70" s="155"/>
      <c r="E70" s="155"/>
      <c r="F70" s="155"/>
    </row>
    <row r="71" spans="2:11" ht="18" customHeight="1" x14ac:dyDescent="0.45">
      <c r="B71" s="129">
        <v>1</v>
      </c>
      <c r="C71" s="150" t="str">
        <f>Constants!R37</f>
        <v>مدیر پروژه</v>
      </c>
      <c r="D71" s="156">
        <f>D$53*LifeCycle!C3</f>
        <v>10590300.152713815</v>
      </c>
      <c r="E71" s="156">
        <f>E$53*LifeCycle!D3</f>
        <v>29652840.427598685</v>
      </c>
      <c r="F71" s="156">
        <f>F$53*LifeCycle!E3</f>
        <v>63541800.916282885</v>
      </c>
      <c r="G71" s="156">
        <f>G$53*LifeCycle!F3</f>
        <v>211806003.05427632</v>
      </c>
      <c r="H71" s="156">
        <f>H$53*LifeCycle!G3</f>
        <v>31770900.458141446</v>
      </c>
      <c r="I71" s="156">
        <f>I$53*LifeCycle!H3</f>
        <v>33888960.4886842</v>
      </c>
      <c r="J71" s="156">
        <f>J$53*LifeCycle!I3</f>
        <v>10590300.152713815</v>
      </c>
      <c r="K71" s="156">
        <f>K$53*LifeCycle!J3</f>
        <v>4236120.061085525</v>
      </c>
    </row>
    <row r="72" spans="2:11" ht="18" customHeight="1" x14ac:dyDescent="0.45">
      <c r="B72" s="129">
        <v>2</v>
      </c>
      <c r="C72" s="150" t="str">
        <f>Constants!R38</f>
        <v xml:space="preserve">تحلیلگر </v>
      </c>
      <c r="D72" s="156">
        <f>D$53*LifeCycle!C4</f>
        <v>148264202.1379934</v>
      </c>
      <c r="E72" s="156">
        <f>E$53*LifeCycle!D4</f>
        <v>83027953.197276324</v>
      </c>
      <c r="F72" s="156">
        <f>F$53*LifeCycle!E4</f>
        <v>0</v>
      </c>
      <c r="G72" s="156">
        <f>G$53*LifeCycle!F4</f>
        <v>0</v>
      </c>
      <c r="H72" s="156">
        <f>H$53*LifeCycle!G4</f>
        <v>95312701.374424338</v>
      </c>
      <c r="I72" s="156">
        <f>I$53*LifeCycle!H4</f>
        <v>0</v>
      </c>
      <c r="J72" s="156">
        <f>J$53*LifeCycle!I4</f>
        <v>25416720.366513155</v>
      </c>
      <c r="K72" s="156">
        <f>K$53*LifeCycle!J4</f>
        <v>5930568.0855197357</v>
      </c>
    </row>
    <row r="73" spans="2:11" ht="18" customHeight="1" x14ac:dyDescent="0.45">
      <c r="B73" s="129">
        <v>3</v>
      </c>
      <c r="C73" s="150" t="str">
        <f>Constants!R39</f>
        <v xml:space="preserve">طراح </v>
      </c>
      <c r="D73" s="156">
        <f>D$53*LifeCycle!C5</f>
        <v>42361200.610855259</v>
      </c>
      <c r="E73" s="156">
        <f>E$53*LifeCycle!D5</f>
        <v>415139765.98638159</v>
      </c>
      <c r="F73" s="156">
        <f>F$53*LifeCycle!E5</f>
        <v>889585212.82796025</v>
      </c>
      <c r="G73" s="156">
        <f>G$53*LifeCycle!F5</f>
        <v>84722401.221710518</v>
      </c>
      <c r="H73" s="156">
        <f>H$53*LifeCycle!G5</f>
        <v>63541800.916282892</v>
      </c>
      <c r="I73" s="156">
        <f>I$53*LifeCycle!H5</f>
        <v>0</v>
      </c>
      <c r="J73" s="156">
        <f>J$53*LifeCycle!I5</f>
        <v>21180600.30542763</v>
      </c>
      <c r="K73" s="156">
        <f>K$53*LifeCycle!J5</f>
        <v>0</v>
      </c>
    </row>
    <row r="74" spans="2:11" ht="18" customHeight="1" x14ac:dyDescent="0.45">
      <c r="B74" s="129">
        <v>4</v>
      </c>
      <c r="C74" s="150" t="str">
        <f>Constants!R40</f>
        <v>برنامه نویس ارشد</v>
      </c>
      <c r="D74" s="156">
        <f>D$53*LifeCycle!C6</f>
        <v>0</v>
      </c>
      <c r="E74" s="156">
        <f>E$53*LifeCycle!D6</f>
        <v>0</v>
      </c>
      <c r="F74" s="156">
        <f>F$53*LifeCycle!E6</f>
        <v>38125080.549769729</v>
      </c>
      <c r="G74" s="156">
        <f>G$53*LifeCycle!F6</f>
        <v>736321260.1500001</v>
      </c>
      <c r="H74" s="156">
        <f>H$53*LifeCycle!G6</f>
        <v>25416720.366513159</v>
      </c>
      <c r="I74" s="156">
        <f>I$53*LifeCycle!H6</f>
        <v>47444544.684157886</v>
      </c>
      <c r="J74" s="156">
        <f>J$53*LifeCycle!I6</f>
        <v>12708360.183256578</v>
      </c>
      <c r="K74" s="156">
        <f>K$53*LifeCycle!J6</f>
        <v>0</v>
      </c>
    </row>
    <row r="75" spans="2:11" ht="18" customHeight="1" x14ac:dyDescent="0.45">
      <c r="B75" s="129">
        <v>5</v>
      </c>
      <c r="C75" s="150" t="str">
        <f>Constants!R41</f>
        <v>برنامه نویس درجه 1</v>
      </c>
      <c r="D75" s="156">
        <f>D$53*LifeCycle!C7</f>
        <v>0</v>
      </c>
      <c r="E75" s="156">
        <f>E$53*LifeCycle!D7</f>
        <v>0</v>
      </c>
      <c r="F75" s="156">
        <f>F$53*LifeCycle!E7</f>
        <v>38125080.549769729</v>
      </c>
      <c r="G75" s="156">
        <f>G$53*LifeCycle!F7</f>
        <v>1421869593.6000001</v>
      </c>
      <c r="H75" s="156">
        <f>H$53*LifeCycle!G7</f>
        <v>63541800.916282892</v>
      </c>
      <c r="I75" s="156">
        <f>I$53*LifeCycle!H7</f>
        <v>67777920.9773684</v>
      </c>
      <c r="J75" s="156">
        <f>J$53*LifeCycle!I7</f>
        <v>16944480.244342104</v>
      </c>
      <c r="K75" s="156">
        <f>K$53*LifeCycle!J7</f>
        <v>0</v>
      </c>
    </row>
    <row r="76" spans="2:11" ht="18" customHeight="1" x14ac:dyDescent="0.45">
      <c r="B76" s="129">
        <v>6</v>
      </c>
      <c r="C76" s="150" t="str">
        <f>Constants!R42</f>
        <v>برنامه نویس درجه 2</v>
      </c>
      <c r="D76" s="156">
        <f>D$53*LifeCycle!C8</f>
        <v>0</v>
      </c>
      <c r="E76" s="156">
        <f>E$53*LifeCycle!D8</f>
        <v>0</v>
      </c>
      <c r="F76" s="156">
        <f>F$53*LifeCycle!E8</f>
        <v>0</v>
      </c>
      <c r="G76" s="156">
        <f>G$53*LifeCycle!F8</f>
        <v>256397581.06874999</v>
      </c>
      <c r="H76" s="156">
        <f>H$53*LifeCycle!G8</f>
        <v>19062540.274884868</v>
      </c>
      <c r="I76" s="156">
        <f>I$53*LifeCycle!H8</f>
        <v>0</v>
      </c>
      <c r="J76" s="156">
        <f>J$53*LifeCycle!I8</f>
        <v>10590300.152713815</v>
      </c>
      <c r="K76" s="156">
        <f>K$53*LifeCycle!J8</f>
        <v>0</v>
      </c>
    </row>
    <row r="77" spans="2:11" ht="18" customHeight="1" x14ac:dyDescent="0.45">
      <c r="B77" s="129">
        <v>7</v>
      </c>
      <c r="C77" s="150" t="str">
        <f>Constants!R43</f>
        <v>طراح آزمایش</v>
      </c>
      <c r="D77" s="156">
        <f>D$53*LifeCycle!C9</f>
        <v>0</v>
      </c>
      <c r="E77" s="156">
        <f>E$53*LifeCycle!D9</f>
        <v>0</v>
      </c>
      <c r="F77" s="156">
        <f>F$53*LifeCycle!E9</f>
        <v>0</v>
      </c>
      <c r="G77" s="156">
        <f>G$53*LifeCycle!F9</f>
        <v>0</v>
      </c>
      <c r="H77" s="156">
        <f>H$53*LifeCycle!G9</f>
        <v>95312701.374424338</v>
      </c>
      <c r="I77" s="156">
        <f>I$53*LifeCycle!H9</f>
        <v>0</v>
      </c>
      <c r="J77" s="156">
        <f>J$53*LifeCycle!I9</f>
        <v>0</v>
      </c>
      <c r="K77" s="156">
        <f>K$53*LifeCycle!J9</f>
        <v>0</v>
      </c>
    </row>
    <row r="78" spans="2:11" ht="18" customHeight="1" x14ac:dyDescent="0.45">
      <c r="B78" s="129">
        <v>8</v>
      </c>
      <c r="C78" s="150" t="str">
        <f>Constants!R44</f>
        <v>آزمونگر</v>
      </c>
      <c r="D78" s="156">
        <f>D$53*LifeCycle!C10</f>
        <v>0</v>
      </c>
      <c r="E78" s="156">
        <f>E$53*LifeCycle!D10</f>
        <v>0</v>
      </c>
      <c r="F78" s="156">
        <f>F$53*LifeCycle!E10</f>
        <v>25416720.366513152</v>
      </c>
      <c r="G78" s="156">
        <f>G$53*LifeCycle!F10</f>
        <v>0</v>
      </c>
      <c r="H78" s="156">
        <f>H$53*LifeCycle!G10</f>
        <v>165208682.38233551</v>
      </c>
      <c r="I78" s="156">
        <f>I$53*LifeCycle!H10</f>
        <v>0</v>
      </c>
      <c r="J78" s="156">
        <f>J$53*LifeCycle!I10</f>
        <v>0</v>
      </c>
      <c r="K78" s="156">
        <f>K$53*LifeCycle!J10</f>
        <v>0</v>
      </c>
    </row>
    <row r="79" spans="2:11" ht="18" customHeight="1" x14ac:dyDescent="0.45">
      <c r="B79" s="129">
        <v>9</v>
      </c>
      <c r="C79" s="150" t="str">
        <f>Constants!R45</f>
        <v>کارشناس مستندساز</v>
      </c>
      <c r="D79" s="156">
        <f>D$53*LifeCycle!C11</f>
        <v>0</v>
      </c>
      <c r="E79" s="156">
        <f>E$53*LifeCycle!D11</f>
        <v>0</v>
      </c>
      <c r="F79" s="156">
        <f>F$53*LifeCycle!E11</f>
        <v>0</v>
      </c>
      <c r="G79" s="156">
        <f>G$53*LifeCycle!F11</f>
        <v>0</v>
      </c>
      <c r="H79" s="156">
        <f>H$53*LifeCycle!G11</f>
        <v>0</v>
      </c>
      <c r="I79" s="156">
        <f>I$53*LifeCycle!H11</f>
        <v>0</v>
      </c>
      <c r="J79" s="156">
        <f>J$53*LifeCycle!I11</f>
        <v>88958521.28279604</v>
      </c>
      <c r="K79" s="156">
        <f>K$53*LifeCycle!J11</f>
        <v>0</v>
      </c>
    </row>
    <row r="80" spans="2:11" ht="18" customHeight="1" x14ac:dyDescent="0.45">
      <c r="B80" s="129">
        <v>10</v>
      </c>
      <c r="C80" s="150" t="str">
        <f>Constants!R46</f>
        <v>نگارگر (گرافیست)</v>
      </c>
      <c r="D80" s="156">
        <f>D$53*LifeCycle!C12</f>
        <v>0</v>
      </c>
      <c r="E80" s="156">
        <f>E$53*LifeCycle!D12</f>
        <v>0</v>
      </c>
      <c r="F80" s="156">
        <f>F$53*LifeCycle!E12</f>
        <v>0</v>
      </c>
      <c r="G80" s="156">
        <f>G$53*LifeCycle!F12</f>
        <v>635418009.16282892</v>
      </c>
      <c r="H80" s="156">
        <f>H$53*LifeCycle!G12</f>
        <v>0</v>
      </c>
      <c r="I80" s="156">
        <f>I$53*LifeCycle!H12</f>
        <v>0</v>
      </c>
      <c r="J80" s="156">
        <f>J$53*LifeCycle!I12</f>
        <v>4236120.0610855259</v>
      </c>
      <c r="K80" s="156">
        <f>K$53*LifeCycle!J12</f>
        <v>0</v>
      </c>
    </row>
    <row r="81" spans="2:11" ht="18" customHeight="1" x14ac:dyDescent="0.45">
      <c r="B81" s="129">
        <v>11</v>
      </c>
      <c r="C81" s="150" t="str">
        <f>Constants!R47</f>
        <v>مدیر کیفیت</v>
      </c>
      <c r="D81" s="156">
        <f>D$53*LifeCycle!C13</f>
        <v>0</v>
      </c>
      <c r="E81" s="156">
        <f>E$53*LifeCycle!D13</f>
        <v>0</v>
      </c>
      <c r="F81" s="156">
        <f>F$53*LifeCycle!E13</f>
        <v>0</v>
      </c>
      <c r="G81" s="156">
        <f>G$53*LifeCycle!F13</f>
        <v>84722401.221710518</v>
      </c>
      <c r="H81" s="156">
        <f>H$53*LifeCycle!G13</f>
        <v>12708360.18325658</v>
      </c>
      <c r="I81" s="156">
        <f>I$53*LifeCycle!H13</f>
        <v>13555584.19547368</v>
      </c>
      <c r="J81" s="156">
        <f>J$53*LifeCycle!I13</f>
        <v>2118060.030542763</v>
      </c>
      <c r="K81" s="156">
        <f>K$53*LifeCycle!J13</f>
        <v>847224.01221710502</v>
      </c>
    </row>
    <row r="82" spans="2:11" ht="18" customHeight="1" x14ac:dyDescent="0.45">
      <c r="B82" s="129">
        <v>12</v>
      </c>
      <c r="C82" s="150" t="str">
        <f>Constants!R48</f>
        <v>کارشناس کیفیت</v>
      </c>
      <c r="D82" s="156">
        <f>D$53*LifeCycle!C14</f>
        <v>0</v>
      </c>
      <c r="E82" s="156">
        <f>E$53*LifeCycle!D14</f>
        <v>0</v>
      </c>
      <c r="F82" s="156">
        <f>F$53*LifeCycle!E14</f>
        <v>0</v>
      </c>
      <c r="G82" s="156">
        <f>G$53*LifeCycle!F14</f>
        <v>0</v>
      </c>
      <c r="H82" s="156">
        <f>H$53*LifeCycle!G14</f>
        <v>0</v>
      </c>
      <c r="I82" s="156">
        <f>I$53*LifeCycle!H14</f>
        <v>33888960.4886842</v>
      </c>
      <c r="J82" s="156">
        <f>J$53*LifeCycle!I14</f>
        <v>6354180.0916282889</v>
      </c>
      <c r="K82" s="156">
        <f>K$53*LifeCycle!J14</f>
        <v>3388896.0488684201</v>
      </c>
    </row>
    <row r="83" spans="2:11" ht="18" customHeight="1" x14ac:dyDescent="0.45">
      <c r="B83" s="129">
        <v>13</v>
      </c>
      <c r="C83" s="150" t="str">
        <f>Constants!R49</f>
        <v>کارشناس پیکربندی</v>
      </c>
      <c r="D83" s="156">
        <f>D$53*LifeCycle!C15</f>
        <v>0</v>
      </c>
      <c r="E83" s="156">
        <f>E$53*LifeCycle!D15</f>
        <v>0</v>
      </c>
      <c r="F83" s="156">
        <f>F$53*LifeCycle!E15</f>
        <v>0</v>
      </c>
      <c r="G83" s="156">
        <f>G$53*LifeCycle!F15</f>
        <v>0</v>
      </c>
      <c r="H83" s="156">
        <f>H$53*LifeCycle!G15</f>
        <v>0</v>
      </c>
      <c r="I83" s="156">
        <f>I$53*LifeCycle!H15</f>
        <v>203333762.93210521</v>
      </c>
      <c r="J83" s="156">
        <f>J$53*LifeCycle!I15</f>
        <v>0</v>
      </c>
      <c r="K83" s="156">
        <f>K$53*LifeCycle!J15</f>
        <v>21180600.305427626</v>
      </c>
    </row>
    <row r="84" spans="2:11" ht="18" customHeight="1" x14ac:dyDescent="0.45">
      <c r="B84" s="129">
        <v>14</v>
      </c>
      <c r="C84" s="150" t="str">
        <f>Constants!R50</f>
        <v>مسئول سایت/کارگاه</v>
      </c>
      <c r="D84" s="156">
        <f>D$53*LifeCycle!C16</f>
        <v>0</v>
      </c>
      <c r="E84" s="156">
        <f>E$53*LifeCycle!D16</f>
        <v>0</v>
      </c>
      <c r="F84" s="156">
        <f>F$53*LifeCycle!E16</f>
        <v>0</v>
      </c>
      <c r="G84" s="156">
        <f>G$53*LifeCycle!F16</f>
        <v>0</v>
      </c>
      <c r="H84" s="156">
        <f>H$53*LifeCycle!G16</f>
        <v>0</v>
      </c>
      <c r="I84" s="156">
        <f>I$53*LifeCycle!H16</f>
        <v>0</v>
      </c>
      <c r="J84" s="156">
        <f>J$53*LifeCycle!I16</f>
        <v>0</v>
      </c>
      <c r="K84" s="156">
        <f>K$53*LifeCycle!J16</f>
        <v>0</v>
      </c>
    </row>
    <row r="85" spans="2:11" ht="18" customHeight="1" x14ac:dyDescent="0.45">
      <c r="B85" s="129">
        <v>15</v>
      </c>
      <c r="C85" s="150" t="str">
        <f>Constants!R51</f>
        <v>مدیر خدمات پس از فروش</v>
      </c>
      <c r="D85" s="156">
        <f>D$53*LifeCycle!C17</f>
        <v>0</v>
      </c>
      <c r="E85" s="156">
        <f>E$53*LifeCycle!D17</f>
        <v>0</v>
      </c>
      <c r="F85" s="156">
        <f>F$53*LifeCycle!E17</f>
        <v>0</v>
      </c>
      <c r="G85" s="156">
        <f>G$53*LifeCycle!F17</f>
        <v>0</v>
      </c>
      <c r="H85" s="156">
        <f>H$53*LifeCycle!G17</f>
        <v>0</v>
      </c>
      <c r="I85" s="156">
        <f>I$53*LifeCycle!H17</f>
        <v>0</v>
      </c>
      <c r="J85" s="156">
        <f>J$53*LifeCycle!I17</f>
        <v>0</v>
      </c>
      <c r="K85" s="156">
        <f>K$53*LifeCycle!J17</f>
        <v>4236120.061085525</v>
      </c>
    </row>
    <row r="86" spans="2:11" ht="18" customHeight="1" x14ac:dyDescent="0.45">
      <c r="B86" s="129">
        <v>16</v>
      </c>
      <c r="C86" s="150" t="str">
        <f>Constants!R52</f>
        <v>تکنسین عملیات</v>
      </c>
      <c r="D86" s="156">
        <f>D$53*LifeCycle!C18</f>
        <v>0</v>
      </c>
      <c r="E86" s="156">
        <f>E$53*LifeCycle!D18</f>
        <v>0</v>
      </c>
      <c r="F86" s="156">
        <f>F$53*LifeCycle!E18</f>
        <v>0</v>
      </c>
      <c r="G86" s="156">
        <f>G$53*LifeCycle!F18</f>
        <v>0</v>
      </c>
      <c r="H86" s="156">
        <f>H$53*LifeCycle!G18</f>
        <v>0</v>
      </c>
      <c r="I86" s="156">
        <f>I$53*LifeCycle!H18</f>
        <v>203333762.93210521</v>
      </c>
      <c r="J86" s="156">
        <f>J$53*LifeCycle!I18</f>
        <v>0</v>
      </c>
      <c r="K86" s="156">
        <f>K$53*LifeCycle!J18</f>
        <v>21180600.305427626</v>
      </c>
    </row>
    <row r="87" spans="2:11" ht="18" customHeight="1" x14ac:dyDescent="0.45">
      <c r="B87" s="129">
        <v>17</v>
      </c>
      <c r="C87" s="150" t="str">
        <f>Constants!R53</f>
        <v>کارشناس آموزش</v>
      </c>
      <c r="D87" s="156">
        <f>D$53*LifeCycle!C19</f>
        <v>0</v>
      </c>
      <c r="E87" s="156">
        <f>E$53*LifeCycle!D19</f>
        <v>0</v>
      </c>
      <c r="F87" s="156">
        <f>F$53*LifeCycle!E19</f>
        <v>0</v>
      </c>
      <c r="G87" s="156">
        <f>G$53*LifeCycle!F19</f>
        <v>0</v>
      </c>
      <c r="H87" s="156">
        <f>H$53*LifeCycle!G19</f>
        <v>0</v>
      </c>
      <c r="I87" s="156">
        <f>I$53*LifeCycle!H19</f>
        <v>0</v>
      </c>
      <c r="J87" s="156">
        <f>J$53*LifeCycle!I19</f>
        <v>4236120.0610855259</v>
      </c>
      <c r="K87" s="156">
        <f>K$53*LifeCycle!J19</f>
        <v>21180600.305427626</v>
      </c>
    </row>
    <row r="88" spans="2:11" ht="18" customHeight="1" x14ac:dyDescent="0.45">
      <c r="B88" s="129">
        <v>18</v>
      </c>
      <c r="C88" s="150" t="str">
        <f>Constants!R54</f>
        <v>مشاور ارشد</v>
      </c>
      <c r="D88" s="156">
        <f>D$53*LifeCycle!C20</f>
        <v>0</v>
      </c>
      <c r="E88" s="156">
        <f>E$53*LifeCycle!D20</f>
        <v>0</v>
      </c>
      <c r="F88" s="156">
        <f>F$53*LifeCycle!E20</f>
        <v>0</v>
      </c>
      <c r="G88" s="156">
        <f>G$53*LifeCycle!F20</f>
        <v>0</v>
      </c>
      <c r="H88" s="156">
        <f>H$53*LifeCycle!G20</f>
        <v>0</v>
      </c>
      <c r="I88" s="156">
        <f>I$53*LifeCycle!H20</f>
        <v>0</v>
      </c>
      <c r="J88" s="156">
        <f>J$53*LifeCycle!I20</f>
        <v>0</v>
      </c>
      <c r="K88" s="156">
        <f>K$53*LifeCycle!J20</f>
        <v>0</v>
      </c>
    </row>
    <row r="89" spans="2:11" ht="18" customHeight="1" x14ac:dyDescent="0.45">
      <c r="B89" s="129">
        <v>19</v>
      </c>
      <c r="C89" s="150" t="str">
        <f>Constants!R55</f>
        <v>مشاور</v>
      </c>
      <c r="D89" s="156">
        <f>D$53*LifeCycle!C21</f>
        <v>4236120.0610855259</v>
      </c>
      <c r="E89" s="156">
        <f>E$53*LifeCycle!D21</f>
        <v>11861136.171039475</v>
      </c>
      <c r="F89" s="156">
        <f>F$53*LifeCycle!E21</f>
        <v>50833440.733026303</v>
      </c>
      <c r="G89" s="156">
        <f>G$53*LifeCycle!F21</f>
        <v>0</v>
      </c>
      <c r="H89" s="156">
        <f>H$53*LifeCycle!G21</f>
        <v>0</v>
      </c>
      <c r="I89" s="156">
        <f>I$53*LifeCycle!H21</f>
        <v>0</v>
      </c>
      <c r="J89" s="156">
        <f>J$53*LifeCycle!I21</f>
        <v>0</v>
      </c>
      <c r="K89" s="156">
        <f>K$53*LifeCycle!J21</f>
        <v>0</v>
      </c>
    </row>
    <row r="90" spans="2:11" ht="18" customHeight="1" x14ac:dyDescent="0.45">
      <c r="B90" s="129">
        <v>20</v>
      </c>
      <c r="C90" s="150" t="str">
        <f>Constants!R56</f>
        <v>کارشناس ارشد شبکه</v>
      </c>
      <c r="D90" s="156">
        <f>D$53*LifeCycle!C22</f>
        <v>0</v>
      </c>
      <c r="E90" s="156">
        <f>E$53*LifeCycle!D22</f>
        <v>0</v>
      </c>
      <c r="F90" s="156">
        <f>F$53*LifeCycle!E22</f>
        <v>0</v>
      </c>
      <c r="G90" s="156">
        <f>G$53*LifeCycle!F22</f>
        <v>0</v>
      </c>
      <c r="H90" s="156">
        <f>H$53*LifeCycle!G22</f>
        <v>0</v>
      </c>
      <c r="I90" s="156">
        <f>I$53*LifeCycle!H22</f>
        <v>33888960.4886842</v>
      </c>
      <c r="J90" s="156">
        <f>J$53*LifeCycle!I22</f>
        <v>0</v>
      </c>
      <c r="K90" s="156">
        <f>K$53*LifeCycle!J22</f>
        <v>0</v>
      </c>
    </row>
    <row r="91" spans="2:11" ht="18" customHeight="1" x14ac:dyDescent="0.45">
      <c r="B91" s="129">
        <v>21</v>
      </c>
      <c r="C91" s="150" t="str">
        <f>Constants!R57</f>
        <v>کارشناس درجه 1 شبکه</v>
      </c>
      <c r="D91" s="156">
        <f>D$53*LifeCycle!C23</f>
        <v>0</v>
      </c>
      <c r="E91" s="156">
        <f>E$53*LifeCycle!D23</f>
        <v>0</v>
      </c>
      <c r="F91" s="156">
        <f>F$53*LifeCycle!E23</f>
        <v>0</v>
      </c>
      <c r="G91" s="156">
        <f>G$53*LifeCycle!F23</f>
        <v>0</v>
      </c>
      <c r="H91" s="156">
        <f>H$53*LifeCycle!G23</f>
        <v>0</v>
      </c>
      <c r="I91" s="156">
        <f>I$53*LifeCycle!H23</f>
        <v>0</v>
      </c>
      <c r="J91" s="156">
        <f>J$53*LifeCycle!I23</f>
        <v>0</v>
      </c>
      <c r="K91" s="156">
        <f>K$53*LifeCycle!J23</f>
        <v>0</v>
      </c>
    </row>
    <row r="92" spans="2:11" ht="18" customHeight="1" x14ac:dyDescent="0.45">
      <c r="B92" s="129">
        <v>22</v>
      </c>
      <c r="C92" s="150" t="str">
        <f>Constants!R58</f>
        <v>تکنسین شبکه</v>
      </c>
      <c r="D92" s="156">
        <f>D$53*LifeCycle!C24</f>
        <v>0</v>
      </c>
      <c r="E92" s="156">
        <f>E$53*LifeCycle!D24</f>
        <v>0</v>
      </c>
      <c r="F92" s="156">
        <f>F$53*LifeCycle!E24</f>
        <v>0</v>
      </c>
      <c r="G92" s="156">
        <f>G$53*LifeCycle!F24</f>
        <v>0</v>
      </c>
      <c r="H92" s="156">
        <f>H$53*LifeCycle!G24</f>
        <v>0</v>
      </c>
      <c r="I92" s="156">
        <f>I$53*LifeCycle!H24</f>
        <v>0</v>
      </c>
      <c r="J92" s="156">
        <f>J$53*LifeCycle!I24</f>
        <v>0</v>
      </c>
      <c r="K92" s="156">
        <f>K$53*LifeCycle!J24</f>
        <v>0</v>
      </c>
    </row>
    <row r="93" spans="2:11" ht="18" customHeight="1" x14ac:dyDescent="0.45">
      <c r="B93" s="129">
        <v>23</v>
      </c>
      <c r="C93" s="150" t="str">
        <f>Constants!R59</f>
        <v>کارشناس امنیت</v>
      </c>
      <c r="D93" s="156">
        <f>D$53*LifeCycle!C25</f>
        <v>2118060.030542763</v>
      </c>
      <c r="E93" s="156">
        <f>E$53*LifeCycle!D25</f>
        <v>11861136.171039475</v>
      </c>
      <c r="F93" s="156">
        <f>F$53*LifeCycle!E25</f>
        <v>38125080.549769729</v>
      </c>
      <c r="G93" s="156">
        <f>G$53*LifeCycle!F25</f>
        <v>127083601.83256577</v>
      </c>
      <c r="H93" s="156">
        <f>H$53*LifeCycle!G25</f>
        <v>19062540.274884868</v>
      </c>
      <c r="I93" s="156">
        <f>I$53*LifeCycle!H25</f>
        <v>13555584.19547368</v>
      </c>
      <c r="J93" s="156">
        <f>J$53*LifeCycle!I25</f>
        <v>4236120.0610855259</v>
      </c>
      <c r="K93" s="156">
        <f>K$53*LifeCycle!J25</f>
        <v>847224.01221710502</v>
      </c>
    </row>
    <row r="94" spans="2:11" ht="18" customHeight="1" x14ac:dyDescent="0.45">
      <c r="B94" s="129">
        <v>24</v>
      </c>
      <c r="C94" s="150" t="str">
        <f>Constants!R60</f>
        <v>کارشناس کنترل پروژه</v>
      </c>
      <c r="D94" s="156">
        <f>D$53*LifeCycle!C26</f>
        <v>4236120.0610855259</v>
      </c>
      <c r="E94" s="156">
        <f>E$53*LifeCycle!D26</f>
        <v>11861136.171039475</v>
      </c>
      <c r="F94" s="156">
        <f>F$53*LifeCycle!E26</f>
        <v>25416720.366513152</v>
      </c>
      <c r="G94" s="156">
        <f>G$53*LifeCycle!F26</f>
        <v>84722401.221710518</v>
      </c>
      <c r="H94" s="156">
        <f>H$53*LifeCycle!G26</f>
        <v>12708360.18325658</v>
      </c>
      <c r="I94" s="156">
        <f>I$53*LifeCycle!H26</f>
        <v>13555584.19547368</v>
      </c>
      <c r="J94" s="156">
        <f>J$53*LifeCycle!I26</f>
        <v>4236120.0610855259</v>
      </c>
      <c r="K94" s="156">
        <f>K$53*LifeCycle!J26</f>
        <v>1694448.02443421</v>
      </c>
    </row>
    <row r="95" spans="2:11" ht="18" customHeight="1" x14ac:dyDescent="0.45">
      <c r="B95" s="129">
        <v>25</v>
      </c>
      <c r="C95" s="150" t="str">
        <f>Constants!R61</f>
        <v>کارشناس پایگاه داده ارشد</v>
      </c>
      <c r="D95" s="156">
        <f>D$53*LifeCycle!C27</f>
        <v>0</v>
      </c>
      <c r="E95" s="156">
        <f>E$53*LifeCycle!D27</f>
        <v>5930568.0855197376</v>
      </c>
      <c r="F95" s="156">
        <f>F$53*LifeCycle!E27</f>
        <v>25416720.366513152</v>
      </c>
      <c r="G95" s="156">
        <f>G$53*LifeCycle!F27</f>
        <v>84722401.221710518</v>
      </c>
      <c r="H95" s="156">
        <f>H$53*LifeCycle!G27</f>
        <v>6354180.0916282898</v>
      </c>
      <c r="I95" s="156">
        <f>I$53*LifeCycle!H27</f>
        <v>0</v>
      </c>
      <c r="J95" s="156">
        <f>J$53*LifeCycle!I27</f>
        <v>0</v>
      </c>
      <c r="K95" s="156">
        <f>K$53*LifeCycle!J27</f>
        <v>0</v>
      </c>
    </row>
    <row r="96" spans="2:11" ht="18" customHeight="1" x14ac:dyDescent="0.45">
      <c r="B96" s="129">
        <v>26</v>
      </c>
      <c r="C96" s="150" t="str">
        <f>Constants!R62</f>
        <v>کارشناس پایگاه داده درجه 1</v>
      </c>
      <c r="D96" s="156">
        <f>D$53*LifeCycle!C28</f>
        <v>0</v>
      </c>
      <c r="E96" s="156">
        <f>E$53*LifeCycle!D28</f>
        <v>11861136.171039475</v>
      </c>
      <c r="F96" s="156">
        <f>F$53*LifeCycle!E28</f>
        <v>25416720.366513152</v>
      </c>
      <c r="G96" s="156">
        <f>G$53*LifeCycle!F28</f>
        <v>127083601.83256577</v>
      </c>
      <c r="H96" s="156">
        <f>H$53*LifeCycle!G28</f>
        <v>6354180.0916282898</v>
      </c>
      <c r="I96" s="156">
        <f>I$53*LifeCycle!H28</f>
        <v>0</v>
      </c>
      <c r="J96" s="156">
        <f>J$53*LifeCycle!I28</f>
        <v>0</v>
      </c>
      <c r="K96" s="156">
        <f>K$53*LifeCycle!J28</f>
        <v>0</v>
      </c>
    </row>
    <row r="97" spans="2:11" ht="18" customHeight="1" x14ac:dyDescent="0.45">
      <c r="B97" s="129">
        <v>27</v>
      </c>
      <c r="C97" s="150" t="str">
        <f>Constants!R63</f>
        <v xml:space="preserve">مهندس ارشد سیستم </v>
      </c>
      <c r="D97" s="156">
        <f>D$53*LifeCycle!C29</f>
        <v>0</v>
      </c>
      <c r="E97" s="156">
        <f>E$53*LifeCycle!D29</f>
        <v>11861136.171039475</v>
      </c>
      <c r="F97" s="156">
        <f>F$53*LifeCycle!E29</f>
        <v>25416720.366513152</v>
      </c>
      <c r="G97" s="156">
        <f>G$53*LifeCycle!F29</f>
        <v>169444802.44342104</v>
      </c>
      <c r="H97" s="156">
        <f>H$53*LifeCycle!G29</f>
        <v>6354180.0916282898</v>
      </c>
      <c r="I97" s="156">
        <f>I$53*LifeCycle!H29</f>
        <v>0</v>
      </c>
      <c r="J97" s="156">
        <f>J$53*LifeCycle!I29</f>
        <v>0</v>
      </c>
      <c r="K97" s="156">
        <f>K$53*LifeCycle!J29</f>
        <v>0</v>
      </c>
    </row>
    <row r="98" spans="2:11" ht="18" customHeight="1" x14ac:dyDescent="0.45">
      <c r="B98" s="129">
        <v>28</v>
      </c>
      <c r="C98" s="150" t="str">
        <f>Constants!R64</f>
        <v>مهندس سیستم درجه 1</v>
      </c>
      <c r="D98" s="156">
        <f>D$53*LifeCycle!C30</f>
        <v>0</v>
      </c>
      <c r="E98" s="156">
        <f>E$53*LifeCycle!D30</f>
        <v>0</v>
      </c>
      <c r="F98" s="156">
        <f>F$53*LifeCycle!E30</f>
        <v>25416720.366513152</v>
      </c>
      <c r="G98" s="156">
        <f>G$53*LifeCycle!F30</f>
        <v>211806003.05427632</v>
      </c>
      <c r="H98" s="156">
        <f>H$53*LifeCycle!G30</f>
        <v>12708360.18325658</v>
      </c>
      <c r="I98" s="156">
        <f>I$53*LifeCycle!H30</f>
        <v>13555584.19547368</v>
      </c>
      <c r="J98" s="156">
        <f>J$53*LifeCycle!I30</f>
        <v>0</v>
      </c>
      <c r="K98" s="156">
        <f>K$53*LifeCycle!J30</f>
        <v>0</v>
      </c>
    </row>
    <row r="99" spans="2:11" ht="23.25" customHeight="1" x14ac:dyDescent="0.45">
      <c r="D99" s="157">
        <f t="shared" ref="D99:K99" si="10">SUM(D71:D98)</f>
        <v>211806003.05427626</v>
      </c>
      <c r="E99" s="157">
        <f t="shared" si="10"/>
        <v>593056808.5519737</v>
      </c>
      <c r="F99" s="157">
        <f t="shared" si="10"/>
        <v>1270836018.3256581</v>
      </c>
      <c r="G99" s="157">
        <f t="shared" si="10"/>
        <v>4236120061.0855269</v>
      </c>
      <c r="H99" s="157">
        <f t="shared" si="10"/>
        <v>635418009.16282904</v>
      </c>
      <c r="I99" s="157">
        <f t="shared" si="10"/>
        <v>677779209.77368402</v>
      </c>
      <c r="J99" s="157">
        <f t="shared" si="10"/>
        <v>211806003.05427629</v>
      </c>
      <c r="K99" s="157">
        <f t="shared" si="10"/>
        <v>84722401.221710503</v>
      </c>
    </row>
    <row r="102" spans="2:11" ht="18" customHeight="1" x14ac:dyDescent="0.45">
      <c r="C102" s="110"/>
      <c r="D102" s="155"/>
      <c r="E102" s="155"/>
      <c r="F102" s="155"/>
    </row>
    <row r="103" spans="2:11" ht="18" customHeight="1" x14ac:dyDescent="0.45">
      <c r="B103" s="129">
        <v>1</v>
      </c>
      <c r="C103" s="150" t="str">
        <f>Constants!R37</f>
        <v>مدیر پروژه</v>
      </c>
      <c r="D103" s="156">
        <f>D$63*LifeCycle!C3</f>
        <v>10590300.152713815</v>
      </c>
      <c r="E103" s="156">
        <f>E$63*LifeCycle!D3</f>
        <v>29652840.427598685</v>
      </c>
      <c r="F103" s="156">
        <f>F$63*LifeCycle!E3</f>
        <v>63541800.916282885</v>
      </c>
      <c r="G103" s="156">
        <f>G$63*LifeCycle!F3</f>
        <v>211806003.05427632</v>
      </c>
      <c r="H103" s="156">
        <f>H$63*LifeCycle!G3</f>
        <v>31770900.458141446</v>
      </c>
      <c r="I103" s="156">
        <f>I$63*LifeCycle!H3</f>
        <v>33888960.4886842</v>
      </c>
      <c r="J103" s="156">
        <f>J$63*LifeCycle!I3</f>
        <v>10590300.152713815</v>
      </c>
      <c r="K103" s="156">
        <f>K$63*LifeCycle!J3</f>
        <v>4236120.061085525</v>
      </c>
    </row>
    <row r="104" spans="2:11" ht="18" customHeight="1" x14ac:dyDescent="0.45">
      <c r="B104" s="129">
        <v>2</v>
      </c>
      <c r="C104" s="150" t="str">
        <f>Constants!R38</f>
        <v xml:space="preserve">تحلیلگر </v>
      </c>
      <c r="D104" s="156">
        <f>D$63*LifeCycle!C4</f>
        <v>148264202.1379934</v>
      </c>
      <c r="E104" s="156">
        <f>E$63*LifeCycle!D4</f>
        <v>83027953.197276324</v>
      </c>
      <c r="F104" s="156">
        <f>F$63*LifeCycle!E4</f>
        <v>0</v>
      </c>
      <c r="G104" s="156">
        <f>G$63*LifeCycle!F4</f>
        <v>0</v>
      </c>
      <c r="H104" s="156">
        <f>H$63*LifeCycle!G4</f>
        <v>95312701.374424338</v>
      </c>
      <c r="I104" s="156">
        <f>I$63*LifeCycle!H4</f>
        <v>0</v>
      </c>
      <c r="J104" s="156">
        <f>J$63*LifeCycle!I4</f>
        <v>25416720.366513155</v>
      </c>
      <c r="K104" s="156">
        <f>K$63*LifeCycle!J4</f>
        <v>5930568.0855197357</v>
      </c>
    </row>
    <row r="105" spans="2:11" ht="18" customHeight="1" x14ac:dyDescent="0.45">
      <c r="B105" s="129">
        <v>3</v>
      </c>
      <c r="C105" s="150" t="str">
        <f>Constants!R39</f>
        <v xml:space="preserve">طراح </v>
      </c>
      <c r="D105" s="156">
        <f>D$63*LifeCycle!C5</f>
        <v>42361200.610855259</v>
      </c>
      <c r="E105" s="156">
        <f>E$63*LifeCycle!D5</f>
        <v>415139765.98638159</v>
      </c>
      <c r="F105" s="156">
        <f>F$63*LifeCycle!E5</f>
        <v>889585212.82796025</v>
      </c>
      <c r="G105" s="156">
        <f>G$63*LifeCycle!F5</f>
        <v>84722401.221710518</v>
      </c>
      <c r="H105" s="156">
        <f>H$63*LifeCycle!G5</f>
        <v>63541800.916282892</v>
      </c>
      <c r="I105" s="156">
        <f>I$63*LifeCycle!H5</f>
        <v>0</v>
      </c>
      <c r="J105" s="156">
        <f>J$63*LifeCycle!I5</f>
        <v>21180600.30542763</v>
      </c>
      <c r="K105" s="156">
        <f>K$63*LifeCycle!J5</f>
        <v>0</v>
      </c>
    </row>
    <row r="106" spans="2:11" ht="18" customHeight="1" x14ac:dyDescent="0.45">
      <c r="B106" s="129">
        <v>4</v>
      </c>
      <c r="C106" s="150" t="str">
        <f>Constants!R40</f>
        <v>برنامه نویس ارشد</v>
      </c>
      <c r="D106" s="156">
        <f>D$63*LifeCycle!C6</f>
        <v>0</v>
      </c>
      <c r="E106" s="156">
        <f>E$63*LifeCycle!D6</f>
        <v>0</v>
      </c>
      <c r="F106" s="156">
        <f>F$63*LifeCycle!E6</f>
        <v>38125080.549769729</v>
      </c>
      <c r="G106" s="156">
        <f>G$63*LifeCycle!F6</f>
        <v>736321260.1500001</v>
      </c>
      <c r="H106" s="156">
        <f>H$63*LifeCycle!G6</f>
        <v>25416720.366513159</v>
      </c>
      <c r="I106" s="156">
        <f>I$63*LifeCycle!H6</f>
        <v>47444544.684157886</v>
      </c>
      <c r="J106" s="156">
        <f>J$63*LifeCycle!I6</f>
        <v>12708360.183256578</v>
      </c>
      <c r="K106" s="156">
        <f>K$63*LifeCycle!J6</f>
        <v>0</v>
      </c>
    </row>
    <row r="107" spans="2:11" ht="18" customHeight="1" x14ac:dyDescent="0.45">
      <c r="B107" s="129">
        <v>5</v>
      </c>
      <c r="C107" s="150" t="str">
        <f>Constants!R41</f>
        <v>برنامه نویس درجه 1</v>
      </c>
      <c r="D107" s="156">
        <f>D$63*LifeCycle!C7</f>
        <v>0</v>
      </c>
      <c r="E107" s="156">
        <f>E$63*LifeCycle!D7</f>
        <v>0</v>
      </c>
      <c r="F107" s="156">
        <f>F$63*LifeCycle!E7</f>
        <v>38125080.549769729</v>
      </c>
      <c r="G107" s="156">
        <f>G$63*LifeCycle!F7</f>
        <v>1421869593.6000001</v>
      </c>
      <c r="H107" s="156">
        <f>H$63*LifeCycle!G7</f>
        <v>63541800.916282892</v>
      </c>
      <c r="I107" s="156">
        <f>I$63*LifeCycle!H7</f>
        <v>67777920.9773684</v>
      </c>
      <c r="J107" s="156">
        <f>J$63*LifeCycle!I7</f>
        <v>16944480.244342104</v>
      </c>
      <c r="K107" s="156">
        <f>K$63*LifeCycle!J7</f>
        <v>0</v>
      </c>
    </row>
    <row r="108" spans="2:11" ht="18" customHeight="1" x14ac:dyDescent="0.45">
      <c r="B108" s="129">
        <v>6</v>
      </c>
      <c r="C108" s="150" t="str">
        <f>Constants!R42</f>
        <v>برنامه نویس درجه 2</v>
      </c>
      <c r="D108" s="156">
        <f>D$63*LifeCycle!C8</f>
        <v>0</v>
      </c>
      <c r="E108" s="156">
        <f>E$63*LifeCycle!D8</f>
        <v>0</v>
      </c>
      <c r="F108" s="156">
        <f>F$63*LifeCycle!E8</f>
        <v>0</v>
      </c>
      <c r="G108" s="156">
        <f>G$63*LifeCycle!F8</f>
        <v>256397581.06874999</v>
      </c>
      <c r="H108" s="156">
        <f>H$63*LifeCycle!G8</f>
        <v>19062540.274884868</v>
      </c>
      <c r="I108" s="156">
        <f>I$63*LifeCycle!H8</f>
        <v>0</v>
      </c>
      <c r="J108" s="156">
        <f>J$63*LifeCycle!I8</f>
        <v>10590300.152713815</v>
      </c>
      <c r="K108" s="156">
        <f>K$63*LifeCycle!J8</f>
        <v>0</v>
      </c>
    </row>
    <row r="109" spans="2:11" ht="18" customHeight="1" x14ac:dyDescent="0.45">
      <c r="B109" s="129">
        <v>7</v>
      </c>
      <c r="C109" s="150" t="str">
        <f>Constants!R43</f>
        <v>طراح آزمایش</v>
      </c>
      <c r="D109" s="156">
        <f>D$63*LifeCycle!C9</f>
        <v>0</v>
      </c>
      <c r="E109" s="156">
        <f>E$63*LifeCycle!D9</f>
        <v>0</v>
      </c>
      <c r="F109" s="156">
        <f>F$63*LifeCycle!E9</f>
        <v>0</v>
      </c>
      <c r="G109" s="156">
        <f>G$63*LifeCycle!F9</f>
        <v>0</v>
      </c>
      <c r="H109" s="156">
        <f>H$63*LifeCycle!G9</f>
        <v>95312701.374424338</v>
      </c>
      <c r="I109" s="156">
        <f>I$63*LifeCycle!H9</f>
        <v>0</v>
      </c>
      <c r="J109" s="156">
        <f>J$63*LifeCycle!I9</f>
        <v>0</v>
      </c>
      <c r="K109" s="156">
        <f>K$63*LifeCycle!J9</f>
        <v>0</v>
      </c>
    </row>
    <row r="110" spans="2:11" ht="18" customHeight="1" x14ac:dyDescent="0.45">
      <c r="B110" s="129">
        <v>8</v>
      </c>
      <c r="C110" s="150" t="str">
        <f>Constants!R44</f>
        <v>آزمونگر</v>
      </c>
      <c r="D110" s="156">
        <f>D$63*LifeCycle!C10</f>
        <v>0</v>
      </c>
      <c r="E110" s="156">
        <f>E$63*LifeCycle!D10</f>
        <v>0</v>
      </c>
      <c r="F110" s="156">
        <f>F$63*LifeCycle!E10</f>
        <v>25416720.366513152</v>
      </c>
      <c r="G110" s="156">
        <f>G$63*LifeCycle!F10</f>
        <v>0</v>
      </c>
      <c r="H110" s="156">
        <f>H$63*LifeCycle!G10</f>
        <v>165208682.38233551</v>
      </c>
      <c r="I110" s="156">
        <f>I$63*LifeCycle!H10</f>
        <v>0</v>
      </c>
      <c r="J110" s="156">
        <f>J$63*LifeCycle!I10</f>
        <v>0</v>
      </c>
      <c r="K110" s="156">
        <f>K$63*LifeCycle!J10</f>
        <v>0</v>
      </c>
    </row>
    <row r="111" spans="2:11" ht="18" customHeight="1" x14ac:dyDescent="0.45">
      <c r="B111" s="129">
        <v>9</v>
      </c>
      <c r="C111" s="150" t="str">
        <f>Constants!R45</f>
        <v>کارشناس مستندساز</v>
      </c>
      <c r="D111" s="156">
        <f>D$63*LifeCycle!C11</f>
        <v>0</v>
      </c>
      <c r="E111" s="156">
        <f>E$63*LifeCycle!D11</f>
        <v>0</v>
      </c>
      <c r="F111" s="156">
        <f>F$63*LifeCycle!E11</f>
        <v>0</v>
      </c>
      <c r="G111" s="156">
        <f>G$63*LifeCycle!F11</f>
        <v>0</v>
      </c>
      <c r="H111" s="156">
        <f>H$63*LifeCycle!G11</f>
        <v>0</v>
      </c>
      <c r="I111" s="156">
        <f>I$63*LifeCycle!H11</f>
        <v>0</v>
      </c>
      <c r="J111" s="156">
        <f>J$63*LifeCycle!I11</f>
        <v>88958521.28279604</v>
      </c>
      <c r="K111" s="156">
        <f>K$63*LifeCycle!J11</f>
        <v>0</v>
      </c>
    </row>
    <row r="112" spans="2:11" ht="18" customHeight="1" x14ac:dyDescent="0.45">
      <c r="B112" s="129">
        <v>10</v>
      </c>
      <c r="C112" s="150" t="str">
        <f>Constants!R46</f>
        <v>نگارگر (گرافیست)</v>
      </c>
      <c r="D112" s="156">
        <f>D$63*LifeCycle!C12</f>
        <v>0</v>
      </c>
      <c r="E112" s="156">
        <f>E$63*LifeCycle!D12</f>
        <v>0</v>
      </c>
      <c r="F112" s="156">
        <f>F$63*LifeCycle!E12</f>
        <v>0</v>
      </c>
      <c r="G112" s="156">
        <f>G$63*LifeCycle!F12</f>
        <v>635418009.16282892</v>
      </c>
      <c r="H112" s="156">
        <f>H$63*LifeCycle!G12</f>
        <v>0</v>
      </c>
      <c r="I112" s="156">
        <f>I$63*LifeCycle!H12</f>
        <v>0</v>
      </c>
      <c r="J112" s="156">
        <f>J$63*LifeCycle!I12</f>
        <v>4236120.0610855259</v>
      </c>
      <c r="K112" s="156">
        <f>K$63*LifeCycle!J12</f>
        <v>0</v>
      </c>
    </row>
    <row r="113" spans="2:11" ht="18" customHeight="1" x14ac:dyDescent="0.45">
      <c r="B113" s="129">
        <v>11</v>
      </c>
      <c r="C113" s="150" t="str">
        <f>Constants!R47</f>
        <v>مدیر کیفیت</v>
      </c>
      <c r="D113" s="156">
        <f>D$63*LifeCycle!C13</f>
        <v>0</v>
      </c>
      <c r="E113" s="156">
        <f>E$63*LifeCycle!D13</f>
        <v>0</v>
      </c>
      <c r="F113" s="156">
        <f>F$63*LifeCycle!E13</f>
        <v>0</v>
      </c>
      <c r="G113" s="156">
        <f>G$63*LifeCycle!F13</f>
        <v>84722401.221710518</v>
      </c>
      <c r="H113" s="156">
        <f>H$63*LifeCycle!G13</f>
        <v>12708360.18325658</v>
      </c>
      <c r="I113" s="156">
        <f>I$63*LifeCycle!H13</f>
        <v>13555584.19547368</v>
      </c>
      <c r="J113" s="156">
        <f>J$63*LifeCycle!I13</f>
        <v>2118060.030542763</v>
      </c>
      <c r="K113" s="156">
        <f>K$63*LifeCycle!J13</f>
        <v>847224.01221710502</v>
      </c>
    </row>
    <row r="114" spans="2:11" ht="18" customHeight="1" x14ac:dyDescent="0.45">
      <c r="B114" s="129">
        <v>12</v>
      </c>
      <c r="C114" s="150" t="str">
        <f>Constants!R48</f>
        <v>کارشناس کیفیت</v>
      </c>
      <c r="D114" s="156">
        <f>D$63*LifeCycle!C14</f>
        <v>0</v>
      </c>
      <c r="E114" s="156">
        <f>E$63*LifeCycle!D14</f>
        <v>0</v>
      </c>
      <c r="F114" s="156">
        <f>F$63*LifeCycle!E14</f>
        <v>0</v>
      </c>
      <c r="G114" s="156">
        <f>G$63*LifeCycle!F14</f>
        <v>0</v>
      </c>
      <c r="H114" s="156">
        <f>H$63*LifeCycle!G14</f>
        <v>0</v>
      </c>
      <c r="I114" s="156">
        <f>I$63*LifeCycle!H14</f>
        <v>33888960.4886842</v>
      </c>
      <c r="J114" s="156">
        <f>J$63*LifeCycle!I14</f>
        <v>6354180.0916282889</v>
      </c>
      <c r="K114" s="156">
        <f>K$63*LifeCycle!J14</f>
        <v>3388896.0488684201</v>
      </c>
    </row>
    <row r="115" spans="2:11" ht="18" customHeight="1" x14ac:dyDescent="0.45">
      <c r="B115" s="129">
        <v>13</v>
      </c>
      <c r="C115" s="150" t="str">
        <f>Constants!R49</f>
        <v>کارشناس پیکربندی</v>
      </c>
      <c r="D115" s="156">
        <f>D$63*LifeCycle!C15</f>
        <v>0</v>
      </c>
      <c r="E115" s="156">
        <f>E$63*LifeCycle!D15</f>
        <v>0</v>
      </c>
      <c r="F115" s="156">
        <f>F$63*LifeCycle!E15</f>
        <v>0</v>
      </c>
      <c r="G115" s="156">
        <f>G$63*LifeCycle!F15</f>
        <v>0</v>
      </c>
      <c r="H115" s="156">
        <f>H$63*LifeCycle!G15</f>
        <v>0</v>
      </c>
      <c r="I115" s="156">
        <f>I$63*LifeCycle!H15</f>
        <v>203333762.93210521</v>
      </c>
      <c r="J115" s="156">
        <f>J$63*LifeCycle!I15</f>
        <v>0</v>
      </c>
      <c r="K115" s="156">
        <f>K$63*LifeCycle!J15</f>
        <v>21180600.305427626</v>
      </c>
    </row>
    <row r="116" spans="2:11" ht="18" customHeight="1" x14ac:dyDescent="0.45">
      <c r="B116" s="129">
        <v>14</v>
      </c>
      <c r="C116" s="150" t="str">
        <f>Constants!R50</f>
        <v>مسئول سایت/کارگاه</v>
      </c>
      <c r="D116" s="156">
        <f>D$63*LifeCycle!C16</f>
        <v>0</v>
      </c>
      <c r="E116" s="156">
        <f>E$63*LifeCycle!D16</f>
        <v>0</v>
      </c>
      <c r="F116" s="156">
        <f>F$63*LifeCycle!E16</f>
        <v>0</v>
      </c>
      <c r="G116" s="156">
        <f>G$63*LifeCycle!F16</f>
        <v>0</v>
      </c>
      <c r="H116" s="156">
        <f>H$63*LifeCycle!G16</f>
        <v>0</v>
      </c>
      <c r="I116" s="156">
        <f>I$63*LifeCycle!H16</f>
        <v>0</v>
      </c>
      <c r="J116" s="156">
        <f>J$63*LifeCycle!I16</f>
        <v>0</v>
      </c>
      <c r="K116" s="156">
        <f>K$63*LifeCycle!J16</f>
        <v>0</v>
      </c>
    </row>
    <row r="117" spans="2:11" ht="18" customHeight="1" x14ac:dyDescent="0.45">
      <c r="B117" s="129">
        <v>15</v>
      </c>
      <c r="C117" s="150" t="str">
        <f>Constants!R51</f>
        <v>مدیر خدمات پس از فروش</v>
      </c>
      <c r="D117" s="156">
        <f>D$63*LifeCycle!C17</f>
        <v>0</v>
      </c>
      <c r="E117" s="156">
        <f>E$63*LifeCycle!D17</f>
        <v>0</v>
      </c>
      <c r="F117" s="156">
        <f>F$63*LifeCycle!E17</f>
        <v>0</v>
      </c>
      <c r="G117" s="156">
        <f>G$63*LifeCycle!F17</f>
        <v>0</v>
      </c>
      <c r="H117" s="156">
        <f>H$63*LifeCycle!G17</f>
        <v>0</v>
      </c>
      <c r="I117" s="156">
        <f>I$63*LifeCycle!H17</f>
        <v>0</v>
      </c>
      <c r="J117" s="156">
        <f>J$63*LifeCycle!I17</f>
        <v>0</v>
      </c>
      <c r="K117" s="156">
        <f>K$63*LifeCycle!J17</f>
        <v>4236120.061085525</v>
      </c>
    </row>
    <row r="118" spans="2:11" ht="18" customHeight="1" x14ac:dyDescent="0.45">
      <c r="B118" s="129">
        <v>16</v>
      </c>
      <c r="C118" s="150" t="str">
        <f>Constants!R52</f>
        <v>تکنسین عملیات</v>
      </c>
      <c r="D118" s="156">
        <f>D$63*LifeCycle!C18</f>
        <v>0</v>
      </c>
      <c r="E118" s="156">
        <f>E$63*LifeCycle!D18</f>
        <v>0</v>
      </c>
      <c r="F118" s="156">
        <f>F$63*LifeCycle!E18</f>
        <v>0</v>
      </c>
      <c r="G118" s="156">
        <f>G$63*LifeCycle!F18</f>
        <v>0</v>
      </c>
      <c r="H118" s="156">
        <f>H$63*LifeCycle!G18</f>
        <v>0</v>
      </c>
      <c r="I118" s="156">
        <f>I$63*LifeCycle!H18</f>
        <v>203333762.93210521</v>
      </c>
      <c r="J118" s="156">
        <f>J$63*LifeCycle!I18</f>
        <v>0</v>
      </c>
      <c r="K118" s="156">
        <f>K$63*LifeCycle!J18</f>
        <v>21180600.305427626</v>
      </c>
    </row>
    <row r="119" spans="2:11" ht="18" customHeight="1" x14ac:dyDescent="0.45">
      <c r="B119" s="129">
        <v>17</v>
      </c>
      <c r="C119" s="150" t="str">
        <f>Constants!R53</f>
        <v>کارشناس آموزش</v>
      </c>
      <c r="D119" s="156">
        <f>D$63*LifeCycle!C19</f>
        <v>0</v>
      </c>
      <c r="E119" s="156">
        <f>E$63*LifeCycle!D19</f>
        <v>0</v>
      </c>
      <c r="F119" s="156">
        <f>F$63*LifeCycle!E19</f>
        <v>0</v>
      </c>
      <c r="G119" s="156">
        <f>G$63*LifeCycle!F19</f>
        <v>0</v>
      </c>
      <c r="H119" s="156">
        <f>H$63*LifeCycle!G19</f>
        <v>0</v>
      </c>
      <c r="I119" s="156">
        <f>I$63*LifeCycle!H19</f>
        <v>0</v>
      </c>
      <c r="J119" s="156">
        <f>J$63*LifeCycle!I19</f>
        <v>4236120.0610855259</v>
      </c>
      <c r="K119" s="156">
        <f>K$63*LifeCycle!J19</f>
        <v>21180600.305427626</v>
      </c>
    </row>
    <row r="120" spans="2:11" ht="18" customHeight="1" x14ac:dyDescent="0.45">
      <c r="B120" s="129">
        <v>18</v>
      </c>
      <c r="C120" s="150" t="str">
        <f>Constants!R54</f>
        <v>مشاور ارشد</v>
      </c>
      <c r="D120" s="156">
        <f>D$63*LifeCycle!C20</f>
        <v>0</v>
      </c>
      <c r="E120" s="156">
        <f>E$63*LifeCycle!D20</f>
        <v>0</v>
      </c>
      <c r="F120" s="156">
        <f>F$63*LifeCycle!E20</f>
        <v>0</v>
      </c>
      <c r="G120" s="156">
        <f>G$63*LifeCycle!F20</f>
        <v>0</v>
      </c>
      <c r="H120" s="156">
        <f>H$63*LifeCycle!G20</f>
        <v>0</v>
      </c>
      <c r="I120" s="156">
        <f>I$63*LifeCycle!H20</f>
        <v>0</v>
      </c>
      <c r="J120" s="156">
        <f>J$63*LifeCycle!I20</f>
        <v>0</v>
      </c>
      <c r="K120" s="156">
        <f>K$63*LifeCycle!J20</f>
        <v>0</v>
      </c>
    </row>
    <row r="121" spans="2:11" ht="18" customHeight="1" x14ac:dyDescent="0.45">
      <c r="B121" s="129">
        <v>19</v>
      </c>
      <c r="C121" s="150" t="str">
        <f>Constants!R55</f>
        <v>مشاور</v>
      </c>
      <c r="D121" s="156">
        <f>D$63*LifeCycle!C21</f>
        <v>4236120.0610855259</v>
      </c>
      <c r="E121" s="156">
        <f>E$63*LifeCycle!D21</f>
        <v>11861136.171039475</v>
      </c>
      <c r="F121" s="156">
        <f>F$63*LifeCycle!E21</f>
        <v>50833440.733026303</v>
      </c>
      <c r="G121" s="156">
        <f>G$63*LifeCycle!F21</f>
        <v>0</v>
      </c>
      <c r="H121" s="156">
        <f>H$63*LifeCycle!G21</f>
        <v>0</v>
      </c>
      <c r="I121" s="156">
        <f>I$63*LifeCycle!H21</f>
        <v>0</v>
      </c>
      <c r="J121" s="156">
        <f>J$63*LifeCycle!I21</f>
        <v>0</v>
      </c>
      <c r="K121" s="156">
        <f>K$63*LifeCycle!J21</f>
        <v>0</v>
      </c>
    </row>
    <row r="122" spans="2:11" ht="18" customHeight="1" x14ac:dyDescent="0.45">
      <c r="B122" s="129">
        <v>20</v>
      </c>
      <c r="C122" s="150" t="str">
        <f>Constants!R56</f>
        <v>کارشناس ارشد شبکه</v>
      </c>
      <c r="D122" s="156">
        <f>D$63*LifeCycle!C22</f>
        <v>0</v>
      </c>
      <c r="E122" s="156">
        <f>E$63*LifeCycle!D22</f>
        <v>0</v>
      </c>
      <c r="F122" s="156">
        <f>F$63*LifeCycle!E22</f>
        <v>0</v>
      </c>
      <c r="G122" s="156">
        <f>G$63*LifeCycle!F22</f>
        <v>0</v>
      </c>
      <c r="H122" s="156">
        <f>H$63*LifeCycle!G22</f>
        <v>0</v>
      </c>
      <c r="I122" s="156">
        <f>I$63*LifeCycle!H22</f>
        <v>33888960.4886842</v>
      </c>
      <c r="J122" s="156">
        <f>J$63*LifeCycle!I22</f>
        <v>0</v>
      </c>
      <c r="K122" s="156">
        <f>K$63*LifeCycle!J22</f>
        <v>0</v>
      </c>
    </row>
    <row r="123" spans="2:11" ht="18" customHeight="1" x14ac:dyDescent="0.45">
      <c r="B123" s="129">
        <v>21</v>
      </c>
      <c r="C123" s="150" t="str">
        <f>Constants!R57</f>
        <v>کارشناس درجه 1 شبکه</v>
      </c>
      <c r="D123" s="156">
        <f>D$63*LifeCycle!C23</f>
        <v>0</v>
      </c>
      <c r="E123" s="156">
        <f>E$63*LifeCycle!D23</f>
        <v>0</v>
      </c>
      <c r="F123" s="156">
        <f>F$63*LifeCycle!E23</f>
        <v>0</v>
      </c>
      <c r="G123" s="156">
        <f>G$63*LifeCycle!F23</f>
        <v>0</v>
      </c>
      <c r="H123" s="156">
        <f>H$63*LifeCycle!G23</f>
        <v>0</v>
      </c>
      <c r="I123" s="156">
        <f>I$63*LifeCycle!H23</f>
        <v>0</v>
      </c>
      <c r="J123" s="156">
        <f>J$63*LifeCycle!I23</f>
        <v>0</v>
      </c>
      <c r="K123" s="156">
        <f>K$63*LifeCycle!J23</f>
        <v>0</v>
      </c>
    </row>
    <row r="124" spans="2:11" ht="18" customHeight="1" x14ac:dyDescent="0.45">
      <c r="B124" s="129">
        <v>22</v>
      </c>
      <c r="C124" s="150" t="str">
        <f>Constants!R58</f>
        <v>تکنسین شبکه</v>
      </c>
      <c r="D124" s="156">
        <f>D$63*LifeCycle!C24</f>
        <v>0</v>
      </c>
      <c r="E124" s="156">
        <f>E$63*LifeCycle!D24</f>
        <v>0</v>
      </c>
      <c r="F124" s="156">
        <f>F$63*LifeCycle!E24</f>
        <v>0</v>
      </c>
      <c r="G124" s="156">
        <f>G$63*LifeCycle!F24</f>
        <v>0</v>
      </c>
      <c r="H124" s="156">
        <f>H$63*LifeCycle!G24</f>
        <v>0</v>
      </c>
      <c r="I124" s="156">
        <f>I$63*LifeCycle!H24</f>
        <v>0</v>
      </c>
      <c r="J124" s="156">
        <f>J$63*LifeCycle!I24</f>
        <v>0</v>
      </c>
      <c r="K124" s="156">
        <f>K$63*LifeCycle!J24</f>
        <v>0</v>
      </c>
    </row>
    <row r="125" spans="2:11" ht="18" customHeight="1" x14ac:dyDescent="0.45">
      <c r="B125" s="129">
        <v>23</v>
      </c>
      <c r="C125" s="150" t="str">
        <f>Constants!R59</f>
        <v>کارشناس امنیت</v>
      </c>
      <c r="D125" s="156">
        <f>D$63*LifeCycle!C25</f>
        <v>2118060.030542763</v>
      </c>
      <c r="E125" s="156">
        <f>E$63*LifeCycle!D25</f>
        <v>11861136.171039475</v>
      </c>
      <c r="F125" s="156">
        <f>F$63*LifeCycle!E25</f>
        <v>38125080.549769729</v>
      </c>
      <c r="G125" s="156">
        <f>G$63*LifeCycle!F25</f>
        <v>127083601.83256577</v>
      </c>
      <c r="H125" s="156">
        <f>H$63*LifeCycle!G25</f>
        <v>19062540.274884868</v>
      </c>
      <c r="I125" s="156">
        <f>I$63*LifeCycle!H25</f>
        <v>13555584.19547368</v>
      </c>
      <c r="J125" s="156">
        <f>J$63*LifeCycle!I25</f>
        <v>4236120.0610855259</v>
      </c>
      <c r="K125" s="156">
        <f>K$63*LifeCycle!J25</f>
        <v>847224.01221710502</v>
      </c>
    </row>
    <row r="126" spans="2:11" ht="18" customHeight="1" x14ac:dyDescent="0.45">
      <c r="B126" s="129">
        <v>24</v>
      </c>
      <c r="C126" s="150" t="str">
        <f>Constants!R60</f>
        <v>کارشناس کنترل پروژه</v>
      </c>
      <c r="D126" s="156">
        <f>D$63*LifeCycle!C26</f>
        <v>4236120.0610855259</v>
      </c>
      <c r="E126" s="156">
        <f>E$63*LifeCycle!D26</f>
        <v>11861136.171039475</v>
      </c>
      <c r="F126" s="156">
        <f>F$63*LifeCycle!E26</f>
        <v>25416720.366513152</v>
      </c>
      <c r="G126" s="156">
        <f>G$63*LifeCycle!F26</f>
        <v>84722401.221710518</v>
      </c>
      <c r="H126" s="156">
        <f>H$63*LifeCycle!G26</f>
        <v>12708360.18325658</v>
      </c>
      <c r="I126" s="156">
        <f>I$63*LifeCycle!H26</f>
        <v>13555584.19547368</v>
      </c>
      <c r="J126" s="156">
        <f>J$63*LifeCycle!I26</f>
        <v>4236120.0610855259</v>
      </c>
      <c r="K126" s="156">
        <f>K$63*LifeCycle!J26</f>
        <v>1694448.02443421</v>
      </c>
    </row>
    <row r="127" spans="2:11" ht="18" customHeight="1" x14ac:dyDescent="0.45">
      <c r="B127" s="129">
        <v>25</v>
      </c>
      <c r="C127" s="150" t="str">
        <f>Constants!R61</f>
        <v>کارشناس پایگاه داده ارشد</v>
      </c>
      <c r="D127" s="156">
        <f>D$63*LifeCycle!C27</f>
        <v>0</v>
      </c>
      <c r="E127" s="156">
        <f>E$63*LifeCycle!D27</f>
        <v>5930568.0855197376</v>
      </c>
      <c r="F127" s="156">
        <f>F$63*LifeCycle!E27</f>
        <v>25416720.366513152</v>
      </c>
      <c r="G127" s="156">
        <f>G$63*LifeCycle!F27</f>
        <v>84722401.221710518</v>
      </c>
      <c r="H127" s="156">
        <f>H$63*LifeCycle!G27</f>
        <v>6354180.0916282898</v>
      </c>
      <c r="I127" s="156">
        <f>I$63*LifeCycle!H27</f>
        <v>0</v>
      </c>
      <c r="J127" s="156">
        <f>J$63*LifeCycle!I27</f>
        <v>0</v>
      </c>
      <c r="K127" s="156">
        <f>K$63*LifeCycle!J27</f>
        <v>0</v>
      </c>
    </row>
    <row r="128" spans="2:11" ht="18" customHeight="1" x14ac:dyDescent="0.45">
      <c r="B128" s="129">
        <v>26</v>
      </c>
      <c r="C128" s="150" t="str">
        <f>Constants!R62</f>
        <v>کارشناس پایگاه داده درجه 1</v>
      </c>
      <c r="D128" s="156">
        <f>D$63*LifeCycle!C28</f>
        <v>0</v>
      </c>
      <c r="E128" s="156">
        <f>E$63*LifeCycle!D28</f>
        <v>11861136.171039475</v>
      </c>
      <c r="F128" s="156">
        <f>F$63*LifeCycle!E28</f>
        <v>25416720.366513152</v>
      </c>
      <c r="G128" s="156">
        <f>G$63*LifeCycle!F28</f>
        <v>127083601.83256577</v>
      </c>
      <c r="H128" s="156">
        <f>H$63*LifeCycle!G28</f>
        <v>6354180.0916282898</v>
      </c>
      <c r="I128" s="156">
        <f>I$63*LifeCycle!H28</f>
        <v>0</v>
      </c>
      <c r="J128" s="156">
        <f>J$63*LifeCycle!I28</f>
        <v>0</v>
      </c>
      <c r="K128" s="156">
        <f>K$63*LifeCycle!J28</f>
        <v>0</v>
      </c>
    </row>
    <row r="129" spans="2:12" ht="18" customHeight="1" x14ac:dyDescent="0.45">
      <c r="B129" s="129">
        <v>27</v>
      </c>
      <c r="C129" s="150" t="str">
        <f>Constants!R63</f>
        <v xml:space="preserve">مهندس ارشد سیستم </v>
      </c>
      <c r="D129" s="156">
        <f>D$63*LifeCycle!C29</f>
        <v>0</v>
      </c>
      <c r="E129" s="156">
        <f>E$63*LifeCycle!D29</f>
        <v>11861136.171039475</v>
      </c>
      <c r="F129" s="156">
        <f>F$63*LifeCycle!E29</f>
        <v>25416720.366513152</v>
      </c>
      <c r="G129" s="156">
        <f>G$63*LifeCycle!F29</f>
        <v>169444802.44342104</v>
      </c>
      <c r="H129" s="156">
        <f>H$63*LifeCycle!G29</f>
        <v>6354180.0916282898</v>
      </c>
      <c r="I129" s="156">
        <f>I$63*LifeCycle!H29</f>
        <v>0</v>
      </c>
      <c r="J129" s="156">
        <f>J$63*LifeCycle!I29</f>
        <v>0</v>
      </c>
      <c r="K129" s="156">
        <f>K$63*LifeCycle!J29</f>
        <v>0</v>
      </c>
    </row>
    <row r="130" spans="2:12" ht="18" customHeight="1" x14ac:dyDescent="0.45">
      <c r="B130" s="129">
        <v>28</v>
      </c>
      <c r="C130" s="150" t="str">
        <f>Constants!R64</f>
        <v>مهندس سیستم درجه 1</v>
      </c>
      <c r="D130" s="156">
        <f>D$63*LifeCycle!C30</f>
        <v>0</v>
      </c>
      <c r="E130" s="156">
        <f>E$63*LifeCycle!D30</f>
        <v>0</v>
      </c>
      <c r="F130" s="156">
        <f>F$63*LifeCycle!E30</f>
        <v>25416720.366513152</v>
      </c>
      <c r="G130" s="156">
        <f>G$63*LifeCycle!F30</f>
        <v>211806003.05427632</v>
      </c>
      <c r="H130" s="156">
        <f>H$63*LifeCycle!G30</f>
        <v>12708360.18325658</v>
      </c>
      <c r="I130" s="156">
        <f>I$63*LifeCycle!H30</f>
        <v>13555584.19547368</v>
      </c>
      <c r="J130" s="156">
        <f>J$63*LifeCycle!I30</f>
        <v>0</v>
      </c>
      <c r="K130" s="156">
        <f>K$63*LifeCycle!J30</f>
        <v>0</v>
      </c>
    </row>
    <row r="131" spans="2:12" ht="21" customHeight="1" x14ac:dyDescent="0.45">
      <c r="D131" s="157">
        <f t="shared" ref="D131:K131" si="11">SUM(D103:D130)</f>
        <v>211806003.05427626</v>
      </c>
      <c r="E131" s="157">
        <f t="shared" si="11"/>
        <v>593056808.5519737</v>
      </c>
      <c r="F131" s="157">
        <f t="shared" si="11"/>
        <v>1270836018.3256581</v>
      </c>
      <c r="G131" s="157">
        <f t="shared" si="11"/>
        <v>4236120061.0855269</v>
      </c>
      <c r="H131" s="157">
        <f t="shared" si="11"/>
        <v>635418009.16282904</v>
      </c>
      <c r="I131" s="157">
        <f t="shared" si="11"/>
        <v>677779209.77368402</v>
      </c>
      <c r="J131" s="157">
        <f t="shared" si="11"/>
        <v>211806003.05427629</v>
      </c>
      <c r="K131" s="157">
        <f t="shared" si="11"/>
        <v>84722401.221710503</v>
      </c>
    </row>
    <row r="134" spans="2:12" x14ac:dyDescent="0.45">
      <c r="E134" s="300"/>
      <c r="F134" s="301"/>
      <c r="G134" s="301"/>
      <c r="I134" s="300"/>
      <c r="J134" s="301"/>
      <c r="K134" s="301"/>
    </row>
    <row r="135" spans="2:12" x14ac:dyDescent="0.45">
      <c r="E135" s="160"/>
      <c r="F135" s="161"/>
      <c r="G135" s="110"/>
      <c r="J135" s="110"/>
      <c r="K135" s="110"/>
    </row>
    <row r="136" spans="2:12" ht="18" customHeight="1" x14ac:dyDescent="0.45">
      <c r="B136" s="129">
        <v>1</v>
      </c>
      <c r="C136" s="150" t="str">
        <f>Constants!R37</f>
        <v>مدیر پروژه</v>
      </c>
      <c r="D136" s="156">
        <f>Constants!S37</f>
        <v>230385000</v>
      </c>
      <c r="E136" s="156">
        <f t="shared" ref="E136:E163" si="12">SUM(D71:K71)</f>
        <v>396077225.71149671</v>
      </c>
      <c r="F136" s="128">
        <f t="shared" ref="F136:F163" si="13">E136/D136</f>
        <v>1.7191971079345301</v>
      </c>
      <c r="G136" s="128">
        <f>F136*Constants!A$19</f>
        <v>275.07153726952481</v>
      </c>
      <c r="I136" s="156">
        <f t="shared" ref="I136:I163" si="14">SUM(D103:K103)</f>
        <v>396077225.71149671</v>
      </c>
      <c r="J136" s="128">
        <f t="shared" ref="J136:J163" si="15">I136/D136</f>
        <v>1.7191971079345301</v>
      </c>
      <c r="K136" s="128">
        <f>J136*Constants!A$19</f>
        <v>275.07153726952481</v>
      </c>
      <c r="L136" s="163">
        <f t="shared" ref="L136:L163" si="16">I136/I$164</f>
        <v>5.0000000000000017E-2</v>
      </c>
    </row>
    <row r="137" spans="2:12" ht="18" customHeight="1" x14ac:dyDescent="0.45">
      <c r="B137" s="129">
        <v>2</v>
      </c>
      <c r="C137" s="150" t="str">
        <f>Constants!R38</f>
        <v xml:space="preserve">تحلیلگر </v>
      </c>
      <c r="D137" s="156">
        <f>Constants!S38</f>
        <v>153260000</v>
      </c>
      <c r="E137" s="156">
        <f t="shared" si="12"/>
        <v>357952145.16172689</v>
      </c>
      <c r="F137" s="128">
        <f t="shared" si="13"/>
        <v>2.3355875320483288</v>
      </c>
      <c r="G137" s="128">
        <f>F137*Constants!A$19</f>
        <v>373.69400512773262</v>
      </c>
      <c r="I137" s="156">
        <f t="shared" si="14"/>
        <v>357952145.16172689</v>
      </c>
      <c r="J137" s="128">
        <f t="shared" si="15"/>
        <v>2.3355875320483288</v>
      </c>
      <c r="K137" s="128">
        <f>J137*Constants!A$19</f>
        <v>373.69400512773262</v>
      </c>
      <c r="L137" s="163">
        <f t="shared" si="16"/>
        <v>4.5187165775401071E-2</v>
      </c>
    </row>
    <row r="138" spans="2:12" ht="18" customHeight="1" x14ac:dyDescent="0.45">
      <c r="B138" s="129">
        <v>3</v>
      </c>
      <c r="C138" s="150" t="str">
        <f>Constants!R39</f>
        <v xml:space="preserve">طراح </v>
      </c>
      <c r="D138" s="156">
        <f>Constants!S39</f>
        <v>156900000</v>
      </c>
      <c r="E138" s="156">
        <f t="shared" si="12"/>
        <v>1516530981.868618</v>
      </c>
      <c r="F138" s="128">
        <f t="shared" si="13"/>
        <v>9.6655894319223581</v>
      </c>
      <c r="G138" s="128">
        <f>F138*Constants!A$19</f>
        <v>1546.4943091075772</v>
      </c>
      <c r="I138" s="156">
        <f t="shared" si="14"/>
        <v>1516530981.868618</v>
      </c>
      <c r="J138" s="128">
        <f t="shared" si="15"/>
        <v>9.6655894319223581</v>
      </c>
      <c r="K138" s="128">
        <f>J138*Constants!A$19</f>
        <v>1546.4943091075772</v>
      </c>
      <c r="L138" s="163">
        <f t="shared" si="16"/>
        <v>0.19144385026737967</v>
      </c>
    </row>
    <row r="139" spans="2:12" ht="18" customHeight="1" x14ac:dyDescent="0.45">
      <c r="B139" s="129">
        <v>4</v>
      </c>
      <c r="C139" s="150" t="str">
        <f>Constants!R40</f>
        <v>برنامه نویس ارشد</v>
      </c>
      <c r="D139" s="156">
        <f>Constants!S40</f>
        <v>233752781</v>
      </c>
      <c r="E139" s="156">
        <f t="shared" si="12"/>
        <v>860015965.93369746</v>
      </c>
      <c r="F139" s="128">
        <f t="shared" si="13"/>
        <v>3.6791689162136532</v>
      </c>
      <c r="G139" s="128">
        <f>F139*Constants!A$19</f>
        <v>588.66702659418456</v>
      </c>
      <c r="I139" s="156">
        <f t="shared" si="14"/>
        <v>860015965.93369746</v>
      </c>
      <c r="J139" s="128">
        <f t="shared" si="15"/>
        <v>3.6791689162136532</v>
      </c>
      <c r="K139" s="128">
        <f>J139*Constants!A$19</f>
        <v>588.66702659418456</v>
      </c>
      <c r="L139" s="163">
        <f t="shared" si="16"/>
        <v>0.10856670241375285</v>
      </c>
    </row>
    <row r="140" spans="2:12" ht="18" customHeight="1" x14ac:dyDescent="0.45">
      <c r="B140" s="129">
        <v>5</v>
      </c>
      <c r="C140" s="150" t="str">
        <f>Constants!R41</f>
        <v>برنامه نویس درجه 1</v>
      </c>
      <c r="D140" s="156">
        <f>Constants!S41</f>
        <v>182145024</v>
      </c>
      <c r="E140" s="156">
        <f t="shared" si="12"/>
        <v>1608258876.2877631</v>
      </c>
      <c r="F140" s="128">
        <f t="shared" si="13"/>
        <v>8.8295515351973766</v>
      </c>
      <c r="G140" s="128">
        <f>F140*Constants!A$19</f>
        <v>1412.7282456315802</v>
      </c>
      <c r="I140" s="156">
        <f t="shared" si="14"/>
        <v>1608258876.2877631</v>
      </c>
      <c r="J140" s="128">
        <f t="shared" si="15"/>
        <v>8.8295515351973766</v>
      </c>
      <c r="K140" s="128">
        <f>J140*Constants!A$19</f>
        <v>1412.7282456315802</v>
      </c>
      <c r="L140" s="163">
        <f t="shared" si="16"/>
        <v>0.20302339693966928</v>
      </c>
    </row>
    <row r="141" spans="2:12" ht="18" customHeight="1" x14ac:dyDescent="0.45">
      <c r="B141" s="129">
        <v>6</v>
      </c>
      <c r="C141" s="150" t="str">
        <f>Constants!R42</f>
        <v>برنامه نویس درجه 2</v>
      </c>
      <c r="D141" s="156">
        <f>Constants!S42</f>
        <v>138126643</v>
      </c>
      <c r="E141" s="156">
        <f t="shared" si="12"/>
        <v>286050421.49634868</v>
      </c>
      <c r="F141" s="128">
        <f t="shared" si="13"/>
        <v>2.0709286440585446</v>
      </c>
      <c r="G141" s="128">
        <f>F141*Constants!A$19</f>
        <v>331.34858304936711</v>
      </c>
      <c r="I141" s="156">
        <f t="shared" si="14"/>
        <v>286050421.49634868</v>
      </c>
      <c r="J141" s="128">
        <f t="shared" si="15"/>
        <v>2.0709286440585446</v>
      </c>
      <c r="K141" s="128">
        <f>J141*Constants!A$19</f>
        <v>331.34858304936711</v>
      </c>
      <c r="L141" s="163">
        <f t="shared" si="16"/>
        <v>3.611043540593626E-2</v>
      </c>
    </row>
    <row r="142" spans="2:12" ht="18" customHeight="1" x14ac:dyDescent="0.45">
      <c r="B142" s="129">
        <v>7</v>
      </c>
      <c r="C142" s="150" t="str">
        <f>Constants!R43</f>
        <v>طراح آزمایش</v>
      </c>
      <c r="D142" s="156">
        <f>Constants!S43</f>
        <v>98524000</v>
      </c>
      <c r="E142" s="156">
        <f t="shared" si="12"/>
        <v>95312701.374424338</v>
      </c>
      <c r="F142" s="128">
        <f t="shared" si="13"/>
        <v>0.9674059252001983</v>
      </c>
      <c r="G142" s="128">
        <f>F142*Constants!A$19</f>
        <v>154.78494803203174</v>
      </c>
      <c r="I142" s="156">
        <f t="shared" si="14"/>
        <v>95312701.374424338</v>
      </c>
      <c r="J142" s="128">
        <f t="shared" si="15"/>
        <v>0.9674059252001983</v>
      </c>
      <c r="K142" s="128">
        <f>J142*Constants!A$19</f>
        <v>154.78494803203174</v>
      </c>
      <c r="L142" s="163">
        <f t="shared" si="16"/>
        <v>1.2032085561497329E-2</v>
      </c>
    </row>
    <row r="143" spans="2:12" ht="18" customHeight="1" x14ac:dyDescent="0.45">
      <c r="B143" s="129">
        <v>8</v>
      </c>
      <c r="C143" s="150" t="str">
        <f>Constants!R44</f>
        <v>آزمونگر</v>
      </c>
      <c r="D143" s="156">
        <f>Constants!S44</f>
        <v>67948000</v>
      </c>
      <c r="E143" s="156">
        <f t="shared" si="12"/>
        <v>190625402.74884868</v>
      </c>
      <c r="F143" s="128">
        <f t="shared" si="13"/>
        <v>2.8054600981463573</v>
      </c>
      <c r="G143" s="128">
        <f>F143*Constants!A$19</f>
        <v>448.87361570341716</v>
      </c>
      <c r="I143" s="156">
        <f t="shared" si="14"/>
        <v>190625402.74884868</v>
      </c>
      <c r="J143" s="128">
        <f t="shared" si="15"/>
        <v>2.8054600981463573</v>
      </c>
      <c r="K143" s="128">
        <f>J143*Constants!A$19</f>
        <v>448.87361570341716</v>
      </c>
      <c r="L143" s="163">
        <f t="shared" si="16"/>
        <v>2.4064171122994658E-2</v>
      </c>
    </row>
    <row r="144" spans="2:12" ht="18" customHeight="1" x14ac:dyDescent="0.45">
      <c r="B144" s="129">
        <v>9</v>
      </c>
      <c r="C144" s="150" t="str">
        <f>Constants!R45</f>
        <v>کارشناس مستندساز</v>
      </c>
      <c r="D144" s="156">
        <f>Constants!S45</f>
        <v>63701000</v>
      </c>
      <c r="E144" s="156">
        <f t="shared" si="12"/>
        <v>88958521.28279604</v>
      </c>
      <c r="F144" s="128">
        <f t="shared" si="13"/>
        <v>1.3965011739658098</v>
      </c>
      <c r="G144" s="128">
        <f>F144*Constants!A$19</f>
        <v>223.44018783452955</v>
      </c>
      <c r="I144" s="156">
        <f t="shared" si="14"/>
        <v>88958521.28279604</v>
      </c>
      <c r="J144" s="128">
        <f t="shared" si="15"/>
        <v>1.3965011739658098</v>
      </c>
      <c r="K144" s="128">
        <f>J144*Constants!A$19</f>
        <v>223.44018783452955</v>
      </c>
      <c r="L144" s="163">
        <f t="shared" si="16"/>
        <v>1.1229946524064173E-2</v>
      </c>
    </row>
    <row r="145" spans="2:12" ht="18" customHeight="1" x14ac:dyDescent="0.45">
      <c r="B145" s="129">
        <v>10</v>
      </c>
      <c r="C145" s="150" t="str">
        <f>Constants!R46</f>
        <v>نگارگر (گرافیست)</v>
      </c>
      <c r="D145" s="156">
        <f>Constants!S46</f>
        <v>67948000</v>
      </c>
      <c r="E145" s="156">
        <f t="shared" si="12"/>
        <v>639654129.2239145</v>
      </c>
      <c r="F145" s="128">
        <f t="shared" si="13"/>
        <v>9.4138772182244441</v>
      </c>
      <c r="G145" s="128">
        <f>F145*Constants!A$19</f>
        <v>1506.220354915911</v>
      </c>
      <c r="I145" s="156">
        <f t="shared" si="14"/>
        <v>639654129.2239145</v>
      </c>
      <c r="J145" s="128">
        <f t="shared" si="15"/>
        <v>9.4138772182244441</v>
      </c>
      <c r="K145" s="128">
        <f>J145*Constants!A$19</f>
        <v>1506.220354915911</v>
      </c>
      <c r="L145" s="163">
        <f t="shared" si="16"/>
        <v>8.0748663101604307E-2</v>
      </c>
    </row>
    <row r="146" spans="2:12" ht="18" customHeight="1" x14ac:dyDescent="0.45">
      <c r="B146" s="129">
        <v>11</v>
      </c>
      <c r="C146" s="150" t="str">
        <f>Constants!R47</f>
        <v>مدیر کیفیت</v>
      </c>
      <c r="D146" s="156">
        <f>Constants!S47</f>
        <v>148636000</v>
      </c>
      <c r="E146" s="156">
        <f t="shared" si="12"/>
        <v>113951629.64320065</v>
      </c>
      <c r="F146" s="128">
        <f t="shared" si="13"/>
        <v>0.76664892518098338</v>
      </c>
      <c r="G146" s="128">
        <f>F146*Constants!A$19</f>
        <v>122.66382802895734</v>
      </c>
      <c r="I146" s="156">
        <f t="shared" si="14"/>
        <v>113951629.64320065</v>
      </c>
      <c r="J146" s="128">
        <f t="shared" si="15"/>
        <v>0.76664892518098338</v>
      </c>
      <c r="K146" s="128">
        <f>J146*Constants!A$19</f>
        <v>122.66382802895734</v>
      </c>
      <c r="L146" s="163">
        <f t="shared" si="16"/>
        <v>1.4385026737967918E-2</v>
      </c>
    </row>
    <row r="147" spans="2:12" ht="18" customHeight="1" x14ac:dyDescent="0.45">
      <c r="B147" s="129">
        <v>12</v>
      </c>
      <c r="C147" s="150" t="str">
        <f>Constants!R48</f>
        <v>کارشناس کیفیت</v>
      </c>
      <c r="D147" s="156">
        <f>Constants!S48</f>
        <v>81537000</v>
      </c>
      <c r="E147" s="156">
        <f t="shared" si="12"/>
        <v>43632036.629180908</v>
      </c>
      <c r="F147" s="128">
        <f t="shared" si="13"/>
        <v>0.53511947495224144</v>
      </c>
      <c r="G147" s="128">
        <f>F147*Constants!A$19</f>
        <v>85.61911599235863</v>
      </c>
      <c r="I147" s="156">
        <f t="shared" si="14"/>
        <v>43632036.629180908</v>
      </c>
      <c r="J147" s="128">
        <f t="shared" si="15"/>
        <v>0.53511947495224144</v>
      </c>
      <c r="K147" s="128">
        <f>J147*Constants!A$19</f>
        <v>85.61911599235863</v>
      </c>
      <c r="L147" s="163">
        <f t="shared" si="16"/>
        <v>5.5080213903743319E-3</v>
      </c>
    </row>
    <row r="148" spans="2:12" ht="18" customHeight="1" x14ac:dyDescent="0.45">
      <c r="B148" s="129">
        <v>13</v>
      </c>
      <c r="C148" s="150" t="str">
        <f>Constants!R49</f>
        <v>کارشناس پیکربندی</v>
      </c>
      <c r="D148" s="156">
        <f>Constants!S49</f>
        <v>89181000</v>
      </c>
      <c r="E148" s="156">
        <f t="shared" si="12"/>
        <v>224514363.23753285</v>
      </c>
      <c r="F148" s="128">
        <f t="shared" si="13"/>
        <v>2.5175134079852532</v>
      </c>
      <c r="G148" s="128">
        <f>F148*Constants!A$19</f>
        <v>402.80214527764053</v>
      </c>
      <c r="I148" s="156">
        <f t="shared" si="14"/>
        <v>224514363.23753285</v>
      </c>
      <c r="J148" s="128">
        <f t="shared" si="15"/>
        <v>2.5175134079852532</v>
      </c>
      <c r="K148" s="128">
        <f>J148*Constants!A$19</f>
        <v>402.80214527764053</v>
      </c>
      <c r="L148" s="163">
        <f t="shared" si="16"/>
        <v>2.8342245989304817E-2</v>
      </c>
    </row>
    <row r="149" spans="2:12" ht="18" customHeight="1" x14ac:dyDescent="0.45">
      <c r="B149" s="129">
        <v>14</v>
      </c>
      <c r="C149" s="150" t="str">
        <f>Constants!R50</f>
        <v>مسئول سایت/کارگاه</v>
      </c>
      <c r="D149" s="156">
        <f>Constants!S50</f>
        <v>81537000</v>
      </c>
      <c r="E149" s="156">
        <f t="shared" si="12"/>
        <v>0</v>
      </c>
      <c r="F149" s="128">
        <f t="shared" si="13"/>
        <v>0</v>
      </c>
      <c r="G149" s="128">
        <f>F149*Constants!A$19</f>
        <v>0</v>
      </c>
      <c r="I149" s="156">
        <f t="shared" si="14"/>
        <v>0</v>
      </c>
      <c r="J149" s="128">
        <f t="shared" si="15"/>
        <v>0</v>
      </c>
      <c r="K149" s="128">
        <f>J149*Constants!A$19</f>
        <v>0</v>
      </c>
      <c r="L149" s="163">
        <f t="shared" si="16"/>
        <v>0</v>
      </c>
    </row>
    <row r="150" spans="2:12" ht="18" customHeight="1" x14ac:dyDescent="0.45">
      <c r="B150" s="129">
        <v>15</v>
      </c>
      <c r="C150" s="150" t="str">
        <f>Constants!R51</f>
        <v>مدیر خدمات پس از فروش</v>
      </c>
      <c r="D150" s="156">
        <f>Constants!S51</f>
        <v>113246000</v>
      </c>
      <c r="E150" s="156">
        <f t="shared" si="12"/>
        <v>4236120.061085525</v>
      </c>
      <c r="F150" s="128">
        <f t="shared" si="13"/>
        <v>3.7406354847725524E-2</v>
      </c>
      <c r="G150" s="128">
        <f>F150*Constants!A$19</f>
        <v>5.9850167756360841</v>
      </c>
      <c r="I150" s="156">
        <f t="shared" si="14"/>
        <v>4236120.061085525</v>
      </c>
      <c r="J150" s="128">
        <f t="shared" si="15"/>
        <v>3.7406354847725524E-2</v>
      </c>
      <c r="K150" s="128">
        <f>J150*Constants!A$19</f>
        <v>5.9850167756360841</v>
      </c>
      <c r="L150" s="163">
        <f t="shared" si="16"/>
        <v>5.3475935828877007E-4</v>
      </c>
    </row>
    <row r="151" spans="2:12" ht="18" customHeight="1" x14ac:dyDescent="0.45">
      <c r="B151" s="129">
        <v>16</v>
      </c>
      <c r="C151" s="150" t="str">
        <f>Constants!R52</f>
        <v>تکنسین عملیات</v>
      </c>
      <c r="D151" s="156">
        <f>Constants!S52</f>
        <v>62285000</v>
      </c>
      <c r="E151" s="156">
        <f t="shared" si="12"/>
        <v>224514363.23753285</v>
      </c>
      <c r="F151" s="128">
        <f t="shared" si="13"/>
        <v>3.6046297380995882</v>
      </c>
      <c r="G151" s="128">
        <f>F151*Constants!A$19</f>
        <v>576.7407580959341</v>
      </c>
      <c r="I151" s="156">
        <f t="shared" si="14"/>
        <v>224514363.23753285</v>
      </c>
      <c r="J151" s="128">
        <f t="shared" si="15"/>
        <v>3.6046297380995882</v>
      </c>
      <c r="K151" s="128">
        <f>J151*Constants!A$19</f>
        <v>576.7407580959341</v>
      </c>
      <c r="L151" s="163">
        <f t="shared" si="16"/>
        <v>2.8342245989304817E-2</v>
      </c>
    </row>
    <row r="152" spans="2:12" ht="18" customHeight="1" x14ac:dyDescent="0.45">
      <c r="B152" s="129">
        <v>17</v>
      </c>
      <c r="C152" s="150" t="str">
        <f>Constants!R53</f>
        <v>کارشناس آموزش</v>
      </c>
      <c r="D152" s="156">
        <f>Constants!S53</f>
        <v>67948000</v>
      </c>
      <c r="E152" s="156">
        <f t="shared" si="12"/>
        <v>25416720.366513152</v>
      </c>
      <c r="F152" s="128">
        <f t="shared" si="13"/>
        <v>0.37406134641951422</v>
      </c>
      <c r="G152" s="128">
        <f>F152*Constants!A$19</f>
        <v>59.849815427122273</v>
      </c>
      <c r="I152" s="156">
        <f t="shared" si="14"/>
        <v>25416720.366513152</v>
      </c>
      <c r="J152" s="128">
        <f t="shared" si="15"/>
        <v>0.37406134641951422</v>
      </c>
      <c r="K152" s="128">
        <f>J152*Constants!A$19</f>
        <v>59.849815427122273</v>
      </c>
      <c r="L152" s="163">
        <f t="shared" si="16"/>
        <v>3.2085561497326204E-3</v>
      </c>
    </row>
    <row r="153" spans="2:12" ht="18" customHeight="1" x14ac:dyDescent="0.45">
      <c r="B153" s="129">
        <v>18</v>
      </c>
      <c r="C153" s="150" t="str">
        <f>Constants!R54</f>
        <v>مشاور ارشد</v>
      </c>
      <c r="D153" s="156">
        <f>Constants!S54</f>
        <v>347421000</v>
      </c>
      <c r="E153" s="156">
        <f t="shared" si="12"/>
        <v>0</v>
      </c>
      <c r="F153" s="128">
        <f t="shared" si="13"/>
        <v>0</v>
      </c>
      <c r="G153" s="128">
        <f>F153*Constants!A$19</f>
        <v>0</v>
      </c>
      <c r="I153" s="156">
        <f t="shared" si="14"/>
        <v>0</v>
      </c>
      <c r="J153" s="128">
        <f t="shared" si="15"/>
        <v>0</v>
      </c>
      <c r="K153" s="128">
        <f>J153*Constants!A$19</f>
        <v>0</v>
      </c>
      <c r="L153" s="163">
        <f t="shared" si="16"/>
        <v>0</v>
      </c>
    </row>
    <row r="154" spans="2:12" ht="18" customHeight="1" x14ac:dyDescent="0.45">
      <c r="B154" s="129">
        <v>19</v>
      </c>
      <c r="C154" s="150" t="str">
        <f>Constants!R55</f>
        <v>مشاور</v>
      </c>
      <c r="D154" s="156">
        <f>Constants!S55</f>
        <v>268783000</v>
      </c>
      <c r="E154" s="156">
        <f t="shared" si="12"/>
        <v>66930696.965151303</v>
      </c>
      <c r="F154" s="128">
        <f t="shared" si="13"/>
        <v>0.24901387723610235</v>
      </c>
      <c r="G154" s="128">
        <f>F154*Constants!A$19</f>
        <v>39.842220357776377</v>
      </c>
      <c r="I154" s="156">
        <f t="shared" si="14"/>
        <v>66930696.965151303</v>
      </c>
      <c r="J154" s="128">
        <f t="shared" si="15"/>
        <v>0.24901387723610235</v>
      </c>
      <c r="K154" s="128">
        <f>J154*Constants!A$19</f>
        <v>39.842220357776377</v>
      </c>
      <c r="L154" s="163">
        <f t="shared" si="16"/>
        <v>8.4491978609625672E-3</v>
      </c>
    </row>
    <row r="155" spans="2:12" ht="18" customHeight="1" x14ac:dyDescent="0.45">
      <c r="B155" s="129">
        <v>20</v>
      </c>
      <c r="C155" s="150" t="str">
        <f>Constants!R56</f>
        <v>کارشناس ارشد شبکه</v>
      </c>
      <c r="D155" s="156">
        <f>Constants!S56</f>
        <v>96613000</v>
      </c>
      <c r="E155" s="156">
        <f t="shared" si="12"/>
        <v>33888960.4886842</v>
      </c>
      <c r="F155" s="128">
        <f t="shared" si="13"/>
        <v>0.3507701912649871</v>
      </c>
      <c r="G155" s="128">
        <f>F155*Constants!A$19</f>
        <v>56.123230602397939</v>
      </c>
      <c r="I155" s="156">
        <f t="shared" si="14"/>
        <v>33888960.4886842</v>
      </c>
      <c r="J155" s="128">
        <f t="shared" si="15"/>
        <v>0.3507701912649871</v>
      </c>
      <c r="K155" s="128">
        <f>J155*Constants!A$19</f>
        <v>56.123230602397939</v>
      </c>
      <c r="L155" s="163">
        <f t="shared" si="16"/>
        <v>4.2780748663101605E-3</v>
      </c>
    </row>
    <row r="156" spans="2:12" ht="18" customHeight="1" x14ac:dyDescent="0.45">
      <c r="B156" s="129">
        <v>21</v>
      </c>
      <c r="C156" s="150" t="str">
        <f>Constants!R57</f>
        <v>کارشناس درجه 1 شبکه</v>
      </c>
      <c r="D156" s="156">
        <f>Constants!S57</f>
        <v>73610000</v>
      </c>
      <c r="E156" s="156">
        <f t="shared" si="12"/>
        <v>0</v>
      </c>
      <c r="F156" s="128">
        <f t="shared" si="13"/>
        <v>0</v>
      </c>
      <c r="G156" s="128">
        <f>F156*Constants!A$19</f>
        <v>0</v>
      </c>
      <c r="I156" s="156">
        <f t="shared" si="14"/>
        <v>0</v>
      </c>
      <c r="J156" s="128">
        <f t="shared" si="15"/>
        <v>0</v>
      </c>
      <c r="K156" s="128">
        <f>J156*Constants!A$19</f>
        <v>0</v>
      </c>
      <c r="L156" s="163">
        <f t="shared" si="16"/>
        <v>0</v>
      </c>
    </row>
    <row r="157" spans="2:12" ht="18" customHeight="1" x14ac:dyDescent="0.45">
      <c r="B157" s="129">
        <v>22</v>
      </c>
      <c r="C157" s="150" t="str">
        <f>Constants!R58</f>
        <v>تکنسین شبکه</v>
      </c>
      <c r="D157" s="156">
        <f>Constants!S58</f>
        <v>67476000</v>
      </c>
      <c r="E157" s="156">
        <f t="shared" si="12"/>
        <v>0</v>
      </c>
      <c r="F157" s="128">
        <f t="shared" si="13"/>
        <v>0</v>
      </c>
      <c r="G157" s="128">
        <f>F157*Constants!A$19</f>
        <v>0</v>
      </c>
      <c r="I157" s="156">
        <f t="shared" si="14"/>
        <v>0</v>
      </c>
      <c r="J157" s="128">
        <f t="shared" si="15"/>
        <v>0</v>
      </c>
      <c r="K157" s="128">
        <f>J157*Constants!A$19</f>
        <v>0</v>
      </c>
      <c r="L157" s="163">
        <f t="shared" si="16"/>
        <v>0</v>
      </c>
    </row>
    <row r="158" spans="2:12" ht="18" customHeight="1" x14ac:dyDescent="0.45">
      <c r="B158" s="129">
        <v>23</v>
      </c>
      <c r="C158" s="150" t="str">
        <f>Constants!R59</f>
        <v>کارشناس امنیت</v>
      </c>
      <c r="D158" s="156">
        <f>Constants!S59</f>
        <v>121386000</v>
      </c>
      <c r="E158" s="156">
        <f t="shared" si="12"/>
        <v>216889347.12757891</v>
      </c>
      <c r="F158" s="128">
        <f t="shared" si="13"/>
        <v>1.7867739865188648</v>
      </c>
      <c r="G158" s="128">
        <f>F158*Constants!A$19</f>
        <v>285.88383784301834</v>
      </c>
      <c r="I158" s="156">
        <f t="shared" si="14"/>
        <v>216889347.12757891</v>
      </c>
      <c r="J158" s="128">
        <f t="shared" si="15"/>
        <v>1.7867739865188648</v>
      </c>
      <c r="K158" s="128">
        <f>J158*Constants!A$19</f>
        <v>285.88383784301834</v>
      </c>
      <c r="L158" s="163">
        <f t="shared" si="16"/>
        <v>2.7379679144385032E-2</v>
      </c>
    </row>
    <row r="159" spans="2:12" ht="18" customHeight="1" x14ac:dyDescent="0.45">
      <c r="B159" s="129">
        <v>24</v>
      </c>
      <c r="C159" s="150" t="str">
        <f>Constants!R60</f>
        <v>کارشناس کنترل پروژه</v>
      </c>
      <c r="D159" s="156">
        <f>Constants!S60</f>
        <v>89181000</v>
      </c>
      <c r="E159" s="156">
        <f t="shared" si="12"/>
        <v>158430890.28459865</v>
      </c>
      <c r="F159" s="128">
        <f t="shared" si="13"/>
        <v>1.7765094614839332</v>
      </c>
      <c r="G159" s="128">
        <f>F159*Constants!A$19</f>
        <v>284.2415138374293</v>
      </c>
      <c r="I159" s="156">
        <f t="shared" si="14"/>
        <v>158430890.28459865</v>
      </c>
      <c r="J159" s="128">
        <f t="shared" si="15"/>
        <v>1.7765094614839332</v>
      </c>
      <c r="K159" s="128">
        <f>J159*Constants!A$19</f>
        <v>284.2415138374293</v>
      </c>
      <c r="L159" s="163">
        <f t="shared" si="16"/>
        <v>0.02</v>
      </c>
    </row>
    <row r="160" spans="2:12" ht="18" customHeight="1" x14ac:dyDescent="0.45">
      <c r="B160" s="129">
        <v>25</v>
      </c>
      <c r="C160" s="150" t="str">
        <f>Constants!R61</f>
        <v>کارشناس پایگاه داده ارشد</v>
      </c>
      <c r="D160" s="156">
        <f>Constants!S61</f>
        <v>134486000</v>
      </c>
      <c r="E160" s="156">
        <f t="shared" si="12"/>
        <v>122423869.7653717</v>
      </c>
      <c r="F160" s="128">
        <f t="shared" si="13"/>
        <v>0.91030939849033876</v>
      </c>
      <c r="G160" s="128">
        <f>F160*Constants!A$19</f>
        <v>145.64950375845422</v>
      </c>
      <c r="I160" s="156">
        <f t="shared" si="14"/>
        <v>122423869.7653717</v>
      </c>
      <c r="J160" s="128">
        <f t="shared" si="15"/>
        <v>0.91030939849033876</v>
      </c>
      <c r="K160" s="128">
        <f>J160*Constants!A$19</f>
        <v>145.64950375845422</v>
      </c>
      <c r="L160" s="163">
        <f t="shared" si="16"/>
        <v>1.5454545454545457E-2</v>
      </c>
    </row>
    <row r="161" spans="2:12" ht="18" customHeight="1" x14ac:dyDescent="0.45">
      <c r="B161" s="129">
        <v>26</v>
      </c>
      <c r="C161" s="150" t="str">
        <f>Constants!R62</f>
        <v>کارشناس پایگاه داده درجه 1</v>
      </c>
      <c r="D161" s="156">
        <f>Constants!S62</f>
        <v>89181000</v>
      </c>
      <c r="E161" s="156">
        <f t="shared" si="12"/>
        <v>170715638.46174666</v>
      </c>
      <c r="F161" s="128">
        <f t="shared" si="13"/>
        <v>1.9142601951284093</v>
      </c>
      <c r="G161" s="128">
        <f>F161*Constants!A$19</f>
        <v>306.28163122054548</v>
      </c>
      <c r="I161" s="156">
        <f t="shared" si="14"/>
        <v>170715638.46174666</v>
      </c>
      <c r="J161" s="128">
        <f t="shared" si="15"/>
        <v>1.9142601951284093</v>
      </c>
      <c r="K161" s="128">
        <f>J161*Constants!A$19</f>
        <v>306.28163122054548</v>
      </c>
      <c r="L161" s="163">
        <f t="shared" si="16"/>
        <v>2.1550802139037435E-2</v>
      </c>
    </row>
    <row r="162" spans="2:12" ht="18" customHeight="1" x14ac:dyDescent="0.45">
      <c r="B162" s="129">
        <v>27</v>
      </c>
      <c r="C162" s="150" t="str">
        <f>Constants!R63</f>
        <v xml:space="preserve">مهندس ارشد سیستم </v>
      </c>
      <c r="D162" s="156">
        <f>Constants!S63</f>
        <v>114945000</v>
      </c>
      <c r="E162" s="156">
        <f t="shared" si="12"/>
        <v>213076839.07260194</v>
      </c>
      <c r="F162" s="128">
        <f t="shared" si="13"/>
        <v>1.8537286447657744</v>
      </c>
      <c r="G162" s="128">
        <f>F162*Constants!A$19</f>
        <v>296.59658316252387</v>
      </c>
      <c r="I162" s="156">
        <f t="shared" si="14"/>
        <v>213076839.07260194</v>
      </c>
      <c r="J162" s="128">
        <f t="shared" si="15"/>
        <v>1.8537286447657744</v>
      </c>
      <c r="K162" s="128">
        <f>J162*Constants!A$19</f>
        <v>296.59658316252387</v>
      </c>
      <c r="L162" s="163">
        <f t="shared" si="16"/>
        <v>2.689839572192514E-2</v>
      </c>
    </row>
    <row r="163" spans="2:12" ht="18" customHeight="1" x14ac:dyDescent="0.45">
      <c r="B163" s="129">
        <v>28</v>
      </c>
      <c r="C163" s="150" t="str">
        <f>Constants!R64</f>
        <v>مهندس سیستم درجه 1</v>
      </c>
      <c r="D163" s="156">
        <f>Constants!S64</f>
        <v>89181000</v>
      </c>
      <c r="E163" s="156">
        <f t="shared" si="12"/>
        <v>263486667.79951972</v>
      </c>
      <c r="F163" s="128">
        <f t="shared" si="13"/>
        <v>2.9545157354091085</v>
      </c>
      <c r="G163" s="128">
        <f>F163*Constants!A$19</f>
        <v>472.72251766545736</v>
      </c>
      <c r="I163" s="156">
        <f t="shared" si="14"/>
        <v>263486667.79951972</v>
      </c>
      <c r="J163" s="128">
        <f t="shared" si="15"/>
        <v>2.9545157354091085</v>
      </c>
      <c r="K163" s="128">
        <f>J163*Constants!A$19</f>
        <v>472.72251766545736</v>
      </c>
      <c r="L163" s="163">
        <f t="shared" si="16"/>
        <v>3.3262032085561506E-2</v>
      </c>
    </row>
    <row r="164" spans="2:12" x14ac:dyDescent="0.45">
      <c r="I164" s="195">
        <f>SUM(I136:I163)</f>
        <v>7921544514.2299318</v>
      </c>
      <c r="L164" s="163">
        <f>SUM(L136:L163)</f>
        <v>1.0000000000000002</v>
      </c>
    </row>
  </sheetData>
  <mergeCells count="10">
    <mergeCell ref="I134:K134"/>
    <mergeCell ref="E134:G134"/>
    <mergeCell ref="D55:E55"/>
    <mergeCell ref="D22:D26"/>
    <mergeCell ref="D51:E51"/>
    <mergeCell ref="D27:D31"/>
    <mergeCell ref="D37:D41"/>
    <mergeCell ref="D65:E65"/>
    <mergeCell ref="D59:E59"/>
    <mergeCell ref="D32:D36"/>
  </mergeCells>
  <pageMargins left="0.7" right="0.7" top="0.75" bottom="0.75" header="0.3" footer="0.3"/>
  <pageSetup paperSize="9" scale="26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>
    <pageSetUpPr fitToPage="1"/>
  </sheetPr>
  <dimension ref="A1:AB115"/>
  <sheetViews>
    <sheetView rightToLeft="1" topLeftCell="I14" zoomScale="70" zoomScaleNormal="70" workbookViewId="0">
      <selection activeCell="S40" sqref="S40"/>
    </sheetView>
  </sheetViews>
  <sheetFormatPr defaultColWidth="9.1328125" defaultRowHeight="18.399999999999999" x14ac:dyDescent="0.85"/>
  <cols>
    <col min="1" max="1" width="21.6640625" style="1" customWidth="1"/>
    <col min="2" max="2" width="20" style="1" bestFit="1" customWidth="1"/>
    <col min="3" max="3" width="25.53125" style="1" bestFit="1" customWidth="1"/>
    <col min="4" max="4" width="23.6640625" style="1" customWidth="1"/>
    <col min="5" max="5" width="41" style="1" customWidth="1"/>
    <col min="6" max="6" width="13" style="52" customWidth="1"/>
    <col min="7" max="7" width="10.46484375" style="52" customWidth="1"/>
    <col min="8" max="9" width="20.6640625" style="52" customWidth="1"/>
    <col min="10" max="10" width="12.46484375" style="52" customWidth="1"/>
    <col min="11" max="11" width="17.1328125" style="52" customWidth="1"/>
    <col min="12" max="12" width="17.53125" style="52" customWidth="1"/>
    <col min="13" max="13" width="20" style="52" customWidth="1"/>
    <col min="14" max="14" width="16.1328125" style="52" customWidth="1"/>
    <col min="15" max="15" width="19.46484375" style="52" customWidth="1"/>
    <col min="16" max="16" width="13.6640625" style="52" customWidth="1"/>
    <col min="17" max="17" width="15.53125" style="52" customWidth="1"/>
    <col min="18" max="18" width="23.53125" style="52" customWidth="1"/>
    <col min="19" max="19" width="23.46484375" style="1" customWidth="1"/>
    <col min="20" max="20" width="4.86328125" style="1" customWidth="1"/>
    <col min="21" max="21" width="16.6640625" style="1" customWidth="1"/>
    <col min="22" max="22" width="17.1328125" style="1" bestFit="1" customWidth="1"/>
    <col min="23" max="24" width="12" style="1" customWidth="1"/>
    <col min="25" max="25" width="13.33203125" style="1" customWidth="1"/>
    <col min="26" max="26" width="12.1328125" style="1" customWidth="1"/>
    <col min="27" max="27" width="15.46484375" style="1" customWidth="1"/>
    <col min="28" max="28" width="10.46484375" style="1" customWidth="1"/>
    <col min="29" max="29" width="9.1328125" style="1" customWidth="1"/>
    <col min="30" max="16384" width="9.1328125" style="1"/>
  </cols>
  <sheetData>
    <row r="1" spans="1:28" ht="19.5" customHeight="1" thickBot="1" x14ac:dyDescent="0.9"/>
    <row r="2" spans="1:28" ht="19.5" customHeight="1" x14ac:dyDescent="0.9">
      <c r="A2" s="235" t="s">
        <v>206</v>
      </c>
      <c r="B2" s="235" t="s">
        <v>207</v>
      </c>
      <c r="C2" s="235" t="s">
        <v>208</v>
      </c>
      <c r="D2" s="235" t="s">
        <v>209</v>
      </c>
      <c r="E2" s="235" t="s">
        <v>210</v>
      </c>
      <c r="F2" s="18"/>
      <c r="N2" s="53"/>
      <c r="O2" s="53"/>
      <c r="P2" s="53"/>
      <c r="Q2" s="53"/>
      <c r="R2" s="53"/>
      <c r="S2" s="2"/>
      <c r="T2" s="412" t="s">
        <v>211</v>
      </c>
      <c r="U2" s="413"/>
      <c r="V2" s="413"/>
      <c r="W2" s="413"/>
      <c r="X2" s="413"/>
      <c r="Y2" s="413"/>
      <c r="Z2" s="413"/>
      <c r="AA2" s="413"/>
      <c r="AB2" s="414"/>
    </row>
    <row r="3" spans="1:28" ht="21" customHeight="1" x14ac:dyDescent="1">
      <c r="A3" s="7" t="s">
        <v>212</v>
      </c>
      <c r="B3" s="1" t="s">
        <v>213</v>
      </c>
      <c r="C3" s="1" t="s">
        <v>214</v>
      </c>
      <c r="D3" s="1" t="s">
        <v>17</v>
      </c>
      <c r="E3" s="1" t="s">
        <v>215</v>
      </c>
      <c r="F3" s="7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2"/>
      <c r="T3" s="11" t="s">
        <v>13</v>
      </c>
      <c r="U3" s="5" t="s">
        <v>84</v>
      </c>
      <c r="V3" s="5" t="s">
        <v>216</v>
      </c>
      <c r="W3" s="3" t="str">
        <f>E3</f>
        <v>ساده</v>
      </c>
      <c r="X3" s="3" t="str">
        <f>E4</f>
        <v>معمولی</v>
      </c>
      <c r="Y3" s="3" t="str">
        <f>E5</f>
        <v>پیچیده</v>
      </c>
      <c r="Z3" s="3" t="str">
        <f>E6</f>
        <v>بسیار پیچیده</v>
      </c>
      <c r="AA3" s="3" t="str">
        <f>E7</f>
        <v>فوق العاده پیچیده</v>
      </c>
      <c r="AB3" s="12" t="s">
        <v>217</v>
      </c>
    </row>
    <row r="4" spans="1:28" x14ac:dyDescent="0.85">
      <c r="A4" s="7" t="s">
        <v>29</v>
      </c>
      <c r="B4" s="1" t="s">
        <v>218</v>
      </c>
      <c r="C4" s="1" t="s">
        <v>31</v>
      </c>
      <c r="D4" s="1" t="s">
        <v>219</v>
      </c>
      <c r="E4" s="1" t="s">
        <v>32</v>
      </c>
      <c r="F4" s="7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19"/>
      <c r="T4" s="13">
        <v>4</v>
      </c>
      <c r="U4" s="415" t="s">
        <v>91</v>
      </c>
      <c r="V4" s="61" t="str">
        <f>A3</f>
        <v>فرم</v>
      </c>
      <c r="W4" s="4">
        <v>40</v>
      </c>
      <c r="X4" s="4">
        <v>80</v>
      </c>
      <c r="Y4" s="4">
        <v>120</v>
      </c>
      <c r="Z4" s="4">
        <v>160</v>
      </c>
      <c r="AA4" s="4">
        <v>240</v>
      </c>
      <c r="AB4" s="14" t="s">
        <v>69</v>
      </c>
    </row>
    <row r="5" spans="1:28" x14ac:dyDescent="0.85">
      <c r="A5" s="7" t="s">
        <v>220</v>
      </c>
      <c r="B5" s="1" t="s">
        <v>7</v>
      </c>
      <c r="C5" s="1" t="s">
        <v>221</v>
      </c>
      <c r="D5" s="1" t="s">
        <v>221</v>
      </c>
      <c r="E5" s="1" t="s">
        <v>222</v>
      </c>
      <c r="F5" s="7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19"/>
      <c r="T5" s="13">
        <v>5</v>
      </c>
      <c r="U5" s="416"/>
      <c r="V5" s="99" t="str">
        <f>A4</f>
        <v>پردازش</v>
      </c>
      <c r="W5" s="100">
        <v>60</v>
      </c>
      <c r="X5" s="100">
        <v>120</v>
      </c>
      <c r="Y5" s="100">
        <v>180</v>
      </c>
      <c r="Z5" s="100">
        <v>240</v>
      </c>
      <c r="AA5" s="100">
        <v>360</v>
      </c>
      <c r="AB5" s="101" t="s">
        <v>69</v>
      </c>
    </row>
    <row r="6" spans="1:28" ht="19.5" customHeight="1" x14ac:dyDescent="0.85">
      <c r="A6" s="7" t="s">
        <v>223</v>
      </c>
      <c r="B6" s="1" t="s">
        <v>224</v>
      </c>
      <c r="E6" s="1" t="s">
        <v>225</v>
      </c>
      <c r="F6" s="7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19"/>
      <c r="T6" s="13">
        <v>6</v>
      </c>
      <c r="U6" s="416"/>
      <c r="V6" s="99" t="str">
        <f>A5</f>
        <v>سرویس</v>
      </c>
      <c r="W6" s="100">
        <v>60</v>
      </c>
      <c r="X6" s="100">
        <v>120</v>
      </c>
      <c r="Y6" s="100">
        <v>180</v>
      </c>
      <c r="Z6" s="100">
        <v>240</v>
      </c>
      <c r="AA6" s="100">
        <v>360</v>
      </c>
      <c r="AB6" s="101" t="s">
        <v>69</v>
      </c>
    </row>
    <row r="7" spans="1:28" ht="19.5" customHeight="1" thickBot="1" x14ac:dyDescent="0.9">
      <c r="A7" s="7" t="s">
        <v>226</v>
      </c>
      <c r="B7" s="1" t="s">
        <v>227</v>
      </c>
      <c r="E7" s="1" t="s">
        <v>30</v>
      </c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19"/>
      <c r="T7" s="15">
        <v>7</v>
      </c>
      <c r="U7" s="417"/>
      <c r="V7" s="62" t="str">
        <f>A6</f>
        <v>گزارش</v>
      </c>
      <c r="W7" s="16">
        <v>60</v>
      </c>
      <c r="X7" s="16">
        <v>120</v>
      </c>
      <c r="Y7" s="16">
        <v>180</v>
      </c>
      <c r="Z7" s="16">
        <v>240</v>
      </c>
      <c r="AA7" s="16">
        <v>360</v>
      </c>
      <c r="AB7" s="17" t="s">
        <v>69</v>
      </c>
    </row>
    <row r="8" spans="1:28" x14ac:dyDescent="0.85">
      <c r="A8" s="7" t="s">
        <v>228</v>
      </c>
      <c r="B8" s="1" t="s">
        <v>229</v>
      </c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19"/>
    </row>
    <row r="9" spans="1:28" x14ac:dyDescent="0.85">
      <c r="A9" s="6" t="s">
        <v>94</v>
      </c>
      <c r="B9" s="1" t="s">
        <v>230</v>
      </c>
    </row>
    <row r="10" spans="1:28" ht="39.75" customHeight="1" x14ac:dyDescent="1">
      <c r="A10" s="1" t="s">
        <v>231</v>
      </c>
      <c r="B10" s="1" t="s">
        <v>58</v>
      </c>
      <c r="F10" s="56" t="s">
        <v>213</v>
      </c>
      <c r="G10" s="56" t="s">
        <v>218</v>
      </c>
      <c r="H10" s="55" t="s">
        <v>7</v>
      </c>
      <c r="I10" s="55" t="s">
        <v>224</v>
      </c>
      <c r="J10" s="55" t="s">
        <v>227</v>
      </c>
      <c r="K10" s="55" t="s">
        <v>229</v>
      </c>
      <c r="L10" s="55" t="s">
        <v>230</v>
      </c>
      <c r="M10" s="55" t="s">
        <v>58</v>
      </c>
      <c r="N10" s="55" t="s">
        <v>60</v>
      </c>
      <c r="O10" s="170" t="s">
        <v>62</v>
      </c>
      <c r="P10" s="56" t="s">
        <v>232</v>
      </c>
      <c r="Q10" s="56" t="s">
        <v>68</v>
      </c>
      <c r="R10" s="56" t="s">
        <v>233</v>
      </c>
      <c r="T10" s="52"/>
      <c r="U10" s="135"/>
      <c r="V10" s="135"/>
      <c r="W10" s="136"/>
      <c r="X10" s="136"/>
      <c r="Y10" s="136"/>
      <c r="Z10" s="136"/>
      <c r="AA10" s="136"/>
    </row>
    <row r="11" spans="1:28" ht="19.5" customHeight="1" x14ac:dyDescent="0.9">
      <c r="B11" s="1" t="s">
        <v>60</v>
      </c>
      <c r="E11" s="57" t="s">
        <v>5</v>
      </c>
      <c r="F11" s="58">
        <v>1</v>
      </c>
      <c r="G11" s="58">
        <v>1</v>
      </c>
      <c r="H11" s="58">
        <v>1</v>
      </c>
      <c r="I11" s="58">
        <v>1</v>
      </c>
      <c r="J11" s="58">
        <v>1</v>
      </c>
      <c r="K11" s="58">
        <v>1</v>
      </c>
      <c r="L11" s="58">
        <v>1</v>
      </c>
      <c r="M11" s="58">
        <v>1</v>
      </c>
      <c r="N11" s="58">
        <v>1</v>
      </c>
      <c r="O11" s="96">
        <v>1</v>
      </c>
      <c r="P11" s="58">
        <v>1</v>
      </c>
      <c r="Q11" s="58">
        <v>1</v>
      </c>
      <c r="R11" s="58">
        <v>1</v>
      </c>
      <c r="W11" s="133" t="s">
        <v>176</v>
      </c>
      <c r="X11" s="133" t="s">
        <v>177</v>
      </c>
      <c r="Y11" s="133" t="s">
        <v>178</v>
      </c>
      <c r="Z11" s="137"/>
      <c r="AA11" s="2"/>
    </row>
    <row r="12" spans="1:28" ht="19.5" customHeight="1" x14ac:dyDescent="0.9">
      <c r="B12" s="1" t="s">
        <v>62</v>
      </c>
      <c r="E12" s="57" t="s">
        <v>70</v>
      </c>
      <c r="F12" s="58">
        <v>1</v>
      </c>
      <c r="G12" s="241">
        <v>0</v>
      </c>
      <c r="H12" s="241">
        <v>0</v>
      </c>
      <c r="I12" s="241">
        <v>0</v>
      </c>
      <c r="J12" s="241">
        <v>0</v>
      </c>
      <c r="K12" s="241">
        <v>0</v>
      </c>
      <c r="L12" s="241">
        <v>0</v>
      </c>
      <c r="M12" s="241">
        <v>0</v>
      </c>
      <c r="N12" s="241">
        <v>0</v>
      </c>
      <c r="O12" s="97">
        <v>1</v>
      </c>
      <c r="P12" s="58">
        <v>1</v>
      </c>
      <c r="Q12" s="58">
        <v>1</v>
      </c>
      <c r="R12" s="58">
        <v>1</v>
      </c>
      <c r="T12" s="419" t="s">
        <v>234</v>
      </c>
      <c r="U12" s="418" t="str">
        <f>A3</f>
        <v>فرم</v>
      </c>
      <c r="V12" s="138" t="str">
        <f>E3</f>
        <v>ساده</v>
      </c>
      <c r="W12" s="128">
        <v>4</v>
      </c>
      <c r="X12" s="128">
        <v>9</v>
      </c>
      <c r="Y12" s="128">
        <v>2</v>
      </c>
      <c r="AA12" s="2"/>
    </row>
    <row r="13" spans="1:28" ht="19.5" customHeight="1" x14ac:dyDescent="0.9">
      <c r="B13" s="1" t="s">
        <v>232</v>
      </c>
      <c r="E13" s="57" t="s">
        <v>71</v>
      </c>
      <c r="F13" s="241">
        <v>0</v>
      </c>
      <c r="G13" s="58">
        <v>1</v>
      </c>
      <c r="H13" s="58">
        <v>1</v>
      </c>
      <c r="I13" s="58">
        <v>1</v>
      </c>
      <c r="J13" s="58">
        <v>1</v>
      </c>
      <c r="K13" s="58">
        <v>1</v>
      </c>
      <c r="L13" s="58">
        <v>1</v>
      </c>
      <c r="M13" s="241">
        <v>0</v>
      </c>
      <c r="N13" s="241">
        <v>0</v>
      </c>
      <c r="O13" s="97">
        <v>1</v>
      </c>
      <c r="P13" s="58">
        <v>1</v>
      </c>
      <c r="Q13" s="58">
        <v>1</v>
      </c>
      <c r="R13" s="58">
        <v>1</v>
      </c>
      <c r="T13" s="347"/>
      <c r="U13" s="347"/>
      <c r="V13" s="138" t="str">
        <f>E4</f>
        <v>معمولی</v>
      </c>
      <c r="W13" s="128">
        <v>7</v>
      </c>
      <c r="X13" s="128">
        <v>18</v>
      </c>
      <c r="Y13" s="128">
        <v>4</v>
      </c>
      <c r="AA13" s="2"/>
    </row>
    <row r="14" spans="1:28" ht="19.5" customHeight="1" x14ac:dyDescent="0.9">
      <c r="B14" s="1" t="s">
        <v>68</v>
      </c>
      <c r="E14" s="57" t="s">
        <v>72</v>
      </c>
      <c r="F14" s="241">
        <v>0</v>
      </c>
      <c r="G14" s="58">
        <v>1</v>
      </c>
      <c r="H14" s="58">
        <v>1</v>
      </c>
      <c r="I14" s="58">
        <v>1</v>
      </c>
      <c r="J14" s="58">
        <v>1</v>
      </c>
      <c r="K14" s="58">
        <v>1</v>
      </c>
      <c r="L14" s="58">
        <v>1</v>
      </c>
      <c r="M14" s="241">
        <v>0</v>
      </c>
      <c r="N14" s="241">
        <v>0</v>
      </c>
      <c r="O14" s="97">
        <v>1</v>
      </c>
      <c r="P14" s="58">
        <v>1</v>
      </c>
      <c r="Q14" s="58">
        <v>1</v>
      </c>
      <c r="R14" s="58">
        <v>1</v>
      </c>
      <c r="T14" s="347"/>
      <c r="U14" s="347"/>
      <c r="V14" s="138" t="str">
        <f>E5</f>
        <v>پیچیده</v>
      </c>
      <c r="W14" s="128">
        <v>11</v>
      </c>
      <c r="X14" s="128">
        <v>27</v>
      </c>
      <c r="Y14" s="128">
        <v>6</v>
      </c>
      <c r="AA14" s="2"/>
    </row>
    <row r="15" spans="1:28" ht="19.5" customHeight="1" x14ac:dyDescent="0.9">
      <c r="B15" s="1" t="s">
        <v>233</v>
      </c>
      <c r="E15" s="57" t="s">
        <v>73</v>
      </c>
      <c r="F15" s="241">
        <v>0</v>
      </c>
      <c r="G15" s="58">
        <v>1</v>
      </c>
      <c r="H15" s="58">
        <v>1</v>
      </c>
      <c r="I15" s="58">
        <v>1</v>
      </c>
      <c r="J15" s="58">
        <v>1</v>
      </c>
      <c r="K15" s="58">
        <v>1</v>
      </c>
      <c r="L15" s="58">
        <v>1</v>
      </c>
      <c r="M15" s="241">
        <v>0</v>
      </c>
      <c r="N15" s="241">
        <v>0</v>
      </c>
      <c r="O15" s="97">
        <v>1</v>
      </c>
      <c r="P15" s="58">
        <v>1</v>
      </c>
      <c r="Q15" s="58">
        <v>1</v>
      </c>
      <c r="R15" s="58">
        <v>1</v>
      </c>
      <c r="T15" s="347"/>
      <c r="U15" s="347"/>
      <c r="V15" s="138" t="str">
        <f>E6</f>
        <v>بسیار پیچیده</v>
      </c>
      <c r="W15" s="128">
        <v>14</v>
      </c>
      <c r="X15" s="128">
        <v>35</v>
      </c>
      <c r="Y15" s="128">
        <v>9</v>
      </c>
    </row>
    <row r="16" spans="1:28" ht="21" customHeight="1" x14ac:dyDescent="1">
      <c r="E16" s="57" t="s">
        <v>74</v>
      </c>
      <c r="F16" s="241">
        <v>0</v>
      </c>
      <c r="G16" s="58">
        <v>1</v>
      </c>
      <c r="H16" s="58">
        <v>1</v>
      </c>
      <c r="I16" s="58">
        <v>1</v>
      </c>
      <c r="J16" s="58">
        <v>1</v>
      </c>
      <c r="K16" s="58">
        <v>1</v>
      </c>
      <c r="L16" s="58">
        <v>1</v>
      </c>
      <c r="M16" s="241">
        <v>0</v>
      </c>
      <c r="N16" s="241">
        <v>0</v>
      </c>
      <c r="O16" s="97">
        <v>1</v>
      </c>
      <c r="P16" s="58">
        <v>1</v>
      </c>
      <c r="Q16" s="58">
        <v>1</v>
      </c>
      <c r="R16" s="58">
        <v>1</v>
      </c>
      <c r="T16" s="347"/>
      <c r="U16" s="348"/>
      <c r="V16" s="138" t="str">
        <f>E7</f>
        <v>فوق العاده پیچیده</v>
      </c>
      <c r="W16" s="128">
        <v>21</v>
      </c>
      <c r="X16" s="128">
        <v>53</v>
      </c>
      <c r="Y16" s="128">
        <v>13</v>
      </c>
      <c r="AA16" s="136"/>
    </row>
    <row r="17" spans="1:27" ht="19.5" customHeight="1" x14ac:dyDescent="0.9">
      <c r="E17" s="57" t="s">
        <v>75</v>
      </c>
      <c r="F17" s="241">
        <v>0</v>
      </c>
      <c r="G17" s="241">
        <v>0</v>
      </c>
      <c r="H17" s="241">
        <v>0</v>
      </c>
      <c r="I17" s="241">
        <v>0</v>
      </c>
      <c r="J17" s="241">
        <v>0</v>
      </c>
      <c r="K17" s="241">
        <v>0</v>
      </c>
      <c r="L17" s="241">
        <v>0</v>
      </c>
      <c r="M17" s="58">
        <v>1</v>
      </c>
      <c r="N17" s="241">
        <v>0</v>
      </c>
      <c r="O17" s="97">
        <v>1</v>
      </c>
      <c r="P17" s="241">
        <v>0</v>
      </c>
      <c r="Q17" s="241">
        <v>0</v>
      </c>
      <c r="R17" s="58">
        <v>1</v>
      </c>
      <c r="T17" s="347"/>
      <c r="U17" s="418" t="str">
        <f>A4</f>
        <v>پردازش</v>
      </c>
      <c r="V17" s="138" t="str">
        <f>E3</f>
        <v>ساده</v>
      </c>
      <c r="W17" s="128">
        <v>6</v>
      </c>
      <c r="X17" s="128">
        <v>14</v>
      </c>
      <c r="Y17" s="128">
        <v>3</v>
      </c>
      <c r="AA17" s="2"/>
    </row>
    <row r="18" spans="1:27" ht="19.5" customHeight="1" x14ac:dyDescent="0.9">
      <c r="A18" s="1" t="s">
        <v>235</v>
      </c>
      <c r="B18" s="1" t="s">
        <v>236</v>
      </c>
      <c r="E18" s="57" t="s">
        <v>76</v>
      </c>
      <c r="F18" s="241">
        <v>0</v>
      </c>
      <c r="G18" s="241">
        <v>0</v>
      </c>
      <c r="H18" s="241">
        <v>0</v>
      </c>
      <c r="I18" s="241">
        <v>0</v>
      </c>
      <c r="J18" s="241">
        <v>0</v>
      </c>
      <c r="K18" s="241">
        <v>0</v>
      </c>
      <c r="L18" s="241">
        <v>0</v>
      </c>
      <c r="M18" s="241">
        <v>0</v>
      </c>
      <c r="N18" s="58">
        <v>1</v>
      </c>
      <c r="O18" s="97">
        <v>1</v>
      </c>
      <c r="P18" s="241">
        <v>0</v>
      </c>
      <c r="Q18" s="241">
        <v>0</v>
      </c>
      <c r="R18" s="58">
        <v>1</v>
      </c>
      <c r="T18" s="347"/>
      <c r="U18" s="347"/>
      <c r="V18" s="138" t="str">
        <f>E4</f>
        <v>معمولی</v>
      </c>
      <c r="W18" s="128">
        <v>11</v>
      </c>
      <c r="X18" s="128">
        <v>27</v>
      </c>
      <c r="Y18" s="128">
        <v>6</v>
      </c>
      <c r="AA18" s="2"/>
    </row>
    <row r="19" spans="1:27" ht="19.5" customHeight="1" x14ac:dyDescent="0.9">
      <c r="A19" s="1">
        <v>160</v>
      </c>
      <c r="B19" s="204">
        <v>0.3</v>
      </c>
      <c r="E19" s="57" t="s">
        <v>77</v>
      </c>
      <c r="F19" s="241">
        <v>0</v>
      </c>
      <c r="G19" s="241">
        <v>0</v>
      </c>
      <c r="H19" s="241">
        <v>0</v>
      </c>
      <c r="I19" s="241">
        <v>0</v>
      </c>
      <c r="J19" s="241">
        <v>0</v>
      </c>
      <c r="K19" s="241">
        <v>0</v>
      </c>
      <c r="L19" s="241">
        <v>0</v>
      </c>
      <c r="M19" s="241">
        <v>0</v>
      </c>
      <c r="N19" s="58">
        <v>1</v>
      </c>
      <c r="O19" s="97">
        <v>1</v>
      </c>
      <c r="P19" s="241">
        <v>0</v>
      </c>
      <c r="Q19" s="241">
        <v>0</v>
      </c>
      <c r="R19" s="58">
        <v>1</v>
      </c>
      <c r="T19" s="347"/>
      <c r="U19" s="347"/>
      <c r="V19" s="138" t="str">
        <f>E5</f>
        <v>پیچیده</v>
      </c>
      <c r="W19" s="128">
        <v>17</v>
      </c>
      <c r="X19" s="128">
        <v>41</v>
      </c>
      <c r="Y19" s="128">
        <v>9</v>
      </c>
      <c r="AA19" s="2"/>
    </row>
    <row r="20" spans="1:27" ht="19.5" customHeight="1" x14ac:dyDescent="0.9">
      <c r="E20" s="57" t="s">
        <v>78</v>
      </c>
      <c r="F20" s="241">
        <v>0</v>
      </c>
      <c r="G20" s="241">
        <v>0</v>
      </c>
      <c r="H20" s="241">
        <v>0</v>
      </c>
      <c r="I20" s="241">
        <v>0</v>
      </c>
      <c r="J20" s="241">
        <v>0</v>
      </c>
      <c r="K20" s="241">
        <v>0</v>
      </c>
      <c r="L20" s="241">
        <v>0</v>
      </c>
      <c r="M20" s="241">
        <v>0</v>
      </c>
      <c r="N20" s="241">
        <v>0</v>
      </c>
      <c r="O20" s="97">
        <v>1</v>
      </c>
      <c r="P20" s="241">
        <v>0</v>
      </c>
      <c r="Q20" s="241">
        <v>0</v>
      </c>
      <c r="R20" s="58">
        <v>1</v>
      </c>
      <c r="T20" s="347"/>
      <c r="U20" s="347"/>
      <c r="V20" s="138" t="str">
        <f>E6</f>
        <v>بسیار پیچیده</v>
      </c>
      <c r="W20" s="128">
        <v>21</v>
      </c>
      <c r="X20" s="128">
        <v>53</v>
      </c>
      <c r="Y20" s="128">
        <v>14</v>
      </c>
      <c r="AA20" s="2"/>
    </row>
    <row r="21" spans="1:27" ht="19.5" customHeight="1" x14ac:dyDescent="0.9">
      <c r="E21" s="57" t="s">
        <v>9</v>
      </c>
      <c r="F21" s="58">
        <v>1</v>
      </c>
      <c r="G21" s="58">
        <v>1</v>
      </c>
      <c r="H21" s="58">
        <v>1</v>
      </c>
      <c r="I21" s="58">
        <v>1</v>
      </c>
      <c r="J21" s="58">
        <v>1</v>
      </c>
      <c r="K21" s="58">
        <v>1</v>
      </c>
      <c r="L21" s="58">
        <v>1</v>
      </c>
      <c r="M21" s="58">
        <v>1</v>
      </c>
      <c r="N21" s="58">
        <v>1</v>
      </c>
      <c r="O21" s="58">
        <v>1</v>
      </c>
      <c r="P21" s="58">
        <v>1</v>
      </c>
      <c r="Q21" s="58">
        <v>1</v>
      </c>
      <c r="R21" s="58">
        <v>1</v>
      </c>
      <c r="T21" s="347"/>
      <c r="U21" s="348"/>
      <c r="V21" s="138" t="str">
        <f>E7</f>
        <v>فوق العاده پیچیده</v>
      </c>
      <c r="W21" s="128">
        <v>32</v>
      </c>
      <c r="X21" s="128">
        <v>80</v>
      </c>
      <c r="Y21" s="128">
        <v>20</v>
      </c>
    </row>
    <row r="22" spans="1:27" ht="21" customHeight="1" x14ac:dyDescent="1">
      <c r="E22" s="199"/>
      <c r="F22" s="93"/>
      <c r="G22" s="93"/>
      <c r="H22" s="93"/>
      <c r="I22" s="93"/>
      <c r="J22" s="93"/>
      <c r="K22" s="93"/>
      <c r="L22" s="93"/>
      <c r="M22" s="93"/>
      <c r="N22" s="93"/>
      <c r="T22" s="347"/>
      <c r="U22" s="418" t="str">
        <f>A5</f>
        <v>سرویس</v>
      </c>
      <c r="V22" s="138" t="str">
        <f>E3</f>
        <v>ساده</v>
      </c>
      <c r="W22" s="128">
        <v>6</v>
      </c>
      <c r="X22" s="128">
        <v>14</v>
      </c>
      <c r="Y22" s="128">
        <v>3</v>
      </c>
      <c r="AA22" s="136"/>
    </row>
    <row r="23" spans="1:27" ht="19.5" customHeight="1" x14ac:dyDescent="0.9">
      <c r="E23" s="199"/>
      <c r="F23" s="93"/>
      <c r="G23" s="93"/>
      <c r="H23" s="93"/>
      <c r="I23" s="93"/>
      <c r="J23" s="93"/>
      <c r="K23" s="93"/>
      <c r="L23" s="93"/>
      <c r="M23" s="93"/>
      <c r="N23" s="93"/>
      <c r="T23" s="347"/>
      <c r="U23" s="347"/>
      <c r="V23" s="138" t="str">
        <f>E4</f>
        <v>معمولی</v>
      </c>
      <c r="W23" s="128">
        <v>11</v>
      </c>
      <c r="X23" s="128">
        <v>27</v>
      </c>
      <c r="Y23" s="128">
        <v>6</v>
      </c>
      <c r="AA23" s="2"/>
    </row>
    <row r="24" spans="1:27" ht="18.75" customHeight="1" x14ac:dyDescent="0.85">
      <c r="I24" s="93"/>
      <c r="J24" s="93"/>
      <c r="K24" s="93"/>
      <c r="T24" s="347"/>
      <c r="U24" s="347"/>
      <c r="V24" s="138" t="str">
        <f>E5</f>
        <v>پیچیده</v>
      </c>
      <c r="W24" s="128">
        <v>17</v>
      </c>
      <c r="X24" s="128">
        <v>41</v>
      </c>
      <c r="Y24" s="128">
        <v>9</v>
      </c>
      <c r="AA24" s="2"/>
    </row>
    <row r="25" spans="1:27" ht="21" customHeight="1" x14ac:dyDescent="1">
      <c r="A25" s="228"/>
      <c r="B25" s="228"/>
      <c r="C25" s="228"/>
      <c r="I25" s="93"/>
      <c r="J25" s="93"/>
      <c r="K25" s="93"/>
      <c r="T25" s="347"/>
      <c r="U25" s="347"/>
      <c r="V25" s="138" t="str">
        <f>E6</f>
        <v>بسیار پیچیده</v>
      </c>
      <c r="W25" s="128">
        <v>21</v>
      </c>
      <c r="X25" s="128">
        <v>53</v>
      </c>
      <c r="Y25" s="128">
        <v>14</v>
      </c>
      <c r="AA25" s="2"/>
    </row>
    <row r="26" spans="1:27" ht="19.5" customHeight="1" x14ac:dyDescent="0.9">
      <c r="B26" s="2"/>
      <c r="E26" s="199"/>
      <c r="F26" s="93"/>
      <c r="G26" s="93"/>
      <c r="H26" s="93"/>
      <c r="I26" s="93"/>
      <c r="J26" s="93"/>
      <c r="K26" s="93"/>
      <c r="L26" s="93"/>
      <c r="M26" s="93"/>
      <c r="N26" s="93"/>
      <c r="T26" s="347"/>
      <c r="U26" s="348"/>
      <c r="V26" s="138" t="str">
        <f>E7</f>
        <v>فوق العاده پیچیده</v>
      </c>
      <c r="W26" s="128">
        <v>32</v>
      </c>
      <c r="X26" s="128">
        <v>80</v>
      </c>
      <c r="Y26" s="128">
        <v>20</v>
      </c>
      <c r="AA26" s="2"/>
    </row>
    <row r="27" spans="1:27" ht="19.5" customHeight="1" x14ac:dyDescent="0.9">
      <c r="B27" s="31"/>
      <c r="E27" s="199"/>
      <c r="F27" s="93"/>
      <c r="G27" s="93"/>
      <c r="H27" s="93"/>
      <c r="I27" s="93"/>
      <c r="J27" s="93"/>
      <c r="K27" s="93"/>
      <c r="L27" s="93"/>
      <c r="M27" s="93"/>
      <c r="N27" s="93"/>
      <c r="T27" s="347"/>
      <c r="U27" s="418" t="str">
        <f>A6</f>
        <v>گزارش</v>
      </c>
      <c r="V27" s="138" t="str">
        <f>E3</f>
        <v>ساده</v>
      </c>
      <c r="W27" s="128">
        <v>6</v>
      </c>
      <c r="X27" s="128">
        <v>14</v>
      </c>
      <c r="Y27" s="128">
        <v>3</v>
      </c>
    </row>
    <row r="28" spans="1:27" x14ac:dyDescent="0.85">
      <c r="B28" s="31"/>
      <c r="I28" s="93"/>
      <c r="J28" s="93"/>
      <c r="K28" s="93"/>
      <c r="T28" s="347"/>
      <c r="U28" s="347"/>
      <c r="V28" s="138" t="str">
        <f>E4</f>
        <v>معمولی</v>
      </c>
      <c r="W28" s="128">
        <v>11</v>
      </c>
      <c r="X28" s="128">
        <v>27</v>
      </c>
      <c r="Y28" s="128">
        <v>6</v>
      </c>
    </row>
    <row r="29" spans="1:27" x14ac:dyDescent="0.85">
      <c r="B29" s="31"/>
      <c r="I29" s="93"/>
      <c r="J29" s="93"/>
      <c r="K29" s="93"/>
      <c r="T29" s="347"/>
      <c r="U29" s="347"/>
      <c r="V29" s="138" t="str">
        <f>E5</f>
        <v>پیچیده</v>
      </c>
      <c r="W29" s="128">
        <v>17</v>
      </c>
      <c r="X29" s="128">
        <v>41</v>
      </c>
      <c r="Y29" s="128">
        <v>9</v>
      </c>
    </row>
    <row r="30" spans="1:27" ht="37.5" customHeight="1" x14ac:dyDescent="0.9">
      <c r="A30" s="239" t="s">
        <v>237</v>
      </c>
      <c r="B30" s="31"/>
      <c r="E30" s="220"/>
      <c r="F30" s="221" t="s">
        <v>58</v>
      </c>
      <c r="G30" s="221" t="s">
        <v>60</v>
      </c>
      <c r="H30" s="221" t="s">
        <v>62</v>
      </c>
      <c r="I30" s="221" t="s">
        <v>238</v>
      </c>
      <c r="J30" s="93"/>
      <c r="K30" s="93"/>
      <c r="T30" s="347"/>
      <c r="U30" s="347"/>
      <c r="V30" s="138" t="str">
        <f>E6</f>
        <v>بسیار پیچیده</v>
      </c>
      <c r="W30" s="128">
        <v>21</v>
      </c>
      <c r="X30" s="128">
        <v>53</v>
      </c>
      <c r="Y30" s="128">
        <v>14</v>
      </c>
    </row>
    <row r="31" spans="1:27" x14ac:dyDescent="0.85">
      <c r="A31" s="1" t="s">
        <v>239</v>
      </c>
      <c r="E31" s="223" t="s">
        <v>11</v>
      </c>
      <c r="F31" s="222">
        <v>0.04</v>
      </c>
      <c r="G31" s="222">
        <v>0.04</v>
      </c>
      <c r="H31" s="222">
        <v>7.0000000000000007E-2</v>
      </c>
      <c r="I31" s="222">
        <v>7.0000000000000007E-2</v>
      </c>
      <c r="T31" s="348"/>
      <c r="U31" s="348"/>
      <c r="V31" s="138" t="str">
        <f>E7</f>
        <v>فوق العاده پیچیده</v>
      </c>
      <c r="W31" s="128">
        <v>32</v>
      </c>
      <c r="X31" s="128">
        <v>80</v>
      </c>
      <c r="Y31" s="128">
        <v>20</v>
      </c>
    </row>
    <row r="32" spans="1:27" x14ac:dyDescent="0.85">
      <c r="A32" s="1" t="s">
        <v>240</v>
      </c>
      <c r="E32" s="223" t="s">
        <v>241</v>
      </c>
      <c r="F32" s="222">
        <v>0</v>
      </c>
      <c r="G32" s="222">
        <v>0</v>
      </c>
      <c r="H32" s="222">
        <v>0</v>
      </c>
      <c r="I32" s="222">
        <v>7.0000000000000007E-2</v>
      </c>
    </row>
    <row r="33" spans="1:19" x14ac:dyDescent="0.85">
      <c r="A33" s="1" t="s">
        <v>242</v>
      </c>
      <c r="E33" s="223" t="s">
        <v>243</v>
      </c>
      <c r="F33" s="222">
        <v>0</v>
      </c>
      <c r="G33" s="222">
        <v>0</v>
      </c>
      <c r="H33" s="222">
        <v>0</v>
      </c>
      <c r="I33" s="222">
        <v>7.0000000000000007E-2</v>
      </c>
    </row>
    <row r="34" spans="1:19" x14ac:dyDescent="0.85">
      <c r="A34" s="1" t="s">
        <v>244</v>
      </c>
      <c r="E34" s="223" t="s">
        <v>245</v>
      </c>
      <c r="F34" s="222">
        <v>0</v>
      </c>
      <c r="G34" s="222">
        <v>0</v>
      </c>
      <c r="H34" s="222">
        <v>0</v>
      </c>
      <c r="I34" s="222">
        <v>7.0000000000000007E-2</v>
      </c>
    </row>
    <row r="35" spans="1:19" x14ac:dyDescent="0.85">
      <c r="A35" s="1" t="s">
        <v>246</v>
      </c>
      <c r="E35" s="223" t="s">
        <v>247</v>
      </c>
      <c r="F35" s="222">
        <v>0</v>
      </c>
      <c r="G35" s="222">
        <v>0</v>
      </c>
      <c r="H35" s="222">
        <v>0</v>
      </c>
      <c r="I35" s="222">
        <v>7.0000000000000007E-2</v>
      </c>
    </row>
    <row r="36" spans="1:19" x14ac:dyDescent="0.85">
      <c r="A36" s="1" t="s">
        <v>248</v>
      </c>
      <c r="E36" s="225" t="e">
        <f>Scope!#REF!</f>
        <v>#REF!</v>
      </c>
      <c r="F36" s="224">
        <f>IFERROR(VLOOKUP(E36, E30:I35, 2, FALSE),0)</f>
        <v>0</v>
      </c>
      <c r="G36" s="224">
        <f>IFERROR(VLOOKUP(E36, E30:I35, 3, FALSE),0)</f>
        <v>0</v>
      </c>
      <c r="H36" s="224">
        <f>IFERROR(VLOOKUP(E36, E30:I35, 4, FALSE),0)</f>
        <v>0</v>
      </c>
      <c r="I36" s="224">
        <f>IFERROR(VLOOKUP(E36, E30:I35, 5, FALSE),0)</f>
        <v>0</v>
      </c>
    </row>
    <row r="37" spans="1:19" x14ac:dyDescent="0.85">
      <c r="A37" s="1" t="s">
        <v>249</v>
      </c>
      <c r="Q37" s="158">
        <v>1</v>
      </c>
      <c r="R37" s="158" t="s">
        <v>5</v>
      </c>
      <c r="S37" s="159">
        <v>230385000</v>
      </c>
    </row>
    <row r="38" spans="1:19" x14ac:dyDescent="0.85">
      <c r="A38" s="1" t="s">
        <v>250</v>
      </c>
      <c r="Q38" s="158">
        <v>2</v>
      </c>
      <c r="R38" s="158" t="s">
        <v>174</v>
      </c>
      <c r="S38" s="159">
        <v>153260000</v>
      </c>
    </row>
    <row r="39" spans="1:19" x14ac:dyDescent="0.85">
      <c r="Q39" s="158">
        <v>3</v>
      </c>
      <c r="R39" s="158" t="s">
        <v>175</v>
      </c>
      <c r="S39" s="159">
        <v>156900000</v>
      </c>
    </row>
    <row r="40" spans="1:19" x14ac:dyDescent="0.85">
      <c r="Q40" s="158">
        <v>4</v>
      </c>
      <c r="R40" s="158" t="s">
        <v>176</v>
      </c>
      <c r="S40" s="159">
        <v>233752781</v>
      </c>
    </row>
    <row r="41" spans="1:19" x14ac:dyDescent="0.85">
      <c r="Q41" s="158">
        <v>5</v>
      </c>
      <c r="R41" s="158" t="s">
        <v>177</v>
      </c>
      <c r="S41" s="159">
        <v>182145024</v>
      </c>
    </row>
    <row r="42" spans="1:19" x14ac:dyDescent="0.85">
      <c r="Q42" s="158">
        <v>6</v>
      </c>
      <c r="R42" s="158" t="s">
        <v>178</v>
      </c>
      <c r="S42" s="159">
        <v>138126643</v>
      </c>
    </row>
    <row r="43" spans="1:19" ht="19.5" customHeight="1" x14ac:dyDescent="0.9">
      <c r="B43" s="239" t="s">
        <v>251</v>
      </c>
      <c r="Q43" s="158">
        <v>7</v>
      </c>
      <c r="R43" s="158" t="s">
        <v>73</v>
      </c>
      <c r="S43" s="159">
        <v>98524000</v>
      </c>
    </row>
    <row r="44" spans="1:19" x14ac:dyDescent="0.85">
      <c r="B44" s="1" t="s">
        <v>252</v>
      </c>
      <c r="Q44" s="158">
        <v>8</v>
      </c>
      <c r="R44" s="158" t="s">
        <v>74</v>
      </c>
      <c r="S44" s="159">
        <v>67948000</v>
      </c>
    </row>
    <row r="45" spans="1:19" x14ac:dyDescent="0.85">
      <c r="B45" s="1" t="s">
        <v>253</v>
      </c>
      <c r="Q45" s="158">
        <v>9</v>
      </c>
      <c r="R45" s="158" t="s">
        <v>179</v>
      </c>
      <c r="S45" s="159">
        <v>63701000</v>
      </c>
    </row>
    <row r="46" spans="1:19" x14ac:dyDescent="0.85">
      <c r="B46" s="1" t="s">
        <v>254</v>
      </c>
      <c r="Q46" s="158">
        <v>10</v>
      </c>
      <c r="R46" s="158" t="s">
        <v>180</v>
      </c>
      <c r="S46" s="159">
        <v>67948000</v>
      </c>
    </row>
    <row r="47" spans="1:19" x14ac:dyDescent="0.85">
      <c r="B47" s="1" t="s">
        <v>255</v>
      </c>
      <c r="Q47" s="158">
        <v>11</v>
      </c>
      <c r="R47" s="158" t="s">
        <v>181</v>
      </c>
      <c r="S47" s="159">
        <v>148636000</v>
      </c>
    </row>
    <row r="48" spans="1:19" x14ac:dyDescent="0.85">
      <c r="B48" s="1" t="s">
        <v>256</v>
      </c>
      <c r="Q48" s="158">
        <v>12</v>
      </c>
      <c r="R48" s="158" t="s">
        <v>182</v>
      </c>
      <c r="S48" s="159">
        <v>81537000</v>
      </c>
    </row>
    <row r="49" spans="2:19" x14ac:dyDescent="0.85">
      <c r="B49" s="1" t="s">
        <v>257</v>
      </c>
      <c r="Q49" s="158">
        <v>13</v>
      </c>
      <c r="R49" s="158" t="s">
        <v>183</v>
      </c>
      <c r="S49" s="159">
        <v>89181000</v>
      </c>
    </row>
    <row r="50" spans="2:19" x14ac:dyDescent="0.85">
      <c r="B50" s="1" t="s">
        <v>258</v>
      </c>
      <c r="Q50" s="158">
        <v>14</v>
      </c>
      <c r="R50" s="158" t="s">
        <v>184</v>
      </c>
      <c r="S50" s="159">
        <v>81537000</v>
      </c>
    </row>
    <row r="51" spans="2:19" x14ac:dyDescent="0.85">
      <c r="B51" s="1" t="s">
        <v>259</v>
      </c>
      <c r="Q51" s="158">
        <v>15</v>
      </c>
      <c r="R51" s="158" t="s">
        <v>185</v>
      </c>
      <c r="S51" s="159">
        <v>113246000</v>
      </c>
    </row>
    <row r="52" spans="2:19" x14ac:dyDescent="0.85">
      <c r="B52" s="1" t="s">
        <v>260</v>
      </c>
      <c r="Q52" s="158">
        <v>16</v>
      </c>
      <c r="R52" s="158" t="s">
        <v>186</v>
      </c>
      <c r="S52" s="159">
        <v>62285000</v>
      </c>
    </row>
    <row r="53" spans="2:19" x14ac:dyDescent="0.85">
      <c r="B53" s="1" t="s">
        <v>261</v>
      </c>
      <c r="Q53" s="158">
        <v>17</v>
      </c>
      <c r="R53" s="158" t="s">
        <v>187</v>
      </c>
      <c r="S53" s="159">
        <v>67948000</v>
      </c>
    </row>
    <row r="54" spans="2:19" x14ac:dyDescent="0.85">
      <c r="B54" s="1" t="s">
        <v>262</v>
      </c>
      <c r="Q54" s="158">
        <v>18</v>
      </c>
      <c r="R54" s="158" t="s">
        <v>188</v>
      </c>
      <c r="S54" s="159">
        <v>347421000</v>
      </c>
    </row>
    <row r="55" spans="2:19" x14ac:dyDescent="0.85">
      <c r="B55" s="1" t="s">
        <v>263</v>
      </c>
      <c r="Q55" s="158">
        <v>19</v>
      </c>
      <c r="R55" s="158" t="s">
        <v>189</v>
      </c>
      <c r="S55" s="159">
        <v>268783000</v>
      </c>
    </row>
    <row r="56" spans="2:19" x14ac:dyDescent="0.85">
      <c r="B56" s="1" t="s">
        <v>264</v>
      </c>
      <c r="Q56" s="158">
        <v>20</v>
      </c>
      <c r="R56" s="158" t="s">
        <v>190</v>
      </c>
      <c r="S56" s="159">
        <v>96613000</v>
      </c>
    </row>
    <row r="57" spans="2:19" x14ac:dyDescent="0.85">
      <c r="B57" s="1" t="s">
        <v>265</v>
      </c>
      <c r="Q57" s="158">
        <v>21</v>
      </c>
      <c r="R57" s="158" t="s">
        <v>191</v>
      </c>
      <c r="S57" s="159">
        <v>73610000</v>
      </c>
    </row>
    <row r="58" spans="2:19" x14ac:dyDescent="0.85">
      <c r="B58" s="1" t="s">
        <v>266</v>
      </c>
      <c r="Q58" s="158">
        <v>22</v>
      </c>
      <c r="R58" s="158" t="s">
        <v>192</v>
      </c>
      <c r="S58" s="159">
        <v>67476000</v>
      </c>
    </row>
    <row r="59" spans="2:19" x14ac:dyDescent="0.85">
      <c r="B59" s="1" t="s">
        <v>267</v>
      </c>
      <c r="Q59" s="158">
        <v>23</v>
      </c>
      <c r="R59" s="158" t="s">
        <v>78</v>
      </c>
      <c r="S59" s="159">
        <v>121386000</v>
      </c>
    </row>
    <row r="60" spans="2:19" x14ac:dyDescent="0.85">
      <c r="B60" s="1" t="s">
        <v>268</v>
      </c>
      <c r="Q60" s="158">
        <v>24</v>
      </c>
      <c r="R60" s="158" t="s">
        <v>9</v>
      </c>
      <c r="S60" s="159">
        <v>89181000</v>
      </c>
    </row>
    <row r="61" spans="2:19" x14ac:dyDescent="0.85">
      <c r="B61" s="1" t="s">
        <v>269</v>
      </c>
      <c r="Q61" s="158">
        <v>25</v>
      </c>
      <c r="R61" s="158" t="s">
        <v>193</v>
      </c>
      <c r="S61" s="159">
        <v>134486000</v>
      </c>
    </row>
    <row r="62" spans="2:19" x14ac:dyDescent="0.85">
      <c r="B62" s="1" t="s">
        <v>270</v>
      </c>
      <c r="Q62" s="158">
        <v>26</v>
      </c>
      <c r="R62" s="158" t="s">
        <v>194</v>
      </c>
      <c r="S62" s="159">
        <v>89181000</v>
      </c>
    </row>
    <row r="63" spans="2:19" x14ac:dyDescent="0.85">
      <c r="B63" s="1" t="s">
        <v>271</v>
      </c>
      <c r="Q63" s="158">
        <v>27</v>
      </c>
      <c r="R63" s="158" t="s">
        <v>195</v>
      </c>
      <c r="S63" s="159">
        <v>114945000</v>
      </c>
    </row>
    <row r="64" spans="2:19" x14ac:dyDescent="0.85">
      <c r="B64" s="1" t="s">
        <v>272</v>
      </c>
      <c r="Q64" s="158">
        <v>28</v>
      </c>
      <c r="R64" s="158" t="s">
        <v>196</v>
      </c>
      <c r="S64" s="159">
        <v>89181000</v>
      </c>
    </row>
    <row r="65" spans="2:2" x14ac:dyDescent="0.85">
      <c r="B65" s="1" t="s">
        <v>273</v>
      </c>
    </row>
    <row r="66" spans="2:2" x14ac:dyDescent="0.85">
      <c r="B66" s="1" t="s">
        <v>274</v>
      </c>
    </row>
    <row r="67" spans="2:2" x14ac:dyDescent="0.85">
      <c r="B67" s="1" t="s">
        <v>275</v>
      </c>
    </row>
    <row r="68" spans="2:2" x14ac:dyDescent="0.85">
      <c r="B68" s="1" t="s">
        <v>276</v>
      </c>
    </row>
    <row r="69" spans="2:2" x14ac:dyDescent="0.85">
      <c r="B69" s="1" t="s">
        <v>277</v>
      </c>
    </row>
    <row r="70" spans="2:2" x14ac:dyDescent="0.85">
      <c r="B70" s="1" t="s">
        <v>278</v>
      </c>
    </row>
    <row r="71" spans="2:2" x14ac:dyDescent="0.85">
      <c r="B71" s="1" t="s">
        <v>279</v>
      </c>
    </row>
    <row r="72" spans="2:2" x14ac:dyDescent="0.85">
      <c r="B72" s="1" t="s">
        <v>280</v>
      </c>
    </row>
    <row r="73" spans="2:2" x14ac:dyDescent="0.85">
      <c r="B73" s="1" t="s">
        <v>281</v>
      </c>
    </row>
    <row r="74" spans="2:2" x14ac:dyDescent="0.85">
      <c r="B74" s="1" t="s">
        <v>282</v>
      </c>
    </row>
    <row r="75" spans="2:2" x14ac:dyDescent="0.85">
      <c r="B75" s="1" t="s">
        <v>283</v>
      </c>
    </row>
    <row r="76" spans="2:2" x14ac:dyDescent="0.85">
      <c r="B76" s="1" t="s">
        <v>284</v>
      </c>
    </row>
    <row r="77" spans="2:2" x14ac:dyDescent="0.85">
      <c r="B77" s="1" t="s">
        <v>285</v>
      </c>
    </row>
    <row r="78" spans="2:2" x14ac:dyDescent="0.85">
      <c r="B78" s="1" t="s">
        <v>286</v>
      </c>
    </row>
    <row r="79" spans="2:2" x14ac:dyDescent="0.85">
      <c r="B79" s="1" t="s">
        <v>287</v>
      </c>
    </row>
    <row r="80" spans="2:2" x14ac:dyDescent="0.85">
      <c r="B80" s="1" t="s">
        <v>288</v>
      </c>
    </row>
    <row r="81" spans="2:2" x14ac:dyDescent="0.85">
      <c r="B81" s="1" t="s">
        <v>289</v>
      </c>
    </row>
    <row r="82" spans="2:2" x14ac:dyDescent="0.85">
      <c r="B82" s="1" t="s">
        <v>290</v>
      </c>
    </row>
    <row r="83" spans="2:2" x14ac:dyDescent="0.85">
      <c r="B83" s="1" t="s">
        <v>291</v>
      </c>
    </row>
    <row r="84" spans="2:2" x14ac:dyDescent="0.85">
      <c r="B84" s="1" t="s">
        <v>292</v>
      </c>
    </row>
    <row r="85" spans="2:2" x14ac:dyDescent="0.85">
      <c r="B85" s="1" t="s">
        <v>293</v>
      </c>
    </row>
    <row r="86" spans="2:2" x14ac:dyDescent="0.85">
      <c r="B86" s="1" t="s">
        <v>294</v>
      </c>
    </row>
    <row r="87" spans="2:2" x14ac:dyDescent="0.85">
      <c r="B87" s="1" t="s">
        <v>295</v>
      </c>
    </row>
    <row r="88" spans="2:2" x14ac:dyDescent="0.85">
      <c r="B88" s="1" t="s">
        <v>296</v>
      </c>
    </row>
    <row r="89" spans="2:2" x14ac:dyDescent="0.85">
      <c r="B89" s="1" t="s">
        <v>297</v>
      </c>
    </row>
    <row r="90" spans="2:2" x14ac:dyDescent="0.85">
      <c r="B90" s="1" t="s">
        <v>298</v>
      </c>
    </row>
    <row r="91" spans="2:2" x14ac:dyDescent="0.85">
      <c r="B91" s="1" t="s">
        <v>299</v>
      </c>
    </row>
    <row r="92" spans="2:2" x14ac:dyDescent="0.85">
      <c r="B92" s="1" t="s">
        <v>300</v>
      </c>
    </row>
    <row r="93" spans="2:2" x14ac:dyDescent="0.85">
      <c r="B93" s="1" t="s">
        <v>301</v>
      </c>
    </row>
    <row r="94" spans="2:2" x14ac:dyDescent="0.85">
      <c r="B94" s="1" t="s">
        <v>302</v>
      </c>
    </row>
    <row r="95" spans="2:2" x14ac:dyDescent="0.85">
      <c r="B95" s="1" t="s">
        <v>303</v>
      </c>
    </row>
    <row r="96" spans="2:2" x14ac:dyDescent="0.85">
      <c r="B96" s="1" t="s">
        <v>304</v>
      </c>
    </row>
    <row r="97" spans="2:2" x14ac:dyDescent="0.85">
      <c r="B97" s="1" t="s">
        <v>305</v>
      </c>
    </row>
    <row r="98" spans="2:2" x14ac:dyDescent="0.85">
      <c r="B98" s="1" t="s">
        <v>306</v>
      </c>
    </row>
    <row r="99" spans="2:2" x14ac:dyDescent="0.85">
      <c r="B99" s="1" t="s">
        <v>307</v>
      </c>
    </row>
    <row r="100" spans="2:2" x14ac:dyDescent="0.85">
      <c r="B100" s="1" t="s">
        <v>308</v>
      </c>
    </row>
    <row r="101" spans="2:2" x14ac:dyDescent="0.85">
      <c r="B101" s="1" t="s">
        <v>309</v>
      </c>
    </row>
    <row r="102" spans="2:2" x14ac:dyDescent="0.85">
      <c r="B102" s="1" t="s">
        <v>310</v>
      </c>
    </row>
    <row r="103" spans="2:2" x14ac:dyDescent="0.85">
      <c r="B103" s="1" t="s">
        <v>311</v>
      </c>
    </row>
    <row r="104" spans="2:2" x14ac:dyDescent="0.85">
      <c r="B104" s="1" t="s">
        <v>312</v>
      </c>
    </row>
    <row r="105" spans="2:2" x14ac:dyDescent="0.85">
      <c r="B105" s="1" t="s">
        <v>313</v>
      </c>
    </row>
    <row r="106" spans="2:2" x14ac:dyDescent="0.85">
      <c r="B106" s="1" t="s">
        <v>314</v>
      </c>
    </row>
    <row r="107" spans="2:2" x14ac:dyDescent="0.85">
      <c r="B107" s="1" t="s">
        <v>315</v>
      </c>
    </row>
    <row r="108" spans="2:2" x14ac:dyDescent="0.85">
      <c r="B108" s="1" t="s">
        <v>316</v>
      </c>
    </row>
    <row r="109" spans="2:2" x14ac:dyDescent="0.85">
      <c r="B109" s="1" t="s">
        <v>317</v>
      </c>
    </row>
    <row r="110" spans="2:2" x14ac:dyDescent="0.85">
      <c r="B110" s="1" t="s">
        <v>318</v>
      </c>
    </row>
    <row r="111" spans="2:2" x14ac:dyDescent="0.85">
      <c r="B111" s="1" t="s">
        <v>319</v>
      </c>
    </row>
    <row r="112" spans="2:2" x14ac:dyDescent="0.85">
      <c r="B112" s="1" t="s">
        <v>320</v>
      </c>
    </row>
    <row r="113" spans="2:2" x14ac:dyDescent="0.85">
      <c r="B113" s="1" t="s">
        <v>321</v>
      </c>
    </row>
    <row r="114" spans="2:2" x14ac:dyDescent="0.85">
      <c r="B114" s="1" t="s">
        <v>322</v>
      </c>
    </row>
    <row r="115" spans="2:2" x14ac:dyDescent="0.85">
      <c r="B115" s="1" t="s">
        <v>323</v>
      </c>
    </row>
  </sheetData>
  <mergeCells count="7">
    <mergeCell ref="T2:AB2"/>
    <mergeCell ref="U4:U7"/>
    <mergeCell ref="U12:U16"/>
    <mergeCell ref="T12:T31"/>
    <mergeCell ref="U22:U26"/>
    <mergeCell ref="U17:U21"/>
    <mergeCell ref="U27:U31"/>
  </mergeCells>
  <pageMargins left="0.7" right="0.7" top="0.75" bottom="0.75" header="0.3" footer="0.3"/>
  <pageSetup paperSize="9" scale="26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pageSetUpPr fitToPage="1"/>
  </sheetPr>
  <dimension ref="A1:R448"/>
  <sheetViews>
    <sheetView rightToLeft="1" topLeftCell="A13" zoomScaleNormal="100" zoomScaleSheetLayoutView="100" workbookViewId="0">
      <selection activeCell="J26" sqref="J26:L26"/>
    </sheetView>
  </sheetViews>
  <sheetFormatPr defaultColWidth="0" defaultRowHeight="15" customHeight="1" zeroHeight="1" x14ac:dyDescent="0.45"/>
  <cols>
    <col min="1" max="1" width="5.46484375" style="20" customWidth="1"/>
    <col min="2" max="2" width="15.46484375" style="20" customWidth="1"/>
    <col min="3" max="7" width="13.6640625" style="20" customWidth="1"/>
    <col min="8" max="8" width="10.86328125" style="20" customWidth="1"/>
    <col min="9" max="9" width="5.33203125" style="20" customWidth="1"/>
    <col min="10" max="10" width="12.53125" style="20" customWidth="1"/>
    <col min="11" max="11" width="5.1328125" style="88" customWidth="1"/>
    <col min="12" max="12" width="6.53125" style="88" customWidth="1"/>
    <col min="13" max="13" width="7.33203125" style="88" customWidth="1"/>
    <col min="14" max="14" width="9" style="88" customWidth="1"/>
    <col min="15" max="15" width="6.46484375" style="88" customWidth="1"/>
    <col min="16" max="16" width="6.1328125" style="87" customWidth="1"/>
    <col min="17" max="17" width="3.33203125" hidden="1" customWidth="1"/>
    <col min="18" max="18" width="0" hidden="1" customWidth="1"/>
    <col min="19" max="19" width="9.1328125" hidden="1" customWidth="1"/>
    <col min="20" max="16384" width="9.1328125" hidden="1"/>
  </cols>
  <sheetData>
    <row r="1" spans="1:18" ht="22.5" customHeight="1" x14ac:dyDescent="0.45">
      <c r="A1" s="354" t="s">
        <v>324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1"/>
      <c r="Q1" s="87"/>
    </row>
    <row r="2" spans="1:18" ht="47.25" customHeight="1" x14ac:dyDescent="0.45">
      <c r="A2" s="354" t="str">
        <f>CONCATENATE("«",Scope!D4,"»")</f>
        <v>«طراحی کیف پول»</v>
      </c>
      <c r="B2" s="294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1"/>
      <c r="Q2" s="87"/>
    </row>
    <row r="3" spans="1:18" ht="12.75" customHeight="1" x14ac:dyDescent="0.45">
      <c r="A3" s="87"/>
      <c r="B3" s="87"/>
      <c r="C3" s="87"/>
      <c r="D3" s="87"/>
      <c r="E3" s="87"/>
      <c r="F3" s="87"/>
      <c r="G3" s="87"/>
      <c r="H3" s="87"/>
      <c r="I3" s="88"/>
      <c r="J3" s="88"/>
      <c r="P3" s="88"/>
      <c r="Q3" s="88"/>
      <c r="R3" s="20"/>
    </row>
    <row r="4" spans="1:18" ht="20.25" customHeight="1" thickBot="1" x14ac:dyDescent="0.5">
      <c r="A4" s="88"/>
      <c r="B4" s="405" t="s">
        <v>167</v>
      </c>
      <c r="C4" s="294"/>
      <c r="D4" s="294"/>
      <c r="E4" s="294"/>
      <c r="F4" s="294"/>
      <c r="G4" s="291"/>
      <c r="H4" s="88"/>
      <c r="I4" s="88"/>
      <c r="J4" s="88"/>
      <c r="P4" s="88"/>
      <c r="Q4" s="88"/>
      <c r="R4" s="20"/>
    </row>
    <row r="5" spans="1:18" ht="22.5" customHeight="1" x14ac:dyDescent="0.45">
      <c r="A5" s="88"/>
      <c r="B5" s="187" t="s">
        <v>168</v>
      </c>
      <c r="C5" s="175" t="str">
        <f>Constants!E3</f>
        <v>ساده</v>
      </c>
      <c r="D5" s="175" t="str">
        <f>Constants!E4</f>
        <v>معمولی</v>
      </c>
      <c r="E5" s="175" t="str">
        <f>Constants!E5</f>
        <v>پیچیده</v>
      </c>
      <c r="F5" s="175" t="str">
        <f>Constants!E6</f>
        <v>بسیار پیچیده</v>
      </c>
      <c r="G5" s="207" t="str">
        <f>Constants!E7</f>
        <v>فوق العاده پیچیده</v>
      </c>
      <c r="H5" s="212" t="s">
        <v>169</v>
      </c>
      <c r="I5" s="88"/>
      <c r="J5" s="88"/>
      <c r="P5" s="88"/>
      <c r="Q5" s="88"/>
      <c r="R5" s="20"/>
    </row>
    <row r="6" spans="1:18" ht="23.25" customHeight="1" x14ac:dyDescent="0.45">
      <c r="A6" s="88"/>
      <c r="B6" s="176" t="str">
        <f>Constants!A3</f>
        <v>فرم</v>
      </c>
      <c r="C6" s="180">
        <f>Elements!E2011</f>
        <v>0</v>
      </c>
      <c r="D6" s="180">
        <f>Elements!F2011</f>
        <v>7</v>
      </c>
      <c r="E6" s="180">
        <f>Elements!G2011</f>
        <v>5</v>
      </c>
      <c r="F6" s="180">
        <f>Elements!H2011</f>
        <v>4</v>
      </c>
      <c r="G6" s="208">
        <f>Elements!I2011</f>
        <v>0</v>
      </c>
      <c r="H6" s="213">
        <f>SUM(C6:G6)</f>
        <v>16</v>
      </c>
      <c r="I6" s="88"/>
      <c r="J6" s="88"/>
      <c r="P6" s="88"/>
      <c r="Q6" s="88"/>
      <c r="R6" s="20"/>
    </row>
    <row r="7" spans="1:18" ht="23.25" customHeight="1" x14ac:dyDescent="0.45">
      <c r="A7" s="88"/>
      <c r="B7" s="177" t="str">
        <f>Constants!A4</f>
        <v>پردازش</v>
      </c>
      <c r="C7" s="181">
        <f>Elements!E2012</f>
        <v>0</v>
      </c>
      <c r="D7" s="182">
        <f>Elements!F2012</f>
        <v>0</v>
      </c>
      <c r="E7" s="182">
        <f>Elements!G2012</f>
        <v>1</v>
      </c>
      <c r="F7" s="182">
        <f>Elements!H2012</f>
        <v>2</v>
      </c>
      <c r="G7" s="209">
        <f>Elements!I2012</f>
        <v>2</v>
      </c>
      <c r="H7" s="214">
        <f>SUM(C7:G7)</f>
        <v>5</v>
      </c>
      <c r="I7" s="88"/>
      <c r="J7" s="88"/>
      <c r="P7" s="88"/>
      <c r="Q7" s="88"/>
      <c r="R7" s="20"/>
    </row>
    <row r="8" spans="1:18" ht="23.25" customHeight="1" x14ac:dyDescent="0.45">
      <c r="A8" s="88"/>
      <c r="B8" s="178" t="str">
        <f>Constants!A5</f>
        <v>سرویس</v>
      </c>
      <c r="C8" s="183">
        <f>Elements!E2013</f>
        <v>0</v>
      </c>
      <c r="D8" s="184">
        <f>Elements!F2013</f>
        <v>1</v>
      </c>
      <c r="E8" s="184">
        <f>Elements!G2013</f>
        <v>7</v>
      </c>
      <c r="F8" s="184">
        <f>Elements!H2013</f>
        <v>2</v>
      </c>
      <c r="G8" s="210">
        <f>Elements!I2013</f>
        <v>1</v>
      </c>
      <c r="H8" s="215">
        <f>SUM(C8:G8)</f>
        <v>11</v>
      </c>
      <c r="I8" s="88"/>
      <c r="J8" s="88"/>
      <c r="P8" s="88"/>
      <c r="Q8" s="88"/>
      <c r="R8" s="20"/>
    </row>
    <row r="9" spans="1:18" ht="23.25" customHeight="1" x14ac:dyDescent="0.45">
      <c r="A9" s="88"/>
      <c r="B9" s="179" t="str">
        <f>Constants!A6</f>
        <v>گزارش</v>
      </c>
      <c r="C9" s="185">
        <f>Elements!E2014</f>
        <v>0</v>
      </c>
      <c r="D9" s="186">
        <f>Elements!F2014</f>
        <v>0</v>
      </c>
      <c r="E9" s="186">
        <f>Elements!G2014</f>
        <v>1</v>
      </c>
      <c r="F9" s="186">
        <f>Elements!H2014</f>
        <v>0</v>
      </c>
      <c r="G9" s="211">
        <f>Elements!I2014</f>
        <v>0</v>
      </c>
      <c r="H9" s="216">
        <f>SUM(C9:G9)</f>
        <v>1</v>
      </c>
      <c r="I9" s="88"/>
      <c r="J9" s="88"/>
      <c r="N9" s="87"/>
      <c r="O9" s="87"/>
      <c r="Q9" s="87"/>
      <c r="R9" s="20"/>
    </row>
    <row r="10" spans="1:18" ht="24.75" customHeight="1" thickBot="1" x14ac:dyDescent="0.5">
      <c r="A10" s="88"/>
      <c r="B10" s="88"/>
      <c r="C10" s="88"/>
      <c r="D10" s="88"/>
      <c r="E10" s="88"/>
      <c r="F10" s="88"/>
      <c r="G10" s="206" t="s">
        <v>170</v>
      </c>
      <c r="H10" s="217">
        <f>SUM(H6:H9)</f>
        <v>33</v>
      </c>
      <c r="I10" s="88"/>
      <c r="J10" s="88"/>
      <c r="N10" s="87"/>
      <c r="O10" s="87"/>
      <c r="Q10" s="87"/>
      <c r="R10" s="20"/>
    </row>
    <row r="11" spans="1:18" ht="14.25" x14ac:dyDescent="0.45">
      <c r="A11" s="88"/>
      <c r="B11" s="88"/>
      <c r="C11" s="88"/>
      <c r="D11" s="88"/>
      <c r="E11" s="88"/>
      <c r="F11" s="88"/>
      <c r="G11" s="88"/>
      <c r="H11" s="88"/>
      <c r="I11" s="88"/>
      <c r="J11" s="88"/>
      <c r="N11" s="87"/>
      <c r="O11" s="87"/>
      <c r="Q11" s="87"/>
      <c r="R11" s="20"/>
    </row>
    <row r="12" spans="1:18" ht="14.25" x14ac:dyDescent="0.45">
      <c r="A12" s="88"/>
      <c r="B12" s="88"/>
      <c r="C12" s="88"/>
      <c r="D12" s="88"/>
      <c r="E12" s="88"/>
      <c r="F12" s="88"/>
      <c r="G12" s="88"/>
      <c r="H12" s="88"/>
      <c r="I12" s="88"/>
      <c r="J12" s="88"/>
      <c r="N12" s="87"/>
      <c r="O12" s="87"/>
      <c r="Q12" s="87"/>
      <c r="R12" s="20"/>
    </row>
    <row r="13" spans="1:18" ht="21" customHeight="1" x14ac:dyDescent="0.45">
      <c r="A13" s="88"/>
      <c r="B13" s="164" t="s">
        <v>40</v>
      </c>
      <c r="C13" s="401">
        <f>ProjectDef!C4</f>
        <v>0</v>
      </c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1"/>
      <c r="Q13" s="87"/>
      <c r="R13" s="20"/>
    </row>
    <row r="14" spans="1:18" ht="21" customHeight="1" x14ac:dyDescent="0.45">
      <c r="A14" s="88"/>
      <c r="B14" s="164" t="s">
        <v>41</v>
      </c>
      <c r="C14" s="401">
        <f>ProjectDef!C5</f>
        <v>0</v>
      </c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1"/>
      <c r="Q14" s="87"/>
      <c r="R14" s="20"/>
    </row>
    <row r="15" spans="1:18" ht="21" customHeight="1" x14ac:dyDescent="0.45">
      <c r="A15" s="88"/>
      <c r="B15" s="164" t="s">
        <v>42</v>
      </c>
      <c r="C15" s="401">
        <f>ProjectDef!C6</f>
        <v>0</v>
      </c>
      <c r="D15" s="294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1"/>
      <c r="Q15" s="87"/>
    </row>
    <row r="16" spans="1:18" ht="21" customHeight="1" x14ac:dyDescent="0.45">
      <c r="A16" s="88"/>
      <c r="B16" s="164" t="s">
        <v>43</v>
      </c>
      <c r="C16" s="401">
        <f>ProjectDef!C7</f>
        <v>0</v>
      </c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1"/>
      <c r="Q16" s="87"/>
    </row>
    <row r="17" spans="1:17" ht="14.25" x14ac:dyDescent="0.45">
      <c r="A17" s="88"/>
      <c r="B17" s="88"/>
      <c r="C17" s="88"/>
      <c r="D17" s="88"/>
      <c r="E17" s="88"/>
      <c r="F17" s="88"/>
      <c r="G17" s="88"/>
      <c r="H17" s="88"/>
      <c r="I17" s="88"/>
      <c r="J17" s="88"/>
      <c r="N17" s="87"/>
      <c r="O17" s="87"/>
      <c r="Q17" s="87"/>
    </row>
    <row r="18" spans="1:17" ht="22.5" customHeight="1" x14ac:dyDescent="0.45">
      <c r="A18" s="88"/>
      <c r="B18" s="124"/>
      <c r="C18" s="124"/>
      <c r="D18" s="403" t="s">
        <v>44</v>
      </c>
      <c r="E18" s="294"/>
      <c r="F18" s="294"/>
      <c r="G18" s="291"/>
      <c r="H18" s="174" t="s">
        <v>45</v>
      </c>
      <c r="I18" s="88"/>
      <c r="J18" s="403" t="s">
        <v>57</v>
      </c>
      <c r="K18" s="174">
        <v>1</v>
      </c>
      <c r="L18" s="404" t="str">
        <f>ProjectDef!D23</f>
        <v>بانکهای اطلاعاتی</v>
      </c>
      <c r="M18" s="294"/>
      <c r="N18" s="291"/>
      <c r="O18" s="165">
        <f>ProjectDef!I23</f>
        <v>0</v>
      </c>
      <c r="Q18" s="87"/>
    </row>
    <row r="19" spans="1:17" ht="21" customHeight="1" x14ac:dyDescent="0.45">
      <c r="A19" s="88"/>
      <c r="B19" s="403" t="s">
        <v>50</v>
      </c>
      <c r="C19" s="174">
        <v>1</v>
      </c>
      <c r="D19" s="401" t="str">
        <f>Shifter!C3</f>
        <v>مسئولیت در صحت انجام عملیات (اعمال جرایم)</v>
      </c>
      <c r="E19" s="294"/>
      <c r="F19" s="294"/>
      <c r="G19" s="291"/>
      <c r="H19" s="165">
        <f>ProjectDef!I11</f>
        <v>0</v>
      </c>
      <c r="I19" s="88"/>
      <c r="J19" s="347"/>
      <c r="K19" s="174">
        <v>2</v>
      </c>
      <c r="L19" s="404" t="str">
        <f>ProjectDef!D24</f>
        <v>عملیات</v>
      </c>
      <c r="M19" s="294"/>
      <c r="N19" s="291"/>
      <c r="O19" s="165">
        <f>ProjectDef!I24</f>
        <v>0</v>
      </c>
      <c r="Q19" s="87"/>
    </row>
    <row r="20" spans="1:17" ht="21" customHeight="1" x14ac:dyDescent="0.45">
      <c r="A20" s="88"/>
      <c r="B20" s="347"/>
      <c r="C20" s="174">
        <v>2</v>
      </c>
      <c r="D20" s="401" t="str">
        <f>Shifter!C4</f>
        <v>عدم وجود مستندات تعریف محدوده کار</v>
      </c>
      <c r="E20" s="294"/>
      <c r="F20" s="294"/>
      <c r="G20" s="291"/>
      <c r="H20" s="165">
        <f>ProjectDef!I12</f>
        <v>0</v>
      </c>
      <c r="I20" s="88"/>
      <c r="J20" s="348"/>
      <c r="K20" s="174">
        <v>3</v>
      </c>
      <c r="L20" s="404" t="str">
        <f>ProjectDef!D25</f>
        <v>امنیت اطلاعات و ارتباطات</v>
      </c>
      <c r="M20" s="294"/>
      <c r="N20" s="291"/>
      <c r="O20" s="165">
        <f>ProjectDef!I25</f>
        <v>0</v>
      </c>
      <c r="P20" s="88"/>
      <c r="Q20" s="87"/>
    </row>
    <row r="21" spans="1:17" ht="21" customHeight="1" x14ac:dyDescent="0.45">
      <c r="A21" s="88"/>
      <c r="B21" s="347"/>
      <c r="C21" s="174">
        <v>3</v>
      </c>
      <c r="D21" s="401" t="str">
        <f>Shifter!C5</f>
        <v>عدم شناخت کارفرما از نیازمندیهای خود</v>
      </c>
      <c r="E21" s="294"/>
      <c r="F21" s="294"/>
      <c r="G21" s="291"/>
      <c r="H21" s="165">
        <f>ProjectDef!I13</f>
        <v>0</v>
      </c>
      <c r="I21" s="88"/>
      <c r="J21" s="88"/>
      <c r="P21" s="88"/>
      <c r="Q21" s="87"/>
    </row>
    <row r="22" spans="1:17" ht="21" customHeight="1" x14ac:dyDescent="0.45">
      <c r="A22" s="88"/>
      <c r="B22" s="347"/>
      <c r="C22" s="174">
        <v>4</v>
      </c>
      <c r="D22" s="401" t="str">
        <f>Shifter!C6</f>
        <v>برخورداری از تکنولوژی بالا در فرایند و محصول</v>
      </c>
      <c r="E22" s="294"/>
      <c r="F22" s="294"/>
      <c r="G22" s="291"/>
      <c r="H22" s="165">
        <f>ProjectDef!I14</f>
        <v>0</v>
      </c>
      <c r="I22" s="88"/>
      <c r="J22" s="405" t="s">
        <v>325</v>
      </c>
      <c r="K22" s="294"/>
      <c r="L22" s="294"/>
      <c r="M22" s="294"/>
      <c r="N22" s="294"/>
      <c r="O22" s="291"/>
      <c r="P22" s="88"/>
      <c r="Q22" s="87"/>
    </row>
    <row r="23" spans="1:17" ht="21" customHeight="1" x14ac:dyDescent="0.45">
      <c r="A23" s="88"/>
      <c r="B23" s="347"/>
      <c r="C23" s="174">
        <v>5</v>
      </c>
      <c r="D23" s="401" t="str">
        <f>Shifter!C7</f>
        <v>استفاده از سکوی توسعه رده Main Frame</v>
      </c>
      <c r="E23" s="294"/>
      <c r="F23" s="294"/>
      <c r="G23" s="291"/>
      <c r="H23" s="165">
        <f>ProjectDef!I15</f>
        <v>0</v>
      </c>
      <c r="I23" s="88"/>
      <c r="J23" s="402" t="s">
        <v>326</v>
      </c>
      <c r="K23" s="304"/>
      <c r="L23" s="325"/>
      <c r="M23" s="406">
        <f>IFERROR(CL!I164,0)</f>
        <v>0</v>
      </c>
      <c r="N23" s="294"/>
      <c r="O23" s="291"/>
      <c r="P23" s="88"/>
      <c r="Q23" s="87"/>
    </row>
    <row r="24" spans="1:17" ht="21" customHeight="1" x14ac:dyDescent="0.45">
      <c r="A24" s="88"/>
      <c r="B24" s="347"/>
      <c r="C24" s="174">
        <v>6</v>
      </c>
      <c r="D24" s="401" t="str">
        <f>Shifter!C8</f>
        <v>سرعت در انجام پروژه</v>
      </c>
      <c r="E24" s="294"/>
      <c r="F24" s="294"/>
      <c r="G24" s="291"/>
      <c r="H24" s="165">
        <f>ProjectDef!I16</f>
        <v>0</v>
      </c>
      <c r="I24" s="88"/>
      <c r="J24" s="402" t="s">
        <v>327</v>
      </c>
      <c r="K24" s="304"/>
      <c r="L24" s="325"/>
      <c r="M24" s="406">
        <f>OtherCost!B4</f>
        <v>0</v>
      </c>
      <c r="N24" s="294"/>
      <c r="O24" s="291"/>
      <c r="P24" s="88"/>
      <c r="Q24" s="87"/>
    </row>
    <row r="25" spans="1:17" ht="21" customHeight="1" x14ac:dyDescent="0.45">
      <c r="A25" s="88"/>
      <c r="B25" s="347"/>
      <c r="C25" s="174">
        <v>7</v>
      </c>
      <c r="D25" s="401" t="str">
        <f>Shifter!C9</f>
        <v>ظرفیت خالی</v>
      </c>
      <c r="E25" s="294"/>
      <c r="F25" s="294"/>
      <c r="G25" s="291"/>
      <c r="H25" s="165">
        <f>ProjectDef!I17</f>
        <v>0</v>
      </c>
      <c r="I25" s="88"/>
      <c r="J25" s="421" t="s">
        <v>328</v>
      </c>
      <c r="K25" s="294"/>
      <c r="L25" s="291"/>
      <c r="M25" s="406">
        <f>ROUND(M23+M24,-4)*ProjectDef!I26</f>
        <v>0</v>
      </c>
      <c r="N25" s="294"/>
      <c r="O25" s="291"/>
      <c r="P25" s="88"/>
      <c r="Q25" s="87"/>
    </row>
    <row r="26" spans="1:17" ht="21" customHeight="1" x14ac:dyDescent="0.45">
      <c r="A26" s="88"/>
      <c r="B26" s="347"/>
      <c r="C26" s="174">
        <v>8</v>
      </c>
      <c r="D26" s="401" t="str">
        <f>Shifter!C10</f>
        <v>اتصال به سیستم های خارجی</v>
      </c>
      <c r="E26" s="294"/>
      <c r="F26" s="294"/>
      <c r="G26" s="291"/>
      <c r="H26" s="165">
        <f>ProjectDef!I18</f>
        <v>0</v>
      </c>
      <c r="I26" s="88"/>
      <c r="J26" s="421" t="s">
        <v>35</v>
      </c>
      <c r="K26" s="294"/>
      <c r="L26" s="291"/>
      <c r="M26" s="406">
        <f>ROUND(M24+M25,-4)</f>
        <v>0</v>
      </c>
      <c r="N26" s="294"/>
      <c r="O26" s="291"/>
      <c r="P26" s="88"/>
      <c r="Q26" s="87"/>
    </row>
    <row r="27" spans="1:17" ht="21" customHeight="1" x14ac:dyDescent="0.45">
      <c r="A27" s="88"/>
      <c r="B27" s="347"/>
      <c r="C27" s="174">
        <v>9</v>
      </c>
      <c r="D27" s="401" t="str">
        <f>Shifter!C11</f>
        <v>حضور عوامل بیرونی</v>
      </c>
      <c r="E27" s="294"/>
      <c r="F27" s="294"/>
      <c r="G27" s="291"/>
      <c r="H27" s="165">
        <f>ProjectDef!I19</f>
        <v>0</v>
      </c>
      <c r="I27" s="88"/>
      <c r="P27" s="88"/>
      <c r="Q27" s="87"/>
    </row>
    <row r="28" spans="1:17" ht="21" customHeight="1" x14ac:dyDescent="0.45">
      <c r="A28" s="88"/>
      <c r="B28" s="348"/>
      <c r="C28" s="174">
        <v>10</v>
      </c>
      <c r="D28" s="401" t="str">
        <f>Shifter!C12</f>
        <v>پیچیدگی محصول</v>
      </c>
      <c r="E28" s="294"/>
      <c r="F28" s="294"/>
      <c r="G28" s="291"/>
      <c r="H28" s="165">
        <f>ProjectDef!I20</f>
        <v>0</v>
      </c>
      <c r="I28" s="88"/>
      <c r="J28" s="405" t="s">
        <v>329</v>
      </c>
      <c r="K28" s="294"/>
      <c r="L28" s="294"/>
      <c r="M28" s="294"/>
      <c r="N28" s="294"/>
      <c r="O28" s="291"/>
      <c r="P28" s="88"/>
      <c r="Q28" s="87"/>
    </row>
    <row r="29" spans="1:17" ht="19.5" customHeight="1" x14ac:dyDescent="0.45">
      <c r="A29" s="88"/>
      <c r="B29" s="88"/>
      <c r="C29" s="88"/>
      <c r="D29" s="88"/>
      <c r="E29" s="88"/>
      <c r="F29" s="88"/>
      <c r="G29" s="88"/>
      <c r="H29" s="88"/>
      <c r="I29" s="88"/>
      <c r="J29" s="421" t="s">
        <v>172</v>
      </c>
      <c r="K29" s="294"/>
      <c r="L29" s="291"/>
      <c r="M29" s="420">
        <f>ProjectDef!L24</f>
        <v>0</v>
      </c>
      <c r="N29" s="294"/>
      <c r="O29" s="291"/>
      <c r="P29" s="88"/>
      <c r="Q29" s="87"/>
    </row>
    <row r="30" spans="1:17" ht="19.5" customHeight="1" x14ac:dyDescent="0.45">
      <c r="A30" s="88"/>
      <c r="B30" s="88"/>
      <c r="C30" s="88"/>
      <c r="D30" s="88"/>
      <c r="E30" s="88"/>
      <c r="F30" s="88"/>
      <c r="G30" s="88"/>
      <c r="H30" s="88"/>
      <c r="I30" s="88"/>
      <c r="J30" s="421" t="s">
        <v>330</v>
      </c>
      <c r="K30" s="294"/>
      <c r="L30" s="291"/>
      <c r="M30" s="420">
        <f>ROUND(Constants!B19*M23*M29/12,-4)</f>
        <v>0</v>
      </c>
      <c r="N30" s="294"/>
      <c r="O30" s="291"/>
      <c r="P30" s="88"/>
      <c r="Q30" s="87"/>
    </row>
    <row r="31" spans="1:17" ht="17.25" customHeight="1" x14ac:dyDescent="0.45">
      <c r="A31" s="88"/>
      <c r="B31" s="88"/>
      <c r="C31" s="88"/>
      <c r="D31" s="88"/>
      <c r="E31" s="88"/>
      <c r="F31" s="88"/>
      <c r="G31" s="88"/>
      <c r="H31" s="88"/>
      <c r="I31" s="88"/>
      <c r="J31" s="88"/>
      <c r="P31" s="88"/>
      <c r="Q31" s="87"/>
    </row>
    <row r="32" spans="1:17" s="87" customFormat="1" ht="14.25" hidden="1" x14ac:dyDescent="0.4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</row>
    <row r="33" spans="11:16" ht="14.25" hidden="1" x14ac:dyDescent="0.45">
      <c r="K33" s="20"/>
      <c r="L33" s="20"/>
      <c r="M33" s="20"/>
      <c r="N33" s="20"/>
      <c r="O33" s="20"/>
      <c r="P33" s="20"/>
    </row>
    <row r="34" spans="11:16" ht="14.25" hidden="1" x14ac:dyDescent="0.45">
      <c r="K34" s="20"/>
      <c r="L34" s="20"/>
      <c r="M34" s="20"/>
      <c r="N34" s="20"/>
      <c r="O34" s="20"/>
      <c r="P34" s="20"/>
    </row>
    <row r="35" spans="11:16" ht="14.25" hidden="1" x14ac:dyDescent="0.45">
      <c r="K35" s="20"/>
      <c r="L35" s="20"/>
      <c r="M35" s="20"/>
      <c r="N35" s="20"/>
      <c r="O35" s="20"/>
      <c r="P35" s="20"/>
    </row>
    <row r="36" spans="11:16" ht="14.25" hidden="1" x14ac:dyDescent="0.45">
      <c r="K36" s="20"/>
      <c r="L36" s="20"/>
      <c r="M36" s="20"/>
      <c r="N36" s="20"/>
      <c r="O36" s="20"/>
      <c r="P36" s="20"/>
    </row>
    <row r="37" spans="11:16" ht="14.25" hidden="1" x14ac:dyDescent="0.45">
      <c r="K37" s="20"/>
      <c r="L37" s="20"/>
      <c r="M37" s="20"/>
      <c r="N37" s="20"/>
      <c r="O37" s="20"/>
      <c r="P37" s="20"/>
    </row>
    <row r="38" spans="11:16" ht="14.25" hidden="1" x14ac:dyDescent="0.45">
      <c r="K38" s="20"/>
      <c r="L38" s="20"/>
      <c r="M38" s="20"/>
      <c r="N38" s="20"/>
      <c r="O38" s="20"/>
      <c r="P38" s="20"/>
    </row>
    <row r="39" spans="11:16" ht="14.25" hidden="1" x14ac:dyDescent="0.45">
      <c r="K39" s="20"/>
      <c r="L39" s="20"/>
      <c r="M39" s="20"/>
      <c r="N39" s="20"/>
      <c r="O39" s="20"/>
      <c r="P39" s="20"/>
    </row>
    <row r="40" spans="11:16" ht="14.25" hidden="1" x14ac:dyDescent="0.45">
      <c r="K40" s="20"/>
      <c r="L40" s="20"/>
      <c r="M40" s="20"/>
      <c r="N40" s="20"/>
      <c r="O40" s="20"/>
      <c r="P40" s="20"/>
    </row>
    <row r="41" spans="11:16" ht="14.25" hidden="1" x14ac:dyDescent="0.45">
      <c r="K41" s="20"/>
      <c r="L41" s="20"/>
      <c r="M41" s="20"/>
      <c r="N41" s="20"/>
      <c r="O41" s="20"/>
      <c r="P41" s="20"/>
    </row>
    <row r="42" spans="11:16" ht="14.25" hidden="1" x14ac:dyDescent="0.45">
      <c r="K42" s="20"/>
      <c r="L42" s="20"/>
      <c r="M42" s="20"/>
      <c r="N42" s="20"/>
      <c r="O42" s="20"/>
      <c r="P42" s="20"/>
    </row>
    <row r="43" spans="11:16" ht="14.25" hidden="1" x14ac:dyDescent="0.45">
      <c r="K43" s="20"/>
      <c r="L43" s="20"/>
      <c r="M43" s="20"/>
      <c r="N43" s="20"/>
      <c r="O43" s="20"/>
      <c r="P43" s="20"/>
    </row>
    <row r="44" spans="11:16" ht="14.25" hidden="1" x14ac:dyDescent="0.45">
      <c r="K44" s="20"/>
      <c r="L44" s="20"/>
      <c r="M44" s="20"/>
      <c r="N44" s="20"/>
      <c r="O44" s="20"/>
      <c r="P44" s="20"/>
    </row>
    <row r="45" spans="11:16" ht="14.25" hidden="1" x14ac:dyDescent="0.45">
      <c r="K45" s="20"/>
      <c r="L45" s="20"/>
      <c r="M45" s="20"/>
      <c r="N45" s="20"/>
      <c r="O45" s="20"/>
      <c r="P45" s="20"/>
    </row>
    <row r="46" spans="11:16" ht="14.25" hidden="1" x14ac:dyDescent="0.45">
      <c r="K46" s="20"/>
      <c r="L46" s="20"/>
      <c r="M46" s="20"/>
      <c r="N46" s="20"/>
      <c r="O46" s="20"/>
      <c r="P46" s="20"/>
    </row>
    <row r="47" spans="11:16" ht="14.25" hidden="1" x14ac:dyDescent="0.45">
      <c r="K47" s="20"/>
      <c r="L47" s="20"/>
      <c r="M47" s="20"/>
      <c r="N47" s="20"/>
      <c r="O47" s="20"/>
      <c r="P47" s="20"/>
    </row>
    <row r="48" spans="11:16" ht="14.25" hidden="1" x14ac:dyDescent="0.45">
      <c r="K48" s="20"/>
      <c r="L48" s="20"/>
      <c r="M48" s="20"/>
      <c r="N48" s="20"/>
      <c r="O48" s="20"/>
      <c r="P48" s="20"/>
    </row>
    <row r="49" spans="11:16" ht="14.25" hidden="1" x14ac:dyDescent="0.45">
      <c r="K49" s="20"/>
      <c r="L49" s="20"/>
      <c r="M49" s="20"/>
      <c r="N49" s="20"/>
      <c r="O49" s="20"/>
      <c r="P49" s="20"/>
    </row>
    <row r="50" spans="11:16" ht="14.25" hidden="1" x14ac:dyDescent="0.45">
      <c r="K50" s="20"/>
      <c r="L50" s="20"/>
      <c r="M50" s="20"/>
      <c r="N50" s="20"/>
      <c r="O50" s="20"/>
      <c r="P50" s="20"/>
    </row>
    <row r="51" spans="11:16" ht="14.25" hidden="1" x14ac:dyDescent="0.45">
      <c r="K51" s="20"/>
      <c r="L51" s="20"/>
      <c r="M51" s="20"/>
      <c r="N51" s="20"/>
      <c r="O51" s="20"/>
      <c r="P51" s="20"/>
    </row>
    <row r="52" spans="11:16" ht="14.25" hidden="1" x14ac:dyDescent="0.45">
      <c r="K52" s="20"/>
      <c r="L52" s="20"/>
      <c r="M52" s="20"/>
      <c r="N52" s="20"/>
      <c r="O52" s="20"/>
      <c r="P52" s="20"/>
    </row>
    <row r="53" spans="11:16" ht="14.25" hidden="1" x14ac:dyDescent="0.45">
      <c r="K53" s="20"/>
      <c r="L53" s="20"/>
      <c r="M53" s="20"/>
      <c r="N53" s="20"/>
      <c r="O53" s="20"/>
      <c r="P53" s="20"/>
    </row>
    <row r="54" spans="11:16" ht="14.25" hidden="1" x14ac:dyDescent="0.45">
      <c r="K54" s="20"/>
      <c r="L54" s="20"/>
      <c r="M54" s="20"/>
      <c r="N54" s="20"/>
      <c r="O54" s="20"/>
      <c r="P54" s="20"/>
    </row>
    <row r="55" spans="11:16" ht="14.25" hidden="1" x14ac:dyDescent="0.45">
      <c r="K55" s="20"/>
      <c r="L55" s="20"/>
      <c r="M55" s="20"/>
      <c r="N55" s="20"/>
      <c r="O55" s="20"/>
      <c r="P55" s="20"/>
    </row>
    <row r="56" spans="11:16" ht="14.25" hidden="1" x14ac:dyDescent="0.45">
      <c r="K56" s="20"/>
      <c r="L56" s="20"/>
      <c r="M56" s="20"/>
      <c r="N56" s="20"/>
      <c r="O56" s="20"/>
      <c r="P56" s="20"/>
    </row>
    <row r="57" spans="11:16" ht="14.25" hidden="1" x14ac:dyDescent="0.45">
      <c r="K57" s="20"/>
      <c r="L57" s="20"/>
      <c r="M57" s="20"/>
      <c r="N57" s="20"/>
      <c r="O57" s="20"/>
      <c r="P57" s="20"/>
    </row>
    <row r="58" spans="11:16" ht="14.25" hidden="1" x14ac:dyDescent="0.45">
      <c r="K58" s="20"/>
      <c r="L58" s="20"/>
      <c r="M58" s="20"/>
      <c r="N58" s="20"/>
      <c r="O58" s="20"/>
      <c r="P58" s="20"/>
    </row>
    <row r="59" spans="11:16" ht="14.25" hidden="1" x14ac:dyDescent="0.45">
      <c r="K59" s="20"/>
      <c r="L59" s="20"/>
      <c r="M59" s="20"/>
      <c r="N59" s="20"/>
      <c r="O59" s="20"/>
      <c r="P59" s="20"/>
    </row>
    <row r="60" spans="11:16" ht="14.25" hidden="1" x14ac:dyDescent="0.45">
      <c r="K60" s="20"/>
      <c r="L60" s="20"/>
      <c r="M60" s="20"/>
      <c r="N60" s="20"/>
      <c r="O60" s="20"/>
      <c r="P60" s="20"/>
    </row>
    <row r="61" spans="11:16" ht="14.25" hidden="1" x14ac:dyDescent="0.45">
      <c r="K61" s="20"/>
      <c r="L61" s="20"/>
      <c r="M61" s="20"/>
      <c r="N61" s="20"/>
      <c r="O61" s="20"/>
      <c r="P61" s="20"/>
    </row>
    <row r="62" spans="11:16" ht="14.25" hidden="1" x14ac:dyDescent="0.45">
      <c r="K62" s="20"/>
      <c r="L62" s="20"/>
      <c r="M62" s="20"/>
      <c r="N62" s="20"/>
      <c r="O62" s="20"/>
      <c r="P62" s="20"/>
    </row>
    <row r="63" spans="11:16" ht="14.25" hidden="1" x14ac:dyDescent="0.45">
      <c r="K63" s="20"/>
      <c r="L63" s="20"/>
      <c r="M63" s="20"/>
      <c r="N63" s="20"/>
      <c r="O63" s="20"/>
      <c r="P63" s="20"/>
    </row>
    <row r="64" spans="11:16" ht="14.25" hidden="1" x14ac:dyDescent="0.45">
      <c r="K64" s="20"/>
      <c r="L64" s="20"/>
      <c r="M64" s="20"/>
      <c r="N64" s="20"/>
      <c r="O64" s="20"/>
      <c r="P64" s="20"/>
    </row>
    <row r="65" spans="11:16" ht="14.25" hidden="1" x14ac:dyDescent="0.45">
      <c r="K65" s="20"/>
      <c r="L65" s="20"/>
      <c r="M65" s="20"/>
      <c r="N65" s="20"/>
      <c r="O65" s="20"/>
      <c r="P65" s="20"/>
    </row>
    <row r="66" spans="11:16" ht="14.25" hidden="1" x14ac:dyDescent="0.45">
      <c r="K66" s="20"/>
      <c r="L66" s="20"/>
      <c r="M66" s="20"/>
      <c r="N66" s="20"/>
      <c r="O66" s="20"/>
      <c r="P66" s="20"/>
    </row>
    <row r="67" spans="11:16" ht="14.25" hidden="1" x14ac:dyDescent="0.45">
      <c r="K67" s="20"/>
      <c r="L67" s="20"/>
      <c r="M67" s="20"/>
      <c r="N67" s="20"/>
      <c r="O67" s="20"/>
      <c r="P67" s="20"/>
    </row>
    <row r="68" spans="11:16" ht="14.25" hidden="1" x14ac:dyDescent="0.45">
      <c r="K68" s="20"/>
      <c r="L68" s="20"/>
      <c r="M68" s="20"/>
      <c r="N68" s="20"/>
      <c r="O68" s="20"/>
      <c r="P68" s="20"/>
    </row>
    <row r="69" spans="11:16" ht="14.25" hidden="1" x14ac:dyDescent="0.45">
      <c r="K69" s="20"/>
      <c r="L69" s="20"/>
      <c r="M69" s="20"/>
      <c r="N69" s="20"/>
      <c r="O69" s="20"/>
      <c r="P69" s="20"/>
    </row>
    <row r="70" spans="11:16" ht="14.25" hidden="1" x14ac:dyDescent="0.45">
      <c r="K70" s="20"/>
      <c r="L70" s="20"/>
      <c r="M70" s="20"/>
      <c r="N70" s="20"/>
      <c r="O70" s="20"/>
      <c r="P70" s="20"/>
    </row>
    <row r="71" spans="11:16" ht="14.25" hidden="1" x14ac:dyDescent="0.45">
      <c r="K71" s="20"/>
      <c r="L71" s="20"/>
      <c r="M71" s="20"/>
      <c r="N71" s="20"/>
      <c r="O71" s="20"/>
      <c r="P71" s="20"/>
    </row>
    <row r="72" spans="11:16" ht="14.25" hidden="1" x14ac:dyDescent="0.45">
      <c r="K72" s="20"/>
      <c r="L72" s="20"/>
      <c r="M72" s="20"/>
      <c r="N72" s="20"/>
      <c r="O72" s="20"/>
      <c r="P72" s="20"/>
    </row>
    <row r="73" spans="11:16" ht="14.25" hidden="1" x14ac:dyDescent="0.45">
      <c r="K73" s="20"/>
      <c r="L73" s="20"/>
      <c r="M73" s="20"/>
      <c r="N73" s="20"/>
      <c r="O73" s="20"/>
      <c r="P73" s="20"/>
    </row>
    <row r="74" spans="11:16" ht="14.25" hidden="1" x14ac:dyDescent="0.45">
      <c r="K74" s="20"/>
      <c r="L74" s="20"/>
      <c r="M74" s="20"/>
      <c r="N74" s="20"/>
      <c r="O74" s="20"/>
      <c r="P74" s="20"/>
    </row>
    <row r="75" spans="11:16" ht="14.25" hidden="1" x14ac:dyDescent="0.45">
      <c r="K75" s="20"/>
      <c r="L75" s="20"/>
      <c r="M75" s="20"/>
      <c r="N75" s="20"/>
      <c r="O75" s="20"/>
      <c r="P75" s="20"/>
    </row>
    <row r="76" spans="11:16" ht="14.25" hidden="1" x14ac:dyDescent="0.45">
      <c r="K76" s="20"/>
      <c r="L76" s="20"/>
      <c r="M76" s="20"/>
      <c r="N76" s="20"/>
      <c r="O76" s="20"/>
      <c r="P76" s="20"/>
    </row>
    <row r="77" spans="11:16" ht="14.25" hidden="1" x14ac:dyDescent="0.45">
      <c r="K77" s="20"/>
      <c r="L77" s="20"/>
      <c r="M77" s="20"/>
      <c r="N77" s="20"/>
      <c r="O77" s="20"/>
      <c r="P77" s="20"/>
    </row>
    <row r="78" spans="11:16" ht="14.25" hidden="1" x14ac:dyDescent="0.45">
      <c r="K78" s="20"/>
      <c r="L78" s="20"/>
      <c r="M78" s="20"/>
      <c r="N78" s="20"/>
      <c r="O78" s="20"/>
      <c r="P78" s="20"/>
    </row>
    <row r="79" spans="11:16" ht="14.25" hidden="1" x14ac:dyDescent="0.45">
      <c r="K79" s="20"/>
      <c r="L79" s="20"/>
      <c r="M79" s="20"/>
      <c r="N79" s="20"/>
      <c r="O79" s="20"/>
      <c r="P79" s="20"/>
    </row>
    <row r="80" spans="11:16" ht="14.25" hidden="1" x14ac:dyDescent="0.45">
      <c r="K80" s="20"/>
      <c r="L80" s="20"/>
      <c r="M80" s="20"/>
      <c r="N80" s="20"/>
      <c r="O80" s="20"/>
      <c r="P80" s="20"/>
    </row>
    <row r="81" spans="11:16" ht="14.25" hidden="1" x14ac:dyDescent="0.45">
      <c r="K81" s="20"/>
      <c r="L81" s="20"/>
      <c r="M81" s="20"/>
      <c r="N81" s="20"/>
      <c r="O81" s="20"/>
      <c r="P81" s="20"/>
    </row>
    <row r="82" spans="11:16" ht="14.25" hidden="1" x14ac:dyDescent="0.45">
      <c r="K82" s="20"/>
      <c r="L82" s="20"/>
      <c r="M82" s="20"/>
      <c r="N82" s="20"/>
      <c r="O82" s="20"/>
      <c r="P82" s="20"/>
    </row>
    <row r="83" spans="11:16" ht="14.25" hidden="1" x14ac:dyDescent="0.45">
      <c r="K83" s="20"/>
      <c r="L83" s="20"/>
      <c r="M83" s="20"/>
      <c r="N83" s="20"/>
      <c r="O83" s="20"/>
      <c r="P83" s="20"/>
    </row>
    <row r="84" spans="11:16" ht="14.25" hidden="1" x14ac:dyDescent="0.45">
      <c r="K84" s="20"/>
      <c r="L84" s="20"/>
      <c r="M84" s="20"/>
      <c r="N84" s="20"/>
      <c r="O84" s="20"/>
      <c r="P84" s="20"/>
    </row>
    <row r="85" spans="11:16" ht="14.25" hidden="1" x14ac:dyDescent="0.45">
      <c r="K85" s="20"/>
      <c r="L85" s="20"/>
      <c r="M85" s="20"/>
      <c r="N85" s="20"/>
      <c r="O85" s="20"/>
      <c r="P85" s="20"/>
    </row>
    <row r="86" spans="11:16" ht="14.25" hidden="1" x14ac:dyDescent="0.45">
      <c r="K86" s="20"/>
      <c r="L86" s="20"/>
      <c r="M86" s="20"/>
      <c r="N86" s="20"/>
      <c r="O86" s="20"/>
      <c r="P86" s="20"/>
    </row>
    <row r="87" spans="11:16" ht="14.25" hidden="1" x14ac:dyDescent="0.45">
      <c r="K87" s="20"/>
      <c r="L87" s="20"/>
      <c r="M87" s="20"/>
      <c r="N87" s="20"/>
      <c r="O87" s="20"/>
      <c r="P87" s="20"/>
    </row>
    <row r="88" spans="11:16" ht="14.25" hidden="1" x14ac:dyDescent="0.45">
      <c r="K88" s="20"/>
      <c r="L88" s="20"/>
      <c r="M88" s="20"/>
      <c r="N88" s="20"/>
      <c r="O88" s="20"/>
      <c r="P88" s="20"/>
    </row>
    <row r="89" spans="11:16" ht="14.25" hidden="1" x14ac:dyDescent="0.45">
      <c r="K89" s="20"/>
      <c r="L89" s="20"/>
      <c r="M89" s="20"/>
      <c r="N89" s="20"/>
      <c r="O89" s="20"/>
      <c r="P89" s="20"/>
    </row>
    <row r="90" spans="11:16" ht="14.25" hidden="1" x14ac:dyDescent="0.45">
      <c r="K90" s="20"/>
      <c r="L90" s="20"/>
      <c r="M90" s="20"/>
      <c r="N90" s="20"/>
      <c r="O90" s="20"/>
      <c r="P90" s="20"/>
    </row>
    <row r="91" spans="11:16" ht="14.25" hidden="1" x14ac:dyDescent="0.45">
      <c r="K91" s="20"/>
      <c r="L91" s="20"/>
      <c r="M91" s="20"/>
      <c r="N91" s="20"/>
      <c r="O91" s="20"/>
      <c r="P91" s="20"/>
    </row>
    <row r="92" spans="11:16" ht="14.25" hidden="1" x14ac:dyDescent="0.45">
      <c r="K92" s="20"/>
      <c r="L92" s="20"/>
      <c r="M92" s="20"/>
      <c r="N92" s="20"/>
      <c r="O92" s="20"/>
      <c r="P92" s="20"/>
    </row>
    <row r="93" spans="11:16" ht="14.25" hidden="1" x14ac:dyDescent="0.45">
      <c r="K93" s="20"/>
      <c r="L93" s="20"/>
      <c r="M93" s="20"/>
      <c r="N93" s="20"/>
      <c r="O93" s="20"/>
      <c r="P93" s="20"/>
    </row>
    <row r="94" spans="11:16" ht="14.25" hidden="1" x14ac:dyDescent="0.45">
      <c r="K94" s="20"/>
      <c r="L94" s="20"/>
      <c r="M94" s="20"/>
      <c r="N94" s="20"/>
      <c r="O94" s="20"/>
      <c r="P94" s="20"/>
    </row>
    <row r="95" spans="11:16" ht="14.25" hidden="1" x14ac:dyDescent="0.45">
      <c r="K95" s="20"/>
      <c r="L95" s="20"/>
      <c r="M95" s="20"/>
      <c r="N95" s="20"/>
      <c r="O95" s="20"/>
      <c r="P95" s="20"/>
    </row>
    <row r="96" spans="11:16" ht="14.25" hidden="1" x14ac:dyDescent="0.45">
      <c r="K96" s="20"/>
      <c r="L96" s="20"/>
      <c r="M96" s="20"/>
      <c r="N96" s="20"/>
      <c r="O96" s="20"/>
      <c r="P96" s="20"/>
    </row>
    <row r="97" spans="11:16" ht="14.25" hidden="1" x14ac:dyDescent="0.45">
      <c r="K97" s="20"/>
      <c r="L97" s="20"/>
      <c r="M97" s="20"/>
      <c r="N97" s="20"/>
      <c r="O97" s="20"/>
      <c r="P97" s="20"/>
    </row>
    <row r="98" spans="11:16" ht="14.25" hidden="1" x14ac:dyDescent="0.45">
      <c r="K98" s="20"/>
      <c r="L98" s="20"/>
      <c r="M98" s="20"/>
      <c r="N98" s="20"/>
      <c r="O98" s="20"/>
      <c r="P98" s="20"/>
    </row>
    <row r="99" spans="11:16" ht="14.25" hidden="1" x14ac:dyDescent="0.45">
      <c r="K99" s="20"/>
      <c r="L99" s="20"/>
      <c r="M99" s="20"/>
      <c r="N99" s="20"/>
      <c r="O99" s="20"/>
      <c r="P99" s="20"/>
    </row>
    <row r="100" spans="11:16" ht="14.25" hidden="1" x14ac:dyDescent="0.45">
      <c r="K100" s="20"/>
      <c r="L100" s="20"/>
      <c r="M100" s="20"/>
      <c r="N100" s="20"/>
      <c r="O100" s="20"/>
      <c r="P100" s="20"/>
    </row>
    <row r="101" spans="11:16" ht="14.25" hidden="1" x14ac:dyDescent="0.45">
      <c r="K101" s="20"/>
      <c r="L101" s="20"/>
      <c r="M101" s="20"/>
      <c r="N101" s="20"/>
      <c r="O101" s="20"/>
      <c r="P101" s="20"/>
    </row>
    <row r="102" spans="11:16" ht="14.25" hidden="1" x14ac:dyDescent="0.45">
      <c r="K102" s="20"/>
      <c r="L102" s="20"/>
      <c r="M102" s="20"/>
      <c r="N102" s="20"/>
      <c r="O102" s="20"/>
      <c r="P102" s="20"/>
    </row>
    <row r="103" spans="11:16" ht="14.25" hidden="1" x14ac:dyDescent="0.45">
      <c r="K103" s="20"/>
      <c r="L103" s="20"/>
      <c r="M103" s="20"/>
      <c r="N103" s="20"/>
      <c r="O103" s="20"/>
      <c r="P103" s="20"/>
    </row>
    <row r="104" spans="11:16" ht="14.25" hidden="1" x14ac:dyDescent="0.45">
      <c r="K104" s="20"/>
      <c r="L104" s="20"/>
      <c r="M104" s="20"/>
      <c r="N104" s="20"/>
      <c r="O104" s="20"/>
      <c r="P104" s="20"/>
    </row>
    <row r="105" spans="11:16" ht="14.25" hidden="1" x14ac:dyDescent="0.45">
      <c r="K105" s="20"/>
      <c r="L105" s="20"/>
      <c r="M105" s="20"/>
      <c r="N105" s="20"/>
      <c r="O105" s="20"/>
      <c r="P105" s="20"/>
    </row>
    <row r="106" spans="11:16" ht="14.25" hidden="1" x14ac:dyDescent="0.45">
      <c r="K106" s="20"/>
      <c r="L106" s="20"/>
      <c r="M106" s="20"/>
      <c r="N106" s="20"/>
      <c r="O106" s="20"/>
      <c r="P106" s="20"/>
    </row>
    <row r="107" spans="11:16" ht="14.25" hidden="1" x14ac:dyDescent="0.45">
      <c r="K107" s="20"/>
      <c r="L107" s="20"/>
      <c r="M107" s="20"/>
      <c r="N107" s="20"/>
      <c r="O107" s="20"/>
      <c r="P107" s="20"/>
    </row>
    <row r="108" spans="11:16" ht="14.25" hidden="1" x14ac:dyDescent="0.45">
      <c r="K108" s="20"/>
      <c r="L108" s="20"/>
      <c r="M108" s="20"/>
      <c r="N108" s="20"/>
      <c r="O108" s="20"/>
      <c r="P108" s="20"/>
    </row>
    <row r="109" spans="11:16" ht="14.25" hidden="1" x14ac:dyDescent="0.45">
      <c r="K109" s="20"/>
      <c r="L109" s="20"/>
      <c r="M109" s="20"/>
      <c r="N109" s="20"/>
      <c r="O109" s="20"/>
      <c r="P109" s="20"/>
    </row>
    <row r="110" spans="11:16" ht="14.25" hidden="1" x14ac:dyDescent="0.45">
      <c r="K110" s="20"/>
      <c r="L110" s="20"/>
      <c r="M110" s="20"/>
      <c r="N110" s="20"/>
      <c r="O110" s="20"/>
      <c r="P110" s="20"/>
    </row>
    <row r="111" spans="11:16" ht="14.25" hidden="1" x14ac:dyDescent="0.45">
      <c r="K111" s="20"/>
      <c r="L111" s="20"/>
      <c r="M111" s="20"/>
      <c r="N111" s="20"/>
      <c r="O111" s="20"/>
      <c r="P111" s="20"/>
    </row>
    <row r="112" spans="11:16" ht="14.25" hidden="1" x14ac:dyDescent="0.45">
      <c r="K112" s="20"/>
      <c r="L112" s="20"/>
      <c r="M112" s="20"/>
      <c r="N112" s="20"/>
      <c r="O112" s="20"/>
      <c r="P112" s="20"/>
    </row>
    <row r="113" spans="11:16" ht="14.25" hidden="1" x14ac:dyDescent="0.45">
      <c r="K113" s="20"/>
      <c r="L113" s="20"/>
      <c r="M113" s="20"/>
      <c r="N113" s="20"/>
      <c r="O113" s="20"/>
      <c r="P113" s="20"/>
    </row>
    <row r="114" spans="11:16" ht="14.25" hidden="1" x14ac:dyDescent="0.45">
      <c r="K114" s="20"/>
      <c r="L114" s="20"/>
      <c r="M114" s="20"/>
      <c r="N114" s="20"/>
      <c r="O114" s="20"/>
      <c r="P114" s="20"/>
    </row>
    <row r="115" spans="11:16" ht="14.25" hidden="1" x14ac:dyDescent="0.45">
      <c r="K115" s="20"/>
      <c r="L115" s="20"/>
      <c r="M115" s="20"/>
      <c r="N115" s="20"/>
      <c r="O115" s="20"/>
      <c r="P115" s="20"/>
    </row>
    <row r="116" spans="11:16" ht="14.25" hidden="1" x14ac:dyDescent="0.45">
      <c r="K116" s="20"/>
      <c r="L116" s="20"/>
      <c r="M116" s="20"/>
      <c r="N116" s="20"/>
      <c r="O116" s="20"/>
      <c r="P116" s="20"/>
    </row>
    <row r="117" spans="11:16" ht="14.25" hidden="1" x14ac:dyDescent="0.45">
      <c r="K117" s="20"/>
      <c r="L117" s="20"/>
      <c r="M117" s="20"/>
      <c r="N117" s="20"/>
      <c r="O117" s="20"/>
      <c r="P117" s="20"/>
    </row>
    <row r="118" spans="11:16" ht="14.25" hidden="1" x14ac:dyDescent="0.45">
      <c r="K118" s="20"/>
      <c r="L118" s="20"/>
      <c r="M118" s="20"/>
      <c r="N118" s="20"/>
      <c r="O118" s="20"/>
      <c r="P118" s="20"/>
    </row>
    <row r="119" spans="11:16" ht="14.25" hidden="1" x14ac:dyDescent="0.45">
      <c r="K119" s="20"/>
      <c r="L119" s="20"/>
      <c r="M119" s="20"/>
      <c r="N119" s="20"/>
      <c r="O119" s="20"/>
      <c r="P119" s="20"/>
    </row>
    <row r="120" spans="11:16" ht="14.25" hidden="1" x14ac:dyDescent="0.45">
      <c r="K120" s="20"/>
      <c r="L120" s="20"/>
      <c r="M120" s="20"/>
      <c r="N120" s="20"/>
      <c r="O120" s="20"/>
      <c r="P120" s="20"/>
    </row>
    <row r="121" spans="11:16" ht="14.25" hidden="1" x14ac:dyDescent="0.45">
      <c r="K121" s="20"/>
      <c r="L121" s="20"/>
      <c r="M121" s="20"/>
      <c r="N121" s="20"/>
      <c r="O121" s="20"/>
      <c r="P121" s="20"/>
    </row>
    <row r="122" spans="11:16" ht="14.25" hidden="1" x14ac:dyDescent="0.45">
      <c r="K122" s="20"/>
      <c r="L122" s="20"/>
      <c r="M122" s="20"/>
      <c r="N122" s="20"/>
      <c r="O122" s="20"/>
      <c r="P122" s="20"/>
    </row>
    <row r="123" spans="11:16" ht="14.25" hidden="1" x14ac:dyDescent="0.45">
      <c r="K123" s="20"/>
      <c r="L123" s="20"/>
      <c r="M123" s="20"/>
      <c r="N123" s="20"/>
      <c r="O123" s="20"/>
      <c r="P123" s="20"/>
    </row>
    <row r="124" spans="11:16" ht="14.25" hidden="1" x14ac:dyDescent="0.45">
      <c r="K124" s="20"/>
      <c r="L124" s="20"/>
      <c r="M124" s="20"/>
      <c r="N124" s="20"/>
      <c r="O124" s="20"/>
      <c r="P124" s="20"/>
    </row>
    <row r="125" spans="11:16" ht="14.25" hidden="1" x14ac:dyDescent="0.45">
      <c r="K125" s="20"/>
      <c r="L125" s="20"/>
      <c r="M125" s="20"/>
      <c r="N125" s="20"/>
      <c r="O125" s="20"/>
      <c r="P125" s="20"/>
    </row>
    <row r="126" spans="11:16" ht="14.25" hidden="1" x14ac:dyDescent="0.45">
      <c r="K126" s="20"/>
      <c r="L126" s="20"/>
      <c r="M126" s="20"/>
      <c r="N126" s="20"/>
      <c r="O126" s="20"/>
      <c r="P126" s="20"/>
    </row>
    <row r="127" spans="11:16" ht="14.25" hidden="1" x14ac:dyDescent="0.45">
      <c r="K127" s="20"/>
      <c r="L127" s="20"/>
      <c r="M127" s="20"/>
      <c r="N127" s="20"/>
      <c r="O127" s="20"/>
      <c r="P127" s="20"/>
    </row>
    <row r="128" spans="11:16" ht="14.25" hidden="1" x14ac:dyDescent="0.45">
      <c r="K128" s="20"/>
      <c r="L128" s="20"/>
      <c r="M128" s="20"/>
      <c r="N128" s="20"/>
      <c r="O128" s="20"/>
      <c r="P128" s="20"/>
    </row>
    <row r="129" spans="11:16" ht="14.25" hidden="1" x14ac:dyDescent="0.45">
      <c r="K129" s="20"/>
      <c r="L129" s="20"/>
      <c r="M129" s="20"/>
      <c r="N129" s="20"/>
      <c r="O129" s="20"/>
      <c r="P129" s="20"/>
    </row>
    <row r="130" spans="11:16" ht="14.25" hidden="1" x14ac:dyDescent="0.45">
      <c r="K130" s="20"/>
      <c r="L130" s="20"/>
      <c r="M130" s="20"/>
      <c r="N130" s="20"/>
      <c r="O130" s="20"/>
      <c r="P130" s="20"/>
    </row>
    <row r="131" spans="11:16" ht="14.25" hidden="1" x14ac:dyDescent="0.45">
      <c r="K131" s="20"/>
      <c r="L131" s="20"/>
      <c r="M131" s="20"/>
      <c r="N131" s="20"/>
      <c r="O131" s="20"/>
      <c r="P131" s="20"/>
    </row>
    <row r="132" spans="11:16" ht="14.25" hidden="1" x14ac:dyDescent="0.45">
      <c r="K132" s="20"/>
      <c r="L132" s="20"/>
      <c r="M132" s="20"/>
      <c r="N132" s="20"/>
      <c r="O132" s="20"/>
      <c r="P132" s="20"/>
    </row>
    <row r="133" spans="11:16" ht="14.25" hidden="1" x14ac:dyDescent="0.45">
      <c r="K133" s="20"/>
      <c r="L133" s="20"/>
      <c r="M133" s="20"/>
      <c r="N133" s="20"/>
      <c r="O133" s="20"/>
      <c r="P133" s="20"/>
    </row>
    <row r="134" spans="11:16" ht="14.25" hidden="1" x14ac:dyDescent="0.45">
      <c r="K134" s="20"/>
      <c r="L134" s="20"/>
      <c r="M134" s="20"/>
      <c r="N134" s="20"/>
      <c r="O134" s="20"/>
      <c r="P134" s="20"/>
    </row>
    <row r="135" spans="11:16" ht="14.25" hidden="1" x14ac:dyDescent="0.45">
      <c r="K135" s="20"/>
      <c r="L135" s="20"/>
      <c r="M135" s="20"/>
      <c r="N135" s="20"/>
      <c r="O135" s="20"/>
      <c r="P135" s="20"/>
    </row>
    <row r="136" spans="11:16" ht="14.25" hidden="1" x14ac:dyDescent="0.45">
      <c r="K136" s="20"/>
      <c r="L136" s="20"/>
      <c r="M136" s="20"/>
      <c r="N136" s="20"/>
      <c r="O136" s="20"/>
      <c r="P136" s="20"/>
    </row>
    <row r="137" spans="11:16" ht="14.25" hidden="1" x14ac:dyDescent="0.45">
      <c r="K137" s="20"/>
      <c r="L137" s="20"/>
      <c r="M137" s="20"/>
      <c r="N137" s="20"/>
      <c r="O137" s="20"/>
      <c r="P137" s="20"/>
    </row>
    <row r="138" spans="11:16" ht="14.25" hidden="1" x14ac:dyDescent="0.45">
      <c r="K138" s="20"/>
      <c r="L138" s="20"/>
      <c r="M138" s="20"/>
      <c r="N138" s="20"/>
      <c r="O138" s="20"/>
      <c r="P138" s="20"/>
    </row>
    <row r="139" spans="11:16" ht="14.25" hidden="1" x14ac:dyDescent="0.45">
      <c r="K139" s="20"/>
      <c r="L139" s="20"/>
      <c r="M139" s="20"/>
      <c r="N139" s="20"/>
      <c r="O139" s="20"/>
      <c r="P139" s="20"/>
    </row>
    <row r="140" spans="11:16" ht="14.25" hidden="1" x14ac:dyDescent="0.45">
      <c r="K140" s="20"/>
      <c r="L140" s="20"/>
      <c r="M140" s="20"/>
      <c r="N140" s="20"/>
      <c r="O140" s="20"/>
      <c r="P140" s="20"/>
    </row>
    <row r="141" spans="11:16" ht="14.25" hidden="1" x14ac:dyDescent="0.45">
      <c r="K141" s="20"/>
      <c r="L141" s="20"/>
      <c r="M141" s="20"/>
      <c r="N141" s="20"/>
      <c r="O141" s="20"/>
      <c r="P141" s="20"/>
    </row>
    <row r="142" spans="11:16" ht="14.25" hidden="1" x14ac:dyDescent="0.45">
      <c r="K142" s="20"/>
      <c r="L142" s="20"/>
      <c r="M142" s="20"/>
      <c r="N142" s="20"/>
      <c r="O142" s="20"/>
      <c r="P142" s="20"/>
    </row>
    <row r="143" spans="11:16" ht="14.25" hidden="1" x14ac:dyDescent="0.45">
      <c r="K143" s="20"/>
      <c r="L143" s="20"/>
      <c r="M143" s="20"/>
      <c r="N143" s="20"/>
      <c r="O143" s="20"/>
      <c r="P143" s="20"/>
    </row>
    <row r="144" spans="11:16" ht="14.25" hidden="1" x14ac:dyDescent="0.45">
      <c r="K144" s="20"/>
      <c r="L144" s="20"/>
      <c r="M144" s="20"/>
      <c r="N144" s="20"/>
      <c r="O144" s="20"/>
      <c r="P144" s="20"/>
    </row>
    <row r="145" spans="11:16" ht="14.25" hidden="1" x14ac:dyDescent="0.45">
      <c r="K145" s="20"/>
      <c r="L145" s="20"/>
      <c r="M145" s="20"/>
      <c r="N145" s="20"/>
      <c r="O145" s="20"/>
      <c r="P145" s="20"/>
    </row>
    <row r="146" spans="11:16" ht="14.25" hidden="1" x14ac:dyDescent="0.45">
      <c r="K146" s="20"/>
      <c r="L146" s="20"/>
      <c r="M146" s="20"/>
      <c r="N146" s="20"/>
      <c r="O146" s="20"/>
      <c r="P146" s="20"/>
    </row>
    <row r="147" spans="11:16" ht="14.25" hidden="1" x14ac:dyDescent="0.45">
      <c r="K147" s="20"/>
      <c r="L147" s="20"/>
      <c r="M147" s="20"/>
      <c r="N147" s="20"/>
      <c r="O147" s="20"/>
      <c r="P147" s="20"/>
    </row>
    <row r="148" spans="11:16" ht="14.25" hidden="1" x14ac:dyDescent="0.45">
      <c r="K148" s="20"/>
      <c r="L148" s="20"/>
      <c r="M148" s="20"/>
      <c r="N148" s="20"/>
      <c r="O148" s="20"/>
      <c r="P148" s="20"/>
    </row>
    <row r="149" spans="11:16" ht="14.25" hidden="1" x14ac:dyDescent="0.45">
      <c r="K149" s="20"/>
      <c r="L149" s="20"/>
      <c r="M149" s="20"/>
      <c r="N149" s="20"/>
      <c r="O149" s="20"/>
      <c r="P149" s="20"/>
    </row>
    <row r="150" spans="11:16" ht="14.25" hidden="1" x14ac:dyDescent="0.45">
      <c r="K150" s="20"/>
      <c r="L150" s="20"/>
      <c r="M150" s="20"/>
      <c r="N150" s="20"/>
      <c r="O150" s="20"/>
      <c r="P150" s="20"/>
    </row>
    <row r="151" spans="11:16" ht="14.25" hidden="1" x14ac:dyDescent="0.45">
      <c r="K151" s="20"/>
      <c r="L151" s="20"/>
      <c r="M151" s="20"/>
      <c r="N151" s="20"/>
      <c r="O151" s="20"/>
      <c r="P151" s="20"/>
    </row>
    <row r="152" spans="11:16" ht="14.25" hidden="1" x14ac:dyDescent="0.45">
      <c r="K152" s="20"/>
      <c r="L152" s="20"/>
      <c r="M152" s="20"/>
      <c r="N152" s="20"/>
      <c r="O152" s="20"/>
      <c r="P152" s="20"/>
    </row>
    <row r="153" spans="11:16" ht="14.25" hidden="1" x14ac:dyDescent="0.45">
      <c r="K153" s="20"/>
      <c r="L153" s="20"/>
      <c r="M153" s="20"/>
      <c r="N153" s="20"/>
      <c r="O153" s="20"/>
      <c r="P153" s="20"/>
    </row>
    <row r="154" spans="11:16" ht="14.25" hidden="1" x14ac:dyDescent="0.45">
      <c r="K154" s="20"/>
      <c r="L154" s="20"/>
      <c r="M154" s="20"/>
      <c r="N154" s="20"/>
      <c r="O154" s="20"/>
      <c r="P154" s="20"/>
    </row>
    <row r="155" spans="11:16" ht="14.25" hidden="1" x14ac:dyDescent="0.45">
      <c r="K155" s="20"/>
      <c r="L155" s="20"/>
      <c r="M155" s="20"/>
      <c r="N155" s="20"/>
      <c r="O155" s="20"/>
      <c r="P155" s="20"/>
    </row>
    <row r="156" spans="11:16" ht="14.25" hidden="1" x14ac:dyDescent="0.45">
      <c r="K156" s="20"/>
      <c r="L156" s="20"/>
      <c r="M156" s="20"/>
      <c r="N156" s="20"/>
      <c r="O156" s="20"/>
      <c r="P156" s="20"/>
    </row>
    <row r="157" spans="11:16" ht="14.25" hidden="1" x14ac:dyDescent="0.45">
      <c r="K157" s="20"/>
      <c r="L157" s="20"/>
      <c r="M157" s="20"/>
      <c r="N157" s="20"/>
      <c r="O157" s="20"/>
      <c r="P157" s="20"/>
    </row>
    <row r="158" spans="11:16" ht="14.25" hidden="1" x14ac:dyDescent="0.45">
      <c r="K158" s="20"/>
      <c r="L158" s="20"/>
      <c r="M158" s="20"/>
      <c r="N158" s="20"/>
      <c r="O158" s="20"/>
      <c r="P158" s="20"/>
    </row>
    <row r="159" spans="11:16" ht="14.25" hidden="1" x14ac:dyDescent="0.45">
      <c r="K159" s="20"/>
      <c r="L159" s="20"/>
      <c r="M159" s="20"/>
      <c r="N159" s="20"/>
      <c r="O159" s="20"/>
      <c r="P159" s="20"/>
    </row>
    <row r="160" spans="11:16" ht="14.25" hidden="1" x14ac:dyDescent="0.45">
      <c r="K160" s="20"/>
      <c r="L160" s="20"/>
      <c r="M160" s="20"/>
      <c r="N160" s="20"/>
      <c r="O160" s="20"/>
      <c r="P160" s="20"/>
    </row>
    <row r="161" spans="11:16" ht="14.25" hidden="1" x14ac:dyDescent="0.45">
      <c r="K161" s="20"/>
      <c r="L161" s="20"/>
      <c r="M161" s="20"/>
      <c r="N161" s="20"/>
      <c r="O161" s="20"/>
      <c r="P161" s="20"/>
    </row>
    <row r="162" spans="11:16" ht="14.25" hidden="1" x14ac:dyDescent="0.45">
      <c r="K162" s="20"/>
      <c r="L162" s="20"/>
      <c r="M162" s="20"/>
      <c r="N162" s="20"/>
      <c r="O162" s="20"/>
      <c r="P162" s="20"/>
    </row>
    <row r="163" spans="11:16" ht="14.25" hidden="1" x14ac:dyDescent="0.45">
      <c r="K163" s="20"/>
      <c r="L163" s="20"/>
      <c r="M163" s="20"/>
      <c r="N163" s="20"/>
      <c r="O163" s="20"/>
      <c r="P163" s="20"/>
    </row>
    <row r="164" spans="11:16" ht="14.25" hidden="1" x14ac:dyDescent="0.45">
      <c r="K164" s="20"/>
      <c r="L164" s="20"/>
      <c r="M164" s="20"/>
      <c r="N164" s="20"/>
      <c r="O164" s="20"/>
      <c r="P164" s="20"/>
    </row>
    <row r="165" spans="11:16" ht="14.25" hidden="1" x14ac:dyDescent="0.45">
      <c r="K165" s="20"/>
      <c r="L165" s="20"/>
      <c r="M165" s="20"/>
      <c r="N165" s="20"/>
      <c r="O165" s="20"/>
      <c r="P165" s="20"/>
    </row>
    <row r="166" spans="11:16" ht="14.25" hidden="1" x14ac:dyDescent="0.45">
      <c r="K166" s="20"/>
      <c r="L166" s="20"/>
      <c r="M166" s="20"/>
      <c r="N166" s="20"/>
      <c r="O166" s="20"/>
      <c r="P166" s="20"/>
    </row>
    <row r="167" spans="11:16" ht="14.25" hidden="1" x14ac:dyDescent="0.45">
      <c r="K167" s="20"/>
      <c r="L167" s="20"/>
      <c r="M167" s="20"/>
      <c r="N167" s="20"/>
      <c r="O167" s="20"/>
      <c r="P167" s="20"/>
    </row>
    <row r="168" spans="11:16" ht="14.25" hidden="1" x14ac:dyDescent="0.45">
      <c r="K168" s="20"/>
      <c r="L168" s="20"/>
      <c r="M168" s="20"/>
      <c r="N168" s="20"/>
      <c r="O168" s="20"/>
      <c r="P168" s="20"/>
    </row>
    <row r="169" spans="11:16" ht="14.25" hidden="1" x14ac:dyDescent="0.45">
      <c r="K169" s="20"/>
      <c r="L169" s="20"/>
      <c r="M169" s="20"/>
      <c r="N169" s="20"/>
      <c r="O169" s="20"/>
      <c r="P169" s="20"/>
    </row>
    <row r="170" spans="11:16" ht="14.25" hidden="1" x14ac:dyDescent="0.45">
      <c r="K170" s="20"/>
      <c r="L170" s="20"/>
      <c r="M170" s="20"/>
      <c r="N170" s="20"/>
      <c r="O170" s="20"/>
      <c r="P170" s="20"/>
    </row>
    <row r="171" spans="11:16" ht="14.25" hidden="1" x14ac:dyDescent="0.45">
      <c r="K171" s="20"/>
      <c r="L171" s="20"/>
      <c r="M171" s="20"/>
      <c r="N171" s="20"/>
      <c r="O171" s="20"/>
      <c r="P171" s="20"/>
    </row>
    <row r="172" spans="11:16" ht="14.25" hidden="1" x14ac:dyDescent="0.45">
      <c r="K172" s="20"/>
      <c r="L172" s="20"/>
      <c r="M172" s="20"/>
      <c r="N172" s="20"/>
      <c r="O172" s="20"/>
      <c r="P172" s="20"/>
    </row>
    <row r="173" spans="11:16" ht="14.25" hidden="1" x14ac:dyDescent="0.45">
      <c r="K173" s="20"/>
      <c r="L173" s="20"/>
      <c r="M173" s="20"/>
      <c r="N173" s="20"/>
      <c r="O173" s="20"/>
      <c r="P173" s="20"/>
    </row>
    <row r="174" spans="11:16" ht="14.25" hidden="1" x14ac:dyDescent="0.45">
      <c r="K174" s="20"/>
      <c r="L174" s="20"/>
      <c r="M174" s="20"/>
      <c r="N174" s="20"/>
      <c r="O174" s="20"/>
      <c r="P174" s="20"/>
    </row>
    <row r="175" spans="11:16" ht="14.25" hidden="1" x14ac:dyDescent="0.45">
      <c r="K175" s="20"/>
      <c r="L175" s="20"/>
      <c r="M175" s="20"/>
      <c r="N175" s="20"/>
      <c r="O175" s="20"/>
      <c r="P175" s="20"/>
    </row>
    <row r="176" spans="11:16" ht="14.25" hidden="1" x14ac:dyDescent="0.45">
      <c r="K176" s="20"/>
      <c r="L176" s="20"/>
      <c r="M176" s="20"/>
      <c r="N176" s="20"/>
      <c r="O176" s="20"/>
      <c r="P176" s="20"/>
    </row>
    <row r="177" spans="11:16" ht="14.25" hidden="1" x14ac:dyDescent="0.45">
      <c r="K177" s="20"/>
      <c r="L177" s="20"/>
      <c r="M177" s="20"/>
      <c r="N177" s="20"/>
      <c r="O177" s="20"/>
      <c r="P177" s="20"/>
    </row>
    <row r="178" spans="11:16" ht="14.25" hidden="1" x14ac:dyDescent="0.45">
      <c r="K178" s="20"/>
      <c r="L178" s="20"/>
      <c r="M178" s="20"/>
      <c r="N178" s="20"/>
      <c r="O178" s="20"/>
      <c r="P178" s="20"/>
    </row>
    <row r="179" spans="11:16" ht="14.25" hidden="1" x14ac:dyDescent="0.45">
      <c r="K179" s="20"/>
      <c r="L179" s="20"/>
      <c r="M179" s="20"/>
      <c r="N179" s="20"/>
      <c r="O179" s="20"/>
      <c r="P179" s="20"/>
    </row>
    <row r="180" spans="11:16" ht="14.25" hidden="1" x14ac:dyDescent="0.45">
      <c r="K180" s="20"/>
      <c r="L180" s="20"/>
      <c r="M180" s="20"/>
      <c r="N180" s="20"/>
      <c r="O180" s="20"/>
      <c r="P180" s="20"/>
    </row>
    <row r="181" spans="11:16" ht="14.25" hidden="1" x14ac:dyDescent="0.45">
      <c r="K181" s="20"/>
      <c r="L181" s="20"/>
      <c r="M181" s="20"/>
      <c r="N181" s="20"/>
      <c r="O181" s="20"/>
      <c r="P181" s="20"/>
    </row>
    <row r="182" spans="11:16" ht="14.25" hidden="1" x14ac:dyDescent="0.45">
      <c r="K182" s="20"/>
      <c r="L182" s="20"/>
      <c r="M182" s="20"/>
      <c r="N182" s="20"/>
      <c r="O182" s="20"/>
      <c r="P182" s="20"/>
    </row>
    <row r="183" spans="11:16" ht="14.25" hidden="1" x14ac:dyDescent="0.45">
      <c r="K183" s="20"/>
      <c r="L183" s="20"/>
      <c r="M183" s="20"/>
      <c r="N183" s="20"/>
      <c r="O183" s="20"/>
      <c r="P183" s="20"/>
    </row>
    <row r="184" spans="11:16" ht="14.25" hidden="1" x14ac:dyDescent="0.45">
      <c r="K184" s="20"/>
      <c r="L184" s="20"/>
      <c r="M184" s="20"/>
      <c r="N184" s="20"/>
      <c r="O184" s="20"/>
      <c r="P184" s="20"/>
    </row>
    <row r="185" spans="11:16" ht="14.25" hidden="1" x14ac:dyDescent="0.45">
      <c r="K185" s="20"/>
      <c r="L185" s="20"/>
      <c r="M185" s="20"/>
      <c r="N185" s="20"/>
      <c r="O185" s="20"/>
      <c r="P185" s="20"/>
    </row>
    <row r="186" spans="11:16" ht="14.25" hidden="1" x14ac:dyDescent="0.45">
      <c r="K186" s="20"/>
      <c r="L186" s="20"/>
      <c r="M186" s="20"/>
      <c r="N186" s="20"/>
      <c r="O186" s="20"/>
      <c r="P186" s="20"/>
    </row>
    <row r="187" spans="11:16" ht="14.25" hidden="1" x14ac:dyDescent="0.45">
      <c r="K187" s="20"/>
      <c r="L187" s="20"/>
      <c r="M187" s="20"/>
      <c r="N187" s="20"/>
      <c r="O187" s="20"/>
      <c r="P187" s="20"/>
    </row>
    <row r="188" spans="11:16" ht="14.25" hidden="1" x14ac:dyDescent="0.45">
      <c r="K188" s="20"/>
      <c r="L188" s="20"/>
      <c r="M188" s="20"/>
      <c r="N188" s="20"/>
      <c r="O188" s="20"/>
      <c r="P188" s="20"/>
    </row>
    <row r="189" spans="11:16" ht="14.25" hidden="1" x14ac:dyDescent="0.45">
      <c r="K189" s="20"/>
      <c r="L189" s="20"/>
      <c r="M189" s="20"/>
      <c r="N189" s="20"/>
      <c r="O189" s="20"/>
      <c r="P189" s="20"/>
    </row>
    <row r="190" spans="11:16" ht="14.25" hidden="1" x14ac:dyDescent="0.45">
      <c r="K190" s="20"/>
      <c r="L190" s="20"/>
      <c r="M190" s="20"/>
      <c r="N190" s="20"/>
      <c r="O190" s="20"/>
      <c r="P190" s="20"/>
    </row>
    <row r="191" spans="11:16" ht="14.25" hidden="1" x14ac:dyDescent="0.45">
      <c r="K191" s="20"/>
      <c r="L191" s="20"/>
      <c r="M191" s="20"/>
      <c r="N191" s="20"/>
      <c r="O191" s="20"/>
      <c r="P191" s="20"/>
    </row>
    <row r="192" spans="11:16" ht="14.25" hidden="1" x14ac:dyDescent="0.45">
      <c r="K192" s="20"/>
      <c r="L192" s="20"/>
      <c r="M192" s="20"/>
      <c r="N192" s="20"/>
      <c r="O192" s="20"/>
      <c r="P192" s="20"/>
    </row>
    <row r="193" spans="11:16" ht="14.25" hidden="1" x14ac:dyDescent="0.45">
      <c r="K193" s="20"/>
      <c r="L193" s="20"/>
      <c r="M193" s="20"/>
      <c r="N193" s="20"/>
      <c r="O193" s="20"/>
      <c r="P193" s="20"/>
    </row>
    <row r="194" spans="11:16" ht="14.25" hidden="1" x14ac:dyDescent="0.45">
      <c r="K194" s="20"/>
      <c r="L194" s="20"/>
      <c r="M194" s="20"/>
      <c r="N194" s="20"/>
      <c r="O194" s="20"/>
      <c r="P194" s="20"/>
    </row>
    <row r="195" spans="11:16" ht="14.25" hidden="1" x14ac:dyDescent="0.45">
      <c r="K195" s="20"/>
      <c r="L195" s="20"/>
      <c r="M195" s="20"/>
      <c r="N195" s="20"/>
      <c r="O195" s="20"/>
      <c r="P195" s="20"/>
    </row>
    <row r="196" spans="11:16" ht="14.25" hidden="1" x14ac:dyDescent="0.45">
      <c r="K196" s="20"/>
      <c r="L196" s="20"/>
      <c r="M196" s="20"/>
      <c r="N196" s="20"/>
      <c r="O196" s="20"/>
      <c r="P196" s="20"/>
    </row>
    <row r="197" spans="11:16" ht="14.25" hidden="1" x14ac:dyDescent="0.45">
      <c r="K197" s="20"/>
      <c r="L197" s="20"/>
      <c r="M197" s="20"/>
      <c r="N197" s="20"/>
      <c r="O197" s="20"/>
      <c r="P197" s="20"/>
    </row>
    <row r="198" spans="11:16" ht="14.25" hidden="1" x14ac:dyDescent="0.45">
      <c r="K198" s="20"/>
      <c r="L198" s="20"/>
      <c r="M198" s="20"/>
      <c r="N198" s="20"/>
      <c r="O198" s="20"/>
      <c r="P198" s="20"/>
    </row>
    <row r="199" spans="11:16" ht="14.25" hidden="1" x14ac:dyDescent="0.45">
      <c r="K199" s="20"/>
      <c r="L199" s="20"/>
      <c r="M199" s="20"/>
      <c r="N199" s="20"/>
      <c r="O199" s="20"/>
      <c r="P199" s="20"/>
    </row>
    <row r="200" spans="11:16" ht="14.25" hidden="1" x14ac:dyDescent="0.45">
      <c r="K200" s="20"/>
      <c r="L200" s="20"/>
      <c r="M200" s="20"/>
      <c r="N200" s="20"/>
      <c r="O200" s="20"/>
      <c r="P200" s="20"/>
    </row>
    <row r="201" spans="11:16" ht="14.25" hidden="1" x14ac:dyDescent="0.45">
      <c r="K201" s="20"/>
      <c r="L201" s="20"/>
      <c r="M201" s="20"/>
      <c r="N201" s="20"/>
      <c r="O201" s="20"/>
      <c r="P201" s="20"/>
    </row>
    <row r="202" spans="11:16" ht="14.25" hidden="1" x14ac:dyDescent="0.45">
      <c r="K202" s="20"/>
      <c r="L202" s="20"/>
      <c r="M202" s="20"/>
      <c r="N202" s="20"/>
      <c r="O202" s="20"/>
      <c r="P202" s="20"/>
    </row>
    <row r="203" spans="11:16" ht="14.25" hidden="1" x14ac:dyDescent="0.45">
      <c r="K203" s="20"/>
      <c r="L203" s="20"/>
      <c r="M203" s="20"/>
      <c r="N203" s="20"/>
      <c r="O203" s="20"/>
      <c r="P203" s="20"/>
    </row>
    <row r="204" spans="11:16" ht="14.25" hidden="1" x14ac:dyDescent="0.45">
      <c r="K204" s="20"/>
      <c r="L204" s="20"/>
      <c r="M204" s="20"/>
      <c r="N204" s="20"/>
      <c r="O204" s="20"/>
      <c r="P204" s="20"/>
    </row>
    <row r="205" spans="11:16" ht="14.25" hidden="1" x14ac:dyDescent="0.45">
      <c r="K205" s="20"/>
      <c r="L205" s="20"/>
      <c r="M205" s="20"/>
      <c r="N205" s="20"/>
      <c r="O205" s="20"/>
      <c r="P205" s="20"/>
    </row>
    <row r="206" spans="11:16" ht="14.25" hidden="1" x14ac:dyDescent="0.45">
      <c r="K206" s="20"/>
      <c r="L206" s="20"/>
      <c r="M206" s="20"/>
      <c r="N206" s="20"/>
      <c r="O206" s="20"/>
      <c r="P206" s="20"/>
    </row>
    <row r="207" spans="11:16" ht="14.25" hidden="1" x14ac:dyDescent="0.45">
      <c r="K207" s="20"/>
      <c r="L207" s="20"/>
      <c r="M207" s="20"/>
      <c r="N207" s="20"/>
      <c r="O207" s="20"/>
      <c r="P207" s="20"/>
    </row>
    <row r="208" spans="11:16" ht="14.25" hidden="1" x14ac:dyDescent="0.45">
      <c r="K208" s="20"/>
      <c r="L208" s="20"/>
      <c r="M208" s="20"/>
      <c r="N208" s="20"/>
      <c r="O208" s="20"/>
      <c r="P208" s="20"/>
    </row>
    <row r="209" spans="11:16" ht="14.25" hidden="1" x14ac:dyDescent="0.45">
      <c r="K209" s="20"/>
      <c r="L209" s="20"/>
      <c r="M209" s="20"/>
      <c r="N209" s="20"/>
      <c r="O209" s="20"/>
      <c r="P209" s="20"/>
    </row>
    <row r="210" spans="11:16" ht="14.25" hidden="1" x14ac:dyDescent="0.45">
      <c r="K210" s="20"/>
      <c r="L210" s="20"/>
      <c r="M210" s="20"/>
      <c r="N210" s="20"/>
      <c r="O210" s="20"/>
      <c r="P210" s="20"/>
    </row>
    <row r="211" spans="11:16" ht="14.25" hidden="1" x14ac:dyDescent="0.45">
      <c r="K211" s="20"/>
      <c r="L211" s="20"/>
      <c r="M211" s="20"/>
      <c r="N211" s="20"/>
      <c r="O211" s="20"/>
      <c r="P211" s="20"/>
    </row>
    <row r="212" spans="11:16" ht="14.25" hidden="1" x14ac:dyDescent="0.45">
      <c r="K212" s="20"/>
      <c r="L212" s="20"/>
      <c r="M212" s="20"/>
      <c r="N212" s="20"/>
      <c r="O212" s="20"/>
      <c r="P212" s="20"/>
    </row>
    <row r="213" spans="11:16" ht="14.25" hidden="1" x14ac:dyDescent="0.45">
      <c r="K213" s="20"/>
      <c r="L213" s="20"/>
      <c r="M213" s="20"/>
      <c r="N213" s="20"/>
      <c r="O213" s="20"/>
      <c r="P213" s="20"/>
    </row>
    <row r="214" spans="11:16" ht="14.25" hidden="1" x14ac:dyDescent="0.45">
      <c r="K214" s="20"/>
      <c r="L214" s="20"/>
      <c r="M214" s="20"/>
      <c r="N214" s="20"/>
      <c r="O214" s="20"/>
      <c r="P214" s="20"/>
    </row>
    <row r="215" spans="11:16" ht="14.25" hidden="1" x14ac:dyDescent="0.45">
      <c r="K215" s="20"/>
      <c r="L215" s="20"/>
      <c r="M215" s="20"/>
      <c r="N215" s="20"/>
      <c r="O215" s="20"/>
      <c r="P215" s="20"/>
    </row>
    <row r="216" spans="11:16" ht="14.25" hidden="1" x14ac:dyDescent="0.45">
      <c r="K216" s="20"/>
      <c r="L216" s="20"/>
      <c r="M216" s="20"/>
      <c r="N216" s="20"/>
      <c r="O216" s="20"/>
      <c r="P216" s="20"/>
    </row>
    <row r="217" spans="11:16" ht="14.25" hidden="1" x14ac:dyDescent="0.45">
      <c r="K217" s="20"/>
      <c r="L217" s="20"/>
      <c r="M217" s="20"/>
      <c r="N217" s="20"/>
      <c r="O217" s="20"/>
      <c r="P217" s="20"/>
    </row>
    <row r="218" spans="11:16" ht="14.25" hidden="1" x14ac:dyDescent="0.45">
      <c r="K218" s="20"/>
      <c r="L218" s="20"/>
      <c r="M218" s="20"/>
      <c r="N218" s="20"/>
      <c r="O218" s="20"/>
      <c r="P218" s="20"/>
    </row>
    <row r="219" spans="11:16" ht="14.25" hidden="1" x14ac:dyDescent="0.45">
      <c r="K219" s="20"/>
      <c r="L219" s="20"/>
      <c r="M219" s="20"/>
      <c r="N219" s="20"/>
      <c r="O219" s="20"/>
      <c r="P219" s="20"/>
    </row>
    <row r="220" spans="11:16" ht="14.25" hidden="1" x14ac:dyDescent="0.45">
      <c r="K220" s="20"/>
      <c r="L220" s="20"/>
      <c r="M220" s="20"/>
      <c r="N220" s="20"/>
      <c r="O220" s="20"/>
      <c r="P220" s="20"/>
    </row>
    <row r="221" spans="11:16" ht="14.25" hidden="1" x14ac:dyDescent="0.45">
      <c r="K221" s="20"/>
      <c r="L221" s="20"/>
      <c r="M221" s="20"/>
      <c r="N221" s="20"/>
      <c r="O221" s="20"/>
      <c r="P221" s="20"/>
    </row>
    <row r="222" spans="11:16" ht="14.25" hidden="1" x14ac:dyDescent="0.45">
      <c r="K222" s="20"/>
      <c r="L222" s="20"/>
      <c r="M222" s="20"/>
      <c r="N222" s="20"/>
      <c r="O222" s="20"/>
      <c r="P222" s="20"/>
    </row>
    <row r="223" spans="11:16" ht="14.25" hidden="1" x14ac:dyDescent="0.45">
      <c r="K223" s="20"/>
      <c r="L223" s="20"/>
      <c r="M223" s="20"/>
      <c r="N223" s="20"/>
      <c r="O223" s="20"/>
      <c r="P223" s="20"/>
    </row>
    <row r="224" spans="11:16" ht="14.25" hidden="1" x14ac:dyDescent="0.45">
      <c r="K224" s="20"/>
      <c r="L224" s="20"/>
      <c r="M224" s="20"/>
      <c r="N224" s="20"/>
      <c r="O224" s="20"/>
      <c r="P224" s="20"/>
    </row>
    <row r="225" spans="11:16" ht="14.25" hidden="1" x14ac:dyDescent="0.45">
      <c r="K225" s="20"/>
      <c r="L225" s="20"/>
      <c r="M225" s="20"/>
      <c r="N225" s="20"/>
      <c r="O225" s="20"/>
      <c r="P225" s="20"/>
    </row>
    <row r="226" spans="11:16" ht="14.25" hidden="1" x14ac:dyDescent="0.45">
      <c r="K226" s="20"/>
      <c r="L226" s="20"/>
      <c r="M226" s="20"/>
      <c r="N226" s="20"/>
      <c r="O226" s="20"/>
      <c r="P226" s="20"/>
    </row>
    <row r="227" spans="11:16" ht="14.25" hidden="1" x14ac:dyDescent="0.45">
      <c r="K227" s="20"/>
      <c r="L227" s="20"/>
      <c r="M227" s="20"/>
      <c r="N227" s="20"/>
      <c r="O227" s="20"/>
      <c r="P227" s="20"/>
    </row>
    <row r="228" spans="11:16" ht="14.25" hidden="1" x14ac:dyDescent="0.45">
      <c r="K228" s="20"/>
      <c r="L228" s="20"/>
      <c r="M228" s="20"/>
      <c r="N228" s="20"/>
      <c r="O228" s="20"/>
      <c r="P228" s="20"/>
    </row>
    <row r="229" spans="11:16" ht="14.25" hidden="1" x14ac:dyDescent="0.45">
      <c r="K229" s="20"/>
      <c r="L229" s="20"/>
      <c r="M229" s="20"/>
      <c r="N229" s="20"/>
      <c r="O229" s="20"/>
      <c r="P229" s="20"/>
    </row>
    <row r="230" spans="11:16" ht="14.25" hidden="1" x14ac:dyDescent="0.45">
      <c r="K230" s="20"/>
      <c r="L230" s="20"/>
      <c r="M230" s="20"/>
      <c r="N230" s="20"/>
      <c r="O230" s="20"/>
      <c r="P230" s="20"/>
    </row>
    <row r="231" spans="11:16" ht="14.25" hidden="1" x14ac:dyDescent="0.45">
      <c r="K231" s="20"/>
      <c r="L231" s="20"/>
      <c r="M231" s="20"/>
      <c r="N231" s="20"/>
      <c r="O231" s="20"/>
      <c r="P231" s="20"/>
    </row>
    <row r="232" spans="11:16" ht="14.25" hidden="1" x14ac:dyDescent="0.45">
      <c r="K232" s="20"/>
      <c r="L232" s="20"/>
      <c r="M232" s="20"/>
      <c r="N232" s="20"/>
      <c r="O232" s="20"/>
      <c r="P232" s="20"/>
    </row>
    <row r="233" spans="11:16" ht="14.25" hidden="1" x14ac:dyDescent="0.45">
      <c r="K233" s="20"/>
      <c r="L233" s="20"/>
      <c r="M233" s="20"/>
      <c r="N233" s="20"/>
      <c r="O233" s="20"/>
      <c r="P233" s="20"/>
    </row>
    <row r="234" spans="11:16" ht="14.25" hidden="1" x14ac:dyDescent="0.45">
      <c r="K234" s="20"/>
      <c r="L234" s="20"/>
      <c r="M234" s="20"/>
      <c r="N234" s="20"/>
      <c r="O234" s="20"/>
      <c r="P234" s="20"/>
    </row>
    <row r="235" spans="11:16" ht="14.25" hidden="1" x14ac:dyDescent="0.45">
      <c r="K235" s="20"/>
      <c r="L235" s="20"/>
      <c r="M235" s="20"/>
      <c r="N235" s="20"/>
      <c r="O235" s="20"/>
      <c r="P235" s="20"/>
    </row>
    <row r="236" spans="11:16" ht="14.25" hidden="1" x14ac:dyDescent="0.45">
      <c r="K236" s="20"/>
      <c r="L236" s="20"/>
      <c r="M236" s="20"/>
      <c r="N236" s="20"/>
      <c r="O236" s="20"/>
      <c r="P236" s="20"/>
    </row>
    <row r="237" spans="11:16" ht="14.25" hidden="1" x14ac:dyDescent="0.45">
      <c r="K237" s="20"/>
      <c r="L237" s="20"/>
      <c r="M237" s="20"/>
      <c r="N237" s="20"/>
      <c r="O237" s="20"/>
      <c r="P237" s="20"/>
    </row>
    <row r="238" spans="11:16" ht="14.25" hidden="1" x14ac:dyDescent="0.45">
      <c r="K238" s="20"/>
      <c r="L238" s="20"/>
      <c r="M238" s="20"/>
      <c r="N238" s="20"/>
      <c r="O238" s="20"/>
      <c r="P238" s="20"/>
    </row>
    <row r="239" spans="11:16" ht="14.25" hidden="1" x14ac:dyDescent="0.45">
      <c r="K239" s="20"/>
      <c r="L239" s="20"/>
      <c r="M239" s="20"/>
      <c r="N239" s="20"/>
      <c r="O239" s="20"/>
      <c r="P239" s="20"/>
    </row>
    <row r="240" spans="11:16" ht="14.25" hidden="1" x14ac:dyDescent="0.45">
      <c r="K240" s="20"/>
      <c r="L240" s="20"/>
      <c r="M240" s="20"/>
      <c r="N240" s="20"/>
      <c r="O240" s="20"/>
      <c r="P240" s="20"/>
    </row>
    <row r="241" spans="11:16" ht="14.25" hidden="1" x14ac:dyDescent="0.45">
      <c r="K241" s="20"/>
      <c r="L241" s="20"/>
      <c r="M241" s="20"/>
      <c r="N241" s="20"/>
      <c r="O241" s="20"/>
      <c r="P241" s="20"/>
    </row>
    <row r="242" spans="11:16" ht="14.25" hidden="1" x14ac:dyDescent="0.45">
      <c r="K242" s="20"/>
      <c r="L242" s="20"/>
      <c r="M242" s="20"/>
      <c r="N242" s="20"/>
      <c r="O242" s="20"/>
      <c r="P242" s="20"/>
    </row>
    <row r="243" spans="11:16" ht="14.25" hidden="1" x14ac:dyDescent="0.45">
      <c r="K243" s="20"/>
      <c r="L243" s="20"/>
      <c r="M243" s="20"/>
      <c r="N243" s="20"/>
      <c r="O243" s="20"/>
      <c r="P243" s="20"/>
    </row>
    <row r="244" spans="11:16" ht="14.25" hidden="1" x14ac:dyDescent="0.45">
      <c r="K244" s="20"/>
      <c r="L244" s="20"/>
      <c r="M244" s="20"/>
      <c r="N244" s="20"/>
      <c r="O244" s="20"/>
      <c r="P244" s="20"/>
    </row>
    <row r="245" spans="11:16" ht="14.25" hidden="1" x14ac:dyDescent="0.45">
      <c r="K245" s="20"/>
      <c r="L245" s="20"/>
      <c r="M245" s="20"/>
      <c r="N245" s="20"/>
      <c r="O245" s="20"/>
      <c r="P245" s="20"/>
    </row>
    <row r="246" spans="11:16" ht="14.25" hidden="1" x14ac:dyDescent="0.45">
      <c r="K246" s="20"/>
      <c r="L246" s="20"/>
      <c r="M246" s="20"/>
      <c r="N246" s="20"/>
      <c r="O246" s="20"/>
      <c r="P246" s="20"/>
    </row>
    <row r="247" spans="11:16" ht="14.25" hidden="1" x14ac:dyDescent="0.45">
      <c r="K247" s="20"/>
      <c r="L247" s="20"/>
      <c r="M247" s="20"/>
      <c r="N247" s="20"/>
      <c r="O247" s="20"/>
      <c r="P247" s="20"/>
    </row>
    <row r="248" spans="11:16" ht="14.25" hidden="1" x14ac:dyDescent="0.45">
      <c r="K248" s="20"/>
      <c r="L248" s="20"/>
      <c r="M248" s="20"/>
      <c r="N248" s="20"/>
      <c r="O248" s="20"/>
      <c r="P248" s="20"/>
    </row>
    <row r="249" spans="11:16" ht="14.25" hidden="1" x14ac:dyDescent="0.45">
      <c r="K249" s="20"/>
      <c r="L249" s="20"/>
      <c r="M249" s="20"/>
      <c r="N249" s="20"/>
      <c r="O249" s="20"/>
      <c r="P249" s="20"/>
    </row>
    <row r="250" spans="11:16" ht="14.25" hidden="1" x14ac:dyDescent="0.45">
      <c r="K250" s="20"/>
      <c r="L250" s="20"/>
      <c r="M250" s="20"/>
      <c r="N250" s="20"/>
      <c r="O250" s="20"/>
      <c r="P250" s="20"/>
    </row>
    <row r="251" spans="11:16" ht="14.25" hidden="1" x14ac:dyDescent="0.45">
      <c r="K251" s="20"/>
      <c r="L251" s="20"/>
      <c r="M251" s="20"/>
      <c r="N251" s="20"/>
      <c r="O251" s="20"/>
      <c r="P251" s="20"/>
    </row>
    <row r="252" spans="11:16" ht="14.25" hidden="1" x14ac:dyDescent="0.45">
      <c r="K252" s="20"/>
      <c r="L252" s="20"/>
      <c r="M252" s="20"/>
      <c r="N252" s="20"/>
      <c r="O252" s="20"/>
      <c r="P252" s="20"/>
    </row>
    <row r="253" spans="11:16" ht="14.25" hidden="1" x14ac:dyDescent="0.45">
      <c r="K253" s="20"/>
      <c r="L253" s="20"/>
      <c r="M253" s="20"/>
      <c r="N253" s="20"/>
      <c r="O253" s="20"/>
      <c r="P253" s="20"/>
    </row>
    <row r="254" spans="11:16" ht="14.25" hidden="1" x14ac:dyDescent="0.45">
      <c r="K254" s="20"/>
      <c r="L254" s="20"/>
      <c r="M254" s="20"/>
      <c r="N254" s="20"/>
      <c r="O254" s="20"/>
      <c r="P254" s="20"/>
    </row>
    <row r="255" spans="11:16" ht="14.25" hidden="1" x14ac:dyDescent="0.45">
      <c r="K255" s="20"/>
      <c r="L255" s="20"/>
      <c r="M255" s="20"/>
      <c r="N255" s="20"/>
      <c r="O255" s="20"/>
      <c r="P255" s="20"/>
    </row>
    <row r="256" spans="11:16" ht="14.25" hidden="1" x14ac:dyDescent="0.45">
      <c r="K256" s="20"/>
      <c r="L256" s="20"/>
      <c r="M256" s="20"/>
      <c r="N256" s="20"/>
      <c r="O256" s="20"/>
      <c r="P256" s="20"/>
    </row>
    <row r="257" spans="11:16" ht="14.25" hidden="1" x14ac:dyDescent="0.45">
      <c r="K257" s="20"/>
      <c r="L257" s="20"/>
      <c r="M257" s="20"/>
      <c r="N257" s="20"/>
      <c r="O257" s="20"/>
      <c r="P257" s="20"/>
    </row>
    <row r="258" spans="11:16" ht="14.25" hidden="1" x14ac:dyDescent="0.45">
      <c r="K258" s="20"/>
      <c r="L258" s="20"/>
      <c r="M258" s="20"/>
      <c r="N258" s="20"/>
      <c r="O258" s="20"/>
      <c r="P258" s="20"/>
    </row>
    <row r="259" spans="11:16" ht="14.25" hidden="1" x14ac:dyDescent="0.45">
      <c r="K259" s="20"/>
      <c r="L259" s="20"/>
      <c r="M259" s="20"/>
      <c r="N259" s="20"/>
      <c r="O259" s="20"/>
      <c r="P259" s="20"/>
    </row>
    <row r="260" spans="11:16" ht="14.25" hidden="1" x14ac:dyDescent="0.45">
      <c r="K260" s="20"/>
      <c r="L260" s="20"/>
      <c r="M260" s="20"/>
      <c r="N260" s="20"/>
      <c r="O260" s="20"/>
      <c r="P260" s="20"/>
    </row>
    <row r="261" spans="11:16" ht="14.25" hidden="1" x14ac:dyDescent="0.45">
      <c r="K261" s="20"/>
      <c r="L261" s="20"/>
      <c r="M261" s="20"/>
      <c r="N261" s="20"/>
      <c r="O261" s="20"/>
      <c r="P261" s="20"/>
    </row>
    <row r="262" spans="11:16" ht="14.25" hidden="1" x14ac:dyDescent="0.45">
      <c r="K262" s="20"/>
      <c r="L262" s="20"/>
      <c r="M262" s="20"/>
      <c r="N262" s="20"/>
      <c r="O262" s="20"/>
      <c r="P262" s="20"/>
    </row>
    <row r="263" spans="11:16" ht="14.25" hidden="1" x14ac:dyDescent="0.45">
      <c r="K263" s="20"/>
      <c r="L263" s="20"/>
      <c r="M263" s="20"/>
      <c r="N263" s="20"/>
      <c r="O263" s="20"/>
      <c r="P263" s="20"/>
    </row>
    <row r="264" spans="11:16" ht="14.25" hidden="1" x14ac:dyDescent="0.45">
      <c r="K264" s="20"/>
      <c r="L264" s="20"/>
      <c r="M264" s="20"/>
      <c r="N264" s="20"/>
      <c r="O264" s="20"/>
      <c r="P264" s="20"/>
    </row>
    <row r="265" spans="11:16" ht="14.25" hidden="1" x14ac:dyDescent="0.45">
      <c r="K265" s="20"/>
      <c r="L265" s="20"/>
      <c r="M265" s="20"/>
      <c r="N265" s="20"/>
      <c r="O265" s="20"/>
      <c r="P265" s="20"/>
    </row>
    <row r="266" spans="11:16" ht="14.25" hidden="1" x14ac:dyDescent="0.45">
      <c r="K266" s="20"/>
      <c r="L266" s="20"/>
      <c r="M266" s="20"/>
      <c r="N266" s="20"/>
      <c r="O266" s="20"/>
      <c r="P266" s="20"/>
    </row>
    <row r="267" spans="11:16" ht="14.25" hidden="1" x14ac:dyDescent="0.45">
      <c r="K267" s="20"/>
      <c r="L267" s="20"/>
      <c r="M267" s="20"/>
      <c r="N267" s="20"/>
      <c r="O267" s="20"/>
      <c r="P267" s="20"/>
    </row>
    <row r="268" spans="11:16" ht="14.25" hidden="1" x14ac:dyDescent="0.45">
      <c r="K268" s="20"/>
      <c r="L268" s="20"/>
      <c r="M268" s="20"/>
      <c r="N268" s="20"/>
      <c r="O268" s="20"/>
      <c r="P268" s="20"/>
    </row>
    <row r="269" spans="11:16" ht="14.25" hidden="1" x14ac:dyDescent="0.45">
      <c r="K269" s="20"/>
      <c r="L269" s="20"/>
      <c r="M269" s="20"/>
      <c r="N269" s="20"/>
      <c r="O269" s="20"/>
      <c r="P269" s="20"/>
    </row>
    <row r="270" spans="11:16" ht="14.25" hidden="1" x14ac:dyDescent="0.45">
      <c r="K270" s="20"/>
      <c r="L270" s="20"/>
      <c r="M270" s="20"/>
      <c r="N270" s="20"/>
      <c r="O270" s="20"/>
      <c r="P270" s="20"/>
    </row>
    <row r="271" spans="11:16" ht="14.25" hidden="1" x14ac:dyDescent="0.45">
      <c r="K271" s="20"/>
      <c r="L271" s="20"/>
      <c r="M271" s="20"/>
      <c r="N271" s="20"/>
      <c r="O271" s="20"/>
      <c r="P271" s="20"/>
    </row>
    <row r="272" spans="11:16" ht="14.25" hidden="1" x14ac:dyDescent="0.45">
      <c r="K272" s="20"/>
      <c r="L272" s="20"/>
      <c r="M272" s="20"/>
      <c r="N272" s="20"/>
      <c r="O272" s="20"/>
      <c r="P272" s="20"/>
    </row>
    <row r="273" spans="11:16" ht="14.25" hidden="1" x14ac:dyDescent="0.45">
      <c r="K273" s="20"/>
      <c r="L273" s="20"/>
      <c r="M273" s="20"/>
      <c r="N273" s="20"/>
      <c r="O273" s="20"/>
      <c r="P273" s="20"/>
    </row>
    <row r="274" spans="11:16" ht="14.25" hidden="1" x14ac:dyDescent="0.45">
      <c r="K274" s="20"/>
      <c r="L274" s="20"/>
      <c r="M274" s="20"/>
      <c r="N274" s="20"/>
      <c r="O274" s="20"/>
      <c r="P274" s="20"/>
    </row>
    <row r="275" spans="11:16" ht="14.25" hidden="1" x14ac:dyDescent="0.45">
      <c r="K275" s="20"/>
      <c r="L275" s="20"/>
      <c r="M275" s="20"/>
      <c r="N275" s="20"/>
      <c r="O275" s="20"/>
      <c r="P275" s="20"/>
    </row>
    <row r="276" spans="11:16" ht="14.25" hidden="1" x14ac:dyDescent="0.45">
      <c r="K276" s="20"/>
      <c r="L276" s="20"/>
      <c r="M276" s="20"/>
      <c r="N276" s="20"/>
      <c r="O276" s="20"/>
      <c r="P276" s="20"/>
    </row>
    <row r="277" spans="11:16" ht="14.25" hidden="1" x14ac:dyDescent="0.45">
      <c r="K277" s="20"/>
      <c r="L277" s="20"/>
      <c r="M277" s="20"/>
      <c r="N277" s="20"/>
      <c r="O277" s="20"/>
      <c r="P277" s="20"/>
    </row>
    <row r="278" spans="11:16" ht="14.25" hidden="1" x14ac:dyDescent="0.45">
      <c r="K278" s="20"/>
      <c r="L278" s="20"/>
      <c r="M278" s="20"/>
      <c r="N278" s="20"/>
      <c r="O278" s="20"/>
      <c r="P278" s="20"/>
    </row>
    <row r="279" spans="11:16" ht="14.25" hidden="1" x14ac:dyDescent="0.45">
      <c r="K279" s="20"/>
      <c r="L279" s="20"/>
      <c r="M279" s="20"/>
      <c r="N279" s="20"/>
      <c r="O279" s="20"/>
      <c r="P279" s="20"/>
    </row>
    <row r="280" spans="11:16" ht="14.25" hidden="1" x14ac:dyDescent="0.45">
      <c r="K280" s="20"/>
      <c r="L280" s="20"/>
      <c r="M280" s="20"/>
      <c r="N280" s="20"/>
      <c r="O280" s="20"/>
      <c r="P280" s="20"/>
    </row>
    <row r="281" spans="11:16" ht="14.25" hidden="1" x14ac:dyDescent="0.45">
      <c r="K281" s="20"/>
      <c r="L281" s="20"/>
      <c r="M281" s="20"/>
      <c r="N281" s="20"/>
      <c r="O281" s="20"/>
      <c r="P281" s="20"/>
    </row>
    <row r="282" spans="11:16" ht="14.25" hidden="1" x14ac:dyDescent="0.45">
      <c r="K282" s="20"/>
      <c r="L282" s="20"/>
      <c r="M282" s="20"/>
      <c r="N282" s="20"/>
      <c r="O282" s="20"/>
      <c r="P282" s="20"/>
    </row>
    <row r="283" spans="11:16" ht="14.25" hidden="1" x14ac:dyDescent="0.45">
      <c r="K283" s="20"/>
      <c r="L283" s="20"/>
      <c r="M283" s="20"/>
      <c r="N283" s="20"/>
      <c r="O283" s="20"/>
      <c r="P283" s="20"/>
    </row>
    <row r="284" spans="11:16" ht="14.25" hidden="1" x14ac:dyDescent="0.45">
      <c r="K284" s="20"/>
      <c r="L284" s="20"/>
      <c r="M284" s="20"/>
      <c r="N284" s="20"/>
      <c r="O284" s="20"/>
      <c r="P284" s="20"/>
    </row>
    <row r="285" spans="11:16" ht="14.25" hidden="1" x14ac:dyDescent="0.45">
      <c r="K285" s="20"/>
      <c r="L285" s="20"/>
      <c r="M285" s="20"/>
      <c r="N285" s="20"/>
      <c r="O285" s="20"/>
      <c r="P285" s="20"/>
    </row>
    <row r="286" spans="11:16" ht="14.25" hidden="1" x14ac:dyDescent="0.45">
      <c r="K286" s="20"/>
      <c r="L286" s="20"/>
      <c r="M286" s="20"/>
      <c r="N286" s="20"/>
      <c r="O286" s="20"/>
      <c r="P286" s="20"/>
    </row>
    <row r="287" spans="11:16" ht="14.25" hidden="1" x14ac:dyDescent="0.45">
      <c r="K287" s="20"/>
      <c r="L287" s="20"/>
      <c r="M287" s="20"/>
      <c r="N287" s="20"/>
      <c r="O287" s="20"/>
      <c r="P287" s="20"/>
    </row>
    <row r="288" spans="11:16" ht="14.25" hidden="1" x14ac:dyDescent="0.45">
      <c r="K288" s="20"/>
      <c r="L288" s="20"/>
      <c r="M288" s="20"/>
      <c r="N288" s="20"/>
      <c r="O288" s="20"/>
      <c r="P288" s="20"/>
    </row>
    <row r="289" spans="11:16" ht="14.25" hidden="1" x14ac:dyDescent="0.45">
      <c r="K289" s="20"/>
      <c r="L289" s="20"/>
      <c r="M289" s="20"/>
      <c r="N289" s="20"/>
      <c r="O289" s="20"/>
      <c r="P289" s="20"/>
    </row>
    <row r="290" spans="11:16" ht="14.25" hidden="1" x14ac:dyDescent="0.45">
      <c r="K290" s="20"/>
      <c r="L290" s="20"/>
      <c r="M290" s="20"/>
      <c r="N290" s="20"/>
      <c r="O290" s="20"/>
      <c r="P290" s="20"/>
    </row>
    <row r="291" spans="11:16" ht="14.25" hidden="1" x14ac:dyDescent="0.45">
      <c r="K291" s="20"/>
      <c r="L291" s="20"/>
      <c r="M291" s="20"/>
      <c r="N291" s="20"/>
      <c r="O291" s="20"/>
      <c r="P291" s="20"/>
    </row>
    <row r="292" spans="11:16" ht="14.25" hidden="1" x14ac:dyDescent="0.45">
      <c r="K292" s="20"/>
      <c r="L292" s="20"/>
      <c r="M292" s="20"/>
      <c r="N292" s="20"/>
      <c r="O292" s="20"/>
      <c r="P292" s="20"/>
    </row>
    <row r="293" spans="11:16" ht="14.25" hidden="1" x14ac:dyDescent="0.45">
      <c r="K293" s="20"/>
      <c r="L293" s="20"/>
      <c r="M293" s="20"/>
      <c r="N293" s="20"/>
      <c r="O293" s="20"/>
      <c r="P293" s="20"/>
    </row>
    <row r="294" spans="11:16" ht="14.25" hidden="1" x14ac:dyDescent="0.45">
      <c r="K294" s="20"/>
      <c r="L294" s="20"/>
      <c r="M294" s="20"/>
      <c r="N294" s="20"/>
      <c r="O294" s="20"/>
      <c r="P294" s="20"/>
    </row>
    <row r="295" spans="11:16" ht="14.25" hidden="1" x14ac:dyDescent="0.45">
      <c r="K295" s="20"/>
      <c r="L295" s="20"/>
      <c r="M295" s="20"/>
      <c r="N295" s="20"/>
      <c r="O295" s="20"/>
      <c r="P295" s="20"/>
    </row>
    <row r="296" spans="11:16" ht="14.25" hidden="1" x14ac:dyDescent="0.45">
      <c r="K296" s="20"/>
      <c r="L296" s="20"/>
      <c r="M296" s="20"/>
      <c r="N296" s="20"/>
      <c r="O296" s="20"/>
      <c r="P296" s="20"/>
    </row>
    <row r="297" spans="11:16" ht="14.25" hidden="1" x14ac:dyDescent="0.45">
      <c r="K297" s="20"/>
      <c r="L297" s="20"/>
      <c r="M297" s="20"/>
      <c r="N297" s="20"/>
      <c r="O297" s="20"/>
      <c r="P297" s="20"/>
    </row>
    <row r="298" spans="11:16" ht="14.25" hidden="1" x14ac:dyDescent="0.45">
      <c r="K298" s="20"/>
      <c r="L298" s="20"/>
      <c r="M298" s="20"/>
      <c r="N298" s="20"/>
      <c r="O298" s="20"/>
      <c r="P298" s="20"/>
    </row>
    <row r="299" spans="11:16" ht="14.25" hidden="1" x14ac:dyDescent="0.45">
      <c r="K299" s="20"/>
      <c r="L299" s="20"/>
      <c r="M299" s="20"/>
      <c r="N299" s="20"/>
      <c r="O299" s="20"/>
      <c r="P299" s="20"/>
    </row>
    <row r="300" spans="11:16" ht="14.25" hidden="1" x14ac:dyDescent="0.45">
      <c r="K300" s="20"/>
      <c r="L300" s="20"/>
      <c r="M300" s="20"/>
      <c r="N300" s="20"/>
      <c r="O300" s="20"/>
      <c r="P300" s="20"/>
    </row>
    <row r="301" spans="11:16" ht="14.25" hidden="1" x14ac:dyDescent="0.45">
      <c r="K301" s="20"/>
      <c r="L301" s="20"/>
      <c r="M301" s="20"/>
      <c r="N301" s="20"/>
      <c r="O301" s="20"/>
      <c r="P301" s="20"/>
    </row>
    <row r="302" spans="11:16" ht="14.25" hidden="1" x14ac:dyDescent="0.45">
      <c r="K302" s="20"/>
      <c r="L302" s="20"/>
      <c r="M302" s="20"/>
      <c r="N302" s="20"/>
      <c r="O302" s="20"/>
      <c r="P302" s="20"/>
    </row>
    <row r="303" spans="11:16" ht="14.25" hidden="1" x14ac:dyDescent="0.45">
      <c r="K303" s="20"/>
      <c r="L303" s="20"/>
      <c r="M303" s="20"/>
      <c r="N303" s="20"/>
      <c r="O303" s="20"/>
      <c r="P303" s="20"/>
    </row>
    <row r="304" spans="11:16" ht="14.25" hidden="1" x14ac:dyDescent="0.45">
      <c r="K304" s="20"/>
      <c r="L304" s="20"/>
      <c r="M304" s="20"/>
      <c r="N304" s="20"/>
      <c r="O304" s="20"/>
      <c r="P304" s="20"/>
    </row>
    <row r="305" spans="11:16" ht="14.25" hidden="1" x14ac:dyDescent="0.45">
      <c r="K305" s="20"/>
      <c r="L305" s="20"/>
      <c r="M305" s="20"/>
      <c r="N305" s="20"/>
      <c r="O305" s="20"/>
      <c r="P305" s="20"/>
    </row>
    <row r="306" spans="11:16" ht="14.25" hidden="1" x14ac:dyDescent="0.45">
      <c r="K306" s="20"/>
      <c r="L306" s="20"/>
      <c r="M306" s="20"/>
      <c r="N306" s="20"/>
      <c r="O306" s="20"/>
      <c r="P306" s="20"/>
    </row>
    <row r="307" spans="11:16" ht="14.25" hidden="1" x14ac:dyDescent="0.45">
      <c r="K307" s="20"/>
      <c r="L307" s="20"/>
      <c r="M307" s="20"/>
      <c r="N307" s="20"/>
      <c r="O307" s="20"/>
      <c r="P307" s="20"/>
    </row>
    <row r="308" spans="11:16" ht="14.25" hidden="1" x14ac:dyDescent="0.45">
      <c r="K308" s="20"/>
      <c r="L308" s="20"/>
      <c r="M308" s="20"/>
      <c r="N308" s="20"/>
      <c r="O308" s="20"/>
      <c r="P308" s="20"/>
    </row>
    <row r="309" spans="11:16" ht="14.25" hidden="1" x14ac:dyDescent="0.45">
      <c r="K309" s="20"/>
      <c r="L309" s="20"/>
      <c r="M309" s="20"/>
      <c r="N309" s="20"/>
      <c r="O309" s="20"/>
      <c r="P309" s="20"/>
    </row>
    <row r="310" spans="11:16" ht="14.25" hidden="1" x14ac:dyDescent="0.45">
      <c r="K310" s="20"/>
      <c r="L310" s="20"/>
      <c r="M310" s="20"/>
      <c r="N310" s="20"/>
      <c r="O310" s="20"/>
      <c r="P310" s="20"/>
    </row>
    <row r="311" spans="11:16" ht="14.25" hidden="1" x14ac:dyDescent="0.45">
      <c r="K311" s="20"/>
      <c r="L311" s="20"/>
      <c r="M311" s="20"/>
      <c r="N311" s="20"/>
      <c r="O311" s="20"/>
      <c r="P311" s="20"/>
    </row>
    <row r="312" spans="11:16" ht="14.25" hidden="1" x14ac:dyDescent="0.45">
      <c r="K312" s="20"/>
      <c r="L312" s="20"/>
      <c r="M312" s="20"/>
      <c r="N312" s="20"/>
      <c r="O312" s="20"/>
      <c r="P312" s="20"/>
    </row>
    <row r="313" spans="11:16" ht="14.25" hidden="1" x14ac:dyDescent="0.45">
      <c r="K313" s="20"/>
      <c r="L313" s="20"/>
      <c r="M313" s="20"/>
      <c r="N313" s="20"/>
      <c r="O313" s="20"/>
      <c r="P313" s="20"/>
    </row>
    <row r="314" spans="11:16" ht="14.25" hidden="1" x14ac:dyDescent="0.45">
      <c r="K314" s="20"/>
      <c r="L314" s="20"/>
      <c r="M314" s="20"/>
      <c r="N314" s="20"/>
      <c r="O314" s="20"/>
      <c r="P314" s="20"/>
    </row>
    <row r="315" spans="11:16" ht="14.25" hidden="1" x14ac:dyDescent="0.45">
      <c r="K315" s="20"/>
      <c r="L315" s="20"/>
      <c r="M315" s="20"/>
      <c r="N315" s="20"/>
      <c r="O315" s="20"/>
      <c r="P315" s="20"/>
    </row>
    <row r="316" spans="11:16" ht="14.25" hidden="1" x14ac:dyDescent="0.45">
      <c r="K316" s="20"/>
      <c r="L316" s="20"/>
      <c r="M316" s="20"/>
      <c r="N316" s="20"/>
      <c r="O316" s="20"/>
      <c r="P316" s="20"/>
    </row>
    <row r="317" spans="11:16" ht="14.25" hidden="1" x14ac:dyDescent="0.45">
      <c r="K317" s="20"/>
      <c r="L317" s="20"/>
      <c r="M317" s="20"/>
      <c r="N317" s="20"/>
      <c r="O317" s="20"/>
      <c r="P317" s="20"/>
    </row>
    <row r="318" spans="11:16" ht="14.25" hidden="1" x14ac:dyDescent="0.45">
      <c r="K318" s="20"/>
      <c r="L318" s="20"/>
      <c r="M318" s="20"/>
      <c r="N318" s="20"/>
      <c r="O318" s="20"/>
      <c r="P318" s="20"/>
    </row>
    <row r="319" spans="11:16" ht="14.25" hidden="1" x14ac:dyDescent="0.45">
      <c r="K319" s="20"/>
      <c r="L319" s="20"/>
      <c r="M319" s="20"/>
      <c r="N319" s="20"/>
      <c r="O319" s="20"/>
      <c r="P319" s="20"/>
    </row>
    <row r="320" spans="11:16" ht="14.25" hidden="1" x14ac:dyDescent="0.45">
      <c r="K320" s="20"/>
      <c r="L320" s="20"/>
      <c r="M320" s="20"/>
      <c r="N320" s="20"/>
      <c r="O320" s="20"/>
      <c r="P320" s="20"/>
    </row>
    <row r="321" spans="11:16" ht="14.25" hidden="1" x14ac:dyDescent="0.45">
      <c r="K321" s="20"/>
      <c r="L321" s="20"/>
      <c r="M321" s="20"/>
      <c r="N321" s="20"/>
      <c r="O321" s="20"/>
      <c r="P321" s="20"/>
    </row>
    <row r="322" spans="11:16" ht="14.25" hidden="1" x14ac:dyDescent="0.45">
      <c r="K322" s="20"/>
      <c r="L322" s="20"/>
      <c r="M322" s="20"/>
      <c r="N322" s="20"/>
      <c r="O322" s="20"/>
      <c r="P322" s="20"/>
    </row>
    <row r="323" spans="11:16" ht="14.25" hidden="1" x14ac:dyDescent="0.45">
      <c r="K323" s="20"/>
      <c r="L323" s="20"/>
      <c r="M323" s="20"/>
      <c r="N323" s="20"/>
      <c r="O323" s="20"/>
      <c r="P323" s="20"/>
    </row>
    <row r="324" spans="11:16" ht="14.25" hidden="1" x14ac:dyDescent="0.45">
      <c r="K324" s="20"/>
      <c r="L324" s="20"/>
      <c r="M324" s="20"/>
      <c r="N324" s="20"/>
      <c r="O324" s="20"/>
      <c r="P324" s="20"/>
    </row>
    <row r="325" spans="11:16" ht="14.25" hidden="1" x14ac:dyDescent="0.45">
      <c r="K325" s="20"/>
      <c r="L325" s="20"/>
      <c r="M325" s="20"/>
      <c r="N325" s="20"/>
      <c r="O325" s="20"/>
      <c r="P325" s="20"/>
    </row>
    <row r="326" spans="11:16" ht="14.25" hidden="1" x14ac:dyDescent="0.45">
      <c r="K326" s="20"/>
      <c r="L326" s="20"/>
      <c r="M326" s="20"/>
      <c r="N326" s="20"/>
      <c r="O326" s="20"/>
      <c r="P326" s="20"/>
    </row>
    <row r="327" spans="11:16" ht="14.25" hidden="1" x14ac:dyDescent="0.45">
      <c r="K327" s="20"/>
      <c r="L327" s="20"/>
      <c r="M327" s="20"/>
      <c r="N327" s="20"/>
      <c r="O327" s="20"/>
      <c r="P327" s="20"/>
    </row>
    <row r="328" spans="11:16" ht="14.25" hidden="1" x14ac:dyDescent="0.45">
      <c r="K328" s="20"/>
      <c r="L328" s="20"/>
      <c r="M328" s="20"/>
      <c r="N328" s="20"/>
      <c r="O328" s="20"/>
      <c r="P328" s="20"/>
    </row>
    <row r="329" spans="11:16" ht="14.25" hidden="1" x14ac:dyDescent="0.45">
      <c r="K329" s="20"/>
      <c r="L329" s="20"/>
      <c r="M329" s="20"/>
      <c r="N329" s="20"/>
      <c r="O329" s="20"/>
      <c r="P329" s="20"/>
    </row>
    <row r="330" spans="11:16" ht="14.25" hidden="1" x14ac:dyDescent="0.45">
      <c r="K330" s="20"/>
      <c r="L330" s="20"/>
      <c r="M330" s="20"/>
      <c r="N330" s="20"/>
      <c r="O330" s="20"/>
      <c r="P330" s="20"/>
    </row>
    <row r="331" spans="11:16" ht="14.25" hidden="1" x14ac:dyDescent="0.45">
      <c r="K331" s="20"/>
      <c r="L331" s="20"/>
      <c r="M331" s="20"/>
      <c r="N331" s="20"/>
      <c r="O331" s="20"/>
      <c r="P331" s="20"/>
    </row>
    <row r="332" spans="11:16" ht="14.25" hidden="1" x14ac:dyDescent="0.45">
      <c r="K332" s="20"/>
      <c r="L332" s="20"/>
      <c r="M332" s="20"/>
      <c r="N332" s="20"/>
      <c r="O332" s="20"/>
      <c r="P332" s="20"/>
    </row>
    <row r="333" spans="11:16" ht="14.25" hidden="1" x14ac:dyDescent="0.45">
      <c r="K333" s="20"/>
      <c r="L333" s="20"/>
      <c r="M333" s="20"/>
      <c r="N333" s="20"/>
      <c r="O333" s="20"/>
      <c r="P333" s="20"/>
    </row>
    <row r="334" spans="11:16" ht="14.25" hidden="1" x14ac:dyDescent="0.45">
      <c r="K334" s="20"/>
      <c r="L334" s="20"/>
      <c r="M334" s="20"/>
      <c r="N334" s="20"/>
      <c r="O334" s="20"/>
      <c r="P334" s="20"/>
    </row>
    <row r="335" spans="11:16" ht="14.25" hidden="1" x14ac:dyDescent="0.45">
      <c r="K335" s="20"/>
      <c r="L335" s="20"/>
      <c r="M335" s="20"/>
      <c r="N335" s="20"/>
      <c r="O335" s="20"/>
      <c r="P335" s="20"/>
    </row>
    <row r="336" spans="11:16" ht="14.25" hidden="1" x14ac:dyDescent="0.45">
      <c r="K336" s="20"/>
      <c r="L336" s="20"/>
      <c r="M336" s="20"/>
      <c r="N336" s="20"/>
      <c r="O336" s="20"/>
      <c r="P336" s="20"/>
    </row>
    <row r="337" spans="11:16" ht="14.25" hidden="1" x14ac:dyDescent="0.45">
      <c r="K337" s="20"/>
      <c r="L337" s="20"/>
      <c r="M337" s="20"/>
      <c r="N337" s="20"/>
      <c r="O337" s="20"/>
      <c r="P337" s="20"/>
    </row>
    <row r="338" spans="11:16" ht="14.25" hidden="1" x14ac:dyDescent="0.45">
      <c r="K338" s="20"/>
      <c r="L338" s="20"/>
      <c r="M338" s="20"/>
      <c r="N338" s="20"/>
      <c r="O338" s="20"/>
      <c r="P338" s="20"/>
    </row>
    <row r="339" spans="11:16" ht="14.25" hidden="1" x14ac:dyDescent="0.45">
      <c r="K339" s="20"/>
      <c r="L339" s="20"/>
      <c r="M339" s="20"/>
      <c r="N339" s="20"/>
      <c r="O339" s="20"/>
      <c r="P339" s="20"/>
    </row>
    <row r="340" spans="11:16" ht="14.25" hidden="1" x14ac:dyDescent="0.45">
      <c r="K340" s="20"/>
      <c r="L340" s="20"/>
      <c r="M340" s="20"/>
      <c r="N340" s="20"/>
      <c r="O340" s="20"/>
      <c r="P340" s="20"/>
    </row>
    <row r="341" spans="11:16" ht="14.25" hidden="1" x14ac:dyDescent="0.45">
      <c r="K341" s="20"/>
      <c r="L341" s="20"/>
      <c r="M341" s="20"/>
      <c r="N341" s="20"/>
      <c r="O341" s="20"/>
      <c r="P341" s="20"/>
    </row>
    <row r="342" spans="11:16" ht="14.25" hidden="1" x14ac:dyDescent="0.45">
      <c r="K342" s="20"/>
      <c r="L342" s="20"/>
      <c r="M342" s="20"/>
      <c r="N342" s="20"/>
      <c r="O342" s="20"/>
      <c r="P342" s="20"/>
    </row>
    <row r="343" spans="11:16" ht="14.25" hidden="1" x14ac:dyDescent="0.45">
      <c r="K343" s="20"/>
      <c r="L343" s="20"/>
      <c r="M343" s="20"/>
      <c r="N343" s="20"/>
      <c r="O343" s="20"/>
      <c r="P343" s="20"/>
    </row>
    <row r="344" spans="11:16" ht="14.25" hidden="1" x14ac:dyDescent="0.45">
      <c r="K344" s="20"/>
      <c r="L344" s="20"/>
      <c r="M344" s="20"/>
      <c r="N344" s="20"/>
      <c r="O344" s="20"/>
      <c r="P344" s="20"/>
    </row>
    <row r="345" spans="11:16" ht="14.25" hidden="1" x14ac:dyDescent="0.45">
      <c r="K345" s="20"/>
      <c r="L345" s="20"/>
      <c r="M345" s="20"/>
      <c r="N345" s="20"/>
      <c r="O345" s="20"/>
      <c r="P345" s="20"/>
    </row>
    <row r="346" spans="11:16" ht="14.25" hidden="1" x14ac:dyDescent="0.45">
      <c r="K346" s="20"/>
      <c r="L346" s="20"/>
      <c r="M346" s="20"/>
      <c r="N346" s="20"/>
      <c r="O346" s="20"/>
      <c r="P346" s="20"/>
    </row>
    <row r="347" spans="11:16" ht="14.25" hidden="1" x14ac:dyDescent="0.45">
      <c r="K347" s="20"/>
      <c r="L347" s="20"/>
      <c r="M347" s="20"/>
      <c r="N347" s="20"/>
      <c r="O347" s="20"/>
      <c r="P347" s="20"/>
    </row>
    <row r="348" spans="11:16" ht="14.25" hidden="1" x14ac:dyDescent="0.45">
      <c r="K348" s="20"/>
      <c r="L348" s="20"/>
      <c r="M348" s="20"/>
      <c r="N348" s="20"/>
      <c r="O348" s="20"/>
      <c r="P348" s="20"/>
    </row>
    <row r="349" spans="11:16" ht="14.25" hidden="1" x14ac:dyDescent="0.45">
      <c r="K349" s="20"/>
      <c r="L349" s="20"/>
      <c r="M349" s="20"/>
      <c r="N349" s="20"/>
      <c r="O349" s="20"/>
      <c r="P349" s="20"/>
    </row>
    <row r="350" spans="11:16" ht="14.25" hidden="1" x14ac:dyDescent="0.45">
      <c r="K350" s="20"/>
      <c r="L350" s="20"/>
      <c r="M350" s="20"/>
      <c r="N350" s="20"/>
      <c r="O350" s="20"/>
      <c r="P350" s="20"/>
    </row>
    <row r="351" spans="11:16" ht="14.25" hidden="1" x14ac:dyDescent="0.45">
      <c r="K351" s="20"/>
      <c r="L351" s="20"/>
      <c r="M351" s="20"/>
      <c r="N351" s="20"/>
      <c r="O351" s="20"/>
      <c r="P351" s="20"/>
    </row>
    <row r="352" spans="11:16" ht="14.25" hidden="1" x14ac:dyDescent="0.45">
      <c r="K352" s="20"/>
      <c r="L352" s="20"/>
      <c r="M352" s="20"/>
      <c r="N352" s="20"/>
      <c r="O352" s="20"/>
      <c r="P352" s="20"/>
    </row>
    <row r="353" spans="11:16" ht="14.25" hidden="1" x14ac:dyDescent="0.45">
      <c r="K353" s="20"/>
      <c r="L353" s="20"/>
      <c r="M353" s="20"/>
      <c r="N353" s="20"/>
      <c r="O353" s="20"/>
      <c r="P353" s="20"/>
    </row>
    <row r="354" spans="11:16" ht="14.25" hidden="1" x14ac:dyDescent="0.45">
      <c r="K354" s="20"/>
      <c r="L354" s="20"/>
      <c r="M354" s="20"/>
      <c r="N354" s="20"/>
      <c r="O354" s="20"/>
      <c r="P354" s="20"/>
    </row>
    <row r="355" spans="11:16" ht="14.25" hidden="1" x14ac:dyDescent="0.45">
      <c r="K355" s="20"/>
      <c r="L355" s="20"/>
      <c r="M355" s="20"/>
      <c r="N355" s="20"/>
      <c r="O355" s="20"/>
      <c r="P355" s="20"/>
    </row>
    <row r="356" spans="11:16" ht="14.25" hidden="1" x14ac:dyDescent="0.45">
      <c r="K356" s="20"/>
      <c r="L356" s="20"/>
      <c r="M356" s="20"/>
      <c r="N356" s="20"/>
      <c r="O356" s="20"/>
      <c r="P356" s="20"/>
    </row>
    <row r="357" spans="11:16" ht="14.25" hidden="1" x14ac:dyDescent="0.45">
      <c r="K357" s="20"/>
      <c r="L357" s="20"/>
      <c r="M357" s="20"/>
      <c r="N357" s="20"/>
      <c r="O357" s="20"/>
      <c r="P357" s="20"/>
    </row>
    <row r="358" spans="11:16" ht="14.25" hidden="1" x14ac:dyDescent="0.45">
      <c r="K358" s="20"/>
      <c r="L358" s="20"/>
      <c r="M358" s="20"/>
      <c r="N358" s="20"/>
      <c r="O358" s="20"/>
      <c r="P358" s="20"/>
    </row>
    <row r="359" spans="11:16" ht="14.25" hidden="1" x14ac:dyDescent="0.45">
      <c r="K359" s="20"/>
      <c r="L359" s="20"/>
      <c r="M359" s="20"/>
      <c r="N359" s="20"/>
      <c r="O359" s="20"/>
      <c r="P359" s="20"/>
    </row>
    <row r="360" spans="11:16" ht="14.25" hidden="1" x14ac:dyDescent="0.45">
      <c r="K360" s="20"/>
      <c r="L360" s="20"/>
      <c r="M360" s="20"/>
      <c r="N360" s="20"/>
      <c r="O360" s="20"/>
      <c r="P360" s="20"/>
    </row>
    <row r="361" spans="11:16" ht="14.25" hidden="1" x14ac:dyDescent="0.45">
      <c r="K361" s="20"/>
      <c r="L361" s="20"/>
      <c r="M361" s="20"/>
      <c r="N361" s="20"/>
      <c r="O361" s="20"/>
      <c r="P361" s="20"/>
    </row>
    <row r="362" spans="11:16" ht="14.25" hidden="1" x14ac:dyDescent="0.45">
      <c r="K362" s="20"/>
      <c r="L362" s="20"/>
      <c r="M362" s="20"/>
      <c r="N362" s="20"/>
      <c r="O362" s="20"/>
      <c r="P362" s="20"/>
    </row>
    <row r="363" spans="11:16" ht="14.25" hidden="1" x14ac:dyDescent="0.45">
      <c r="K363" s="20"/>
      <c r="L363" s="20"/>
      <c r="M363" s="20"/>
      <c r="N363" s="20"/>
      <c r="O363" s="20"/>
      <c r="P363" s="20"/>
    </row>
    <row r="364" spans="11:16" ht="14.25" hidden="1" x14ac:dyDescent="0.45">
      <c r="K364" s="20"/>
      <c r="L364" s="20"/>
      <c r="M364" s="20"/>
      <c r="N364" s="20"/>
      <c r="O364" s="20"/>
      <c r="P364" s="20"/>
    </row>
    <row r="365" spans="11:16" ht="14.25" hidden="1" x14ac:dyDescent="0.45">
      <c r="K365" s="20"/>
      <c r="L365" s="20"/>
      <c r="M365" s="20"/>
      <c r="N365" s="20"/>
      <c r="O365" s="20"/>
      <c r="P365" s="20"/>
    </row>
    <row r="366" spans="11:16" ht="14.25" hidden="1" x14ac:dyDescent="0.45">
      <c r="K366" s="20"/>
      <c r="L366" s="20"/>
      <c r="M366" s="20"/>
      <c r="N366" s="20"/>
      <c r="O366" s="20"/>
      <c r="P366" s="20"/>
    </row>
    <row r="367" spans="11:16" ht="14.25" hidden="1" x14ac:dyDescent="0.45">
      <c r="K367" s="20"/>
      <c r="L367" s="20"/>
      <c r="M367" s="20"/>
      <c r="N367" s="20"/>
      <c r="O367" s="20"/>
      <c r="P367" s="20"/>
    </row>
    <row r="368" spans="11:16" ht="14.25" hidden="1" x14ac:dyDescent="0.45">
      <c r="K368" s="20"/>
      <c r="L368" s="20"/>
      <c r="M368" s="20"/>
      <c r="N368" s="20"/>
      <c r="O368" s="20"/>
      <c r="P368" s="20"/>
    </row>
    <row r="369" spans="11:16" ht="14.25" hidden="1" x14ac:dyDescent="0.45">
      <c r="K369" s="20"/>
      <c r="L369" s="20"/>
      <c r="M369" s="20"/>
      <c r="N369" s="20"/>
      <c r="O369" s="20"/>
      <c r="P369" s="20"/>
    </row>
    <row r="370" spans="11:16" ht="14.25" hidden="1" x14ac:dyDescent="0.45">
      <c r="K370" s="20"/>
      <c r="L370" s="20"/>
      <c r="M370" s="20"/>
      <c r="N370" s="20"/>
      <c r="O370" s="20"/>
      <c r="P370" s="20"/>
    </row>
    <row r="371" spans="11:16" ht="14.25" hidden="1" x14ac:dyDescent="0.45">
      <c r="K371" s="20"/>
      <c r="L371" s="20"/>
      <c r="M371" s="20"/>
      <c r="N371" s="20"/>
      <c r="O371" s="20"/>
      <c r="P371" s="20"/>
    </row>
    <row r="372" spans="11:16" ht="14.25" hidden="1" x14ac:dyDescent="0.45">
      <c r="K372" s="20"/>
      <c r="L372" s="20"/>
      <c r="M372" s="20"/>
      <c r="N372" s="20"/>
      <c r="O372" s="20"/>
      <c r="P372" s="20"/>
    </row>
    <row r="373" spans="11:16" ht="14.25" hidden="1" x14ac:dyDescent="0.45">
      <c r="K373" s="20"/>
      <c r="L373" s="20"/>
      <c r="M373" s="20"/>
      <c r="N373" s="20"/>
      <c r="O373" s="20"/>
      <c r="P373" s="20"/>
    </row>
    <row r="374" spans="11:16" ht="14.25" hidden="1" x14ac:dyDescent="0.45">
      <c r="K374" s="20"/>
      <c r="L374" s="20"/>
      <c r="M374" s="20"/>
      <c r="N374" s="20"/>
      <c r="O374" s="20"/>
      <c r="P374" s="20"/>
    </row>
    <row r="375" spans="11:16" ht="14.25" hidden="1" x14ac:dyDescent="0.45">
      <c r="K375" s="20"/>
      <c r="L375" s="20"/>
      <c r="M375" s="20"/>
      <c r="N375" s="20"/>
      <c r="O375" s="20"/>
      <c r="P375" s="20"/>
    </row>
    <row r="376" spans="11:16" ht="14.25" hidden="1" x14ac:dyDescent="0.45">
      <c r="K376" s="20"/>
      <c r="L376" s="20"/>
      <c r="M376" s="20"/>
      <c r="N376" s="20"/>
      <c r="O376" s="20"/>
      <c r="P376" s="20"/>
    </row>
    <row r="377" spans="11:16" ht="14.25" hidden="1" x14ac:dyDescent="0.45">
      <c r="K377" s="20"/>
      <c r="L377" s="20"/>
      <c r="M377" s="20"/>
      <c r="N377" s="20"/>
      <c r="O377" s="20"/>
      <c r="P377" s="20"/>
    </row>
    <row r="378" spans="11:16" ht="14.25" hidden="1" x14ac:dyDescent="0.45">
      <c r="K378" s="20"/>
      <c r="L378" s="20"/>
      <c r="M378" s="20"/>
      <c r="N378" s="20"/>
      <c r="O378" s="20"/>
      <c r="P378" s="20"/>
    </row>
    <row r="379" spans="11:16" ht="14.25" hidden="1" x14ac:dyDescent="0.45">
      <c r="K379" s="20"/>
      <c r="L379" s="20"/>
      <c r="M379" s="20"/>
      <c r="N379" s="20"/>
      <c r="O379" s="20"/>
      <c r="P379" s="20"/>
    </row>
    <row r="380" spans="11:16" ht="14.25" hidden="1" x14ac:dyDescent="0.45">
      <c r="K380" s="20"/>
      <c r="L380" s="20"/>
      <c r="M380" s="20"/>
      <c r="N380" s="20"/>
      <c r="O380" s="20"/>
      <c r="P380" s="20"/>
    </row>
    <row r="381" spans="11:16" ht="14.25" hidden="1" x14ac:dyDescent="0.45">
      <c r="K381" s="20"/>
      <c r="L381" s="20"/>
      <c r="M381" s="20"/>
      <c r="N381" s="20"/>
      <c r="O381" s="20"/>
      <c r="P381" s="20"/>
    </row>
    <row r="382" spans="11:16" ht="14.25" hidden="1" x14ac:dyDescent="0.45">
      <c r="K382" s="20"/>
      <c r="L382" s="20"/>
      <c r="M382" s="20"/>
      <c r="N382" s="20"/>
      <c r="O382" s="20"/>
      <c r="P382" s="20"/>
    </row>
    <row r="383" spans="11:16" ht="14.25" hidden="1" x14ac:dyDescent="0.45">
      <c r="K383" s="20"/>
      <c r="L383" s="20"/>
      <c r="M383" s="20"/>
      <c r="N383" s="20"/>
      <c r="O383" s="20"/>
      <c r="P383" s="20"/>
    </row>
    <row r="384" spans="11:16" ht="14.25" hidden="1" x14ac:dyDescent="0.45">
      <c r="K384" s="20"/>
      <c r="L384" s="20"/>
      <c r="M384" s="20"/>
      <c r="N384" s="20"/>
      <c r="O384" s="20"/>
      <c r="P384" s="20"/>
    </row>
    <row r="385" spans="11:16" ht="14.25" hidden="1" x14ac:dyDescent="0.45">
      <c r="K385" s="20"/>
      <c r="L385" s="20"/>
      <c r="M385" s="20"/>
      <c r="N385" s="20"/>
      <c r="O385" s="20"/>
      <c r="P385" s="20"/>
    </row>
    <row r="386" spans="11:16" ht="14.25" hidden="1" x14ac:dyDescent="0.45">
      <c r="K386" s="20"/>
      <c r="L386" s="20"/>
      <c r="M386" s="20"/>
      <c r="N386" s="20"/>
      <c r="O386" s="20"/>
      <c r="P386" s="20"/>
    </row>
    <row r="387" spans="11:16" ht="14.25" hidden="1" x14ac:dyDescent="0.45">
      <c r="K387" s="20"/>
      <c r="L387" s="20"/>
      <c r="M387" s="20"/>
      <c r="N387" s="20"/>
      <c r="O387" s="20"/>
      <c r="P387" s="20"/>
    </row>
    <row r="388" spans="11:16" ht="14.25" hidden="1" x14ac:dyDescent="0.45">
      <c r="K388" s="20"/>
      <c r="L388" s="20"/>
      <c r="M388" s="20"/>
      <c r="N388" s="20"/>
      <c r="O388" s="20"/>
      <c r="P388" s="20"/>
    </row>
    <row r="389" spans="11:16" ht="14.25" hidden="1" x14ac:dyDescent="0.45">
      <c r="K389" s="20"/>
      <c r="L389" s="20"/>
      <c r="M389" s="20"/>
      <c r="N389" s="20"/>
      <c r="O389" s="20"/>
      <c r="P389" s="20"/>
    </row>
    <row r="390" spans="11:16" ht="14.25" hidden="1" x14ac:dyDescent="0.45">
      <c r="K390" s="20"/>
      <c r="L390" s="20"/>
      <c r="M390" s="20"/>
      <c r="N390" s="20"/>
      <c r="O390" s="20"/>
      <c r="P390" s="20"/>
    </row>
    <row r="391" spans="11:16" ht="14.25" hidden="1" x14ac:dyDescent="0.45">
      <c r="K391" s="20"/>
      <c r="L391" s="20"/>
      <c r="M391" s="20"/>
      <c r="N391" s="20"/>
      <c r="O391" s="20"/>
      <c r="P391" s="20"/>
    </row>
    <row r="392" spans="11:16" ht="14.25" hidden="1" x14ac:dyDescent="0.45">
      <c r="K392" s="20"/>
      <c r="L392" s="20"/>
      <c r="M392" s="20"/>
      <c r="N392" s="20"/>
      <c r="O392" s="20"/>
      <c r="P392" s="20"/>
    </row>
    <row r="393" spans="11:16" ht="14.25" hidden="1" x14ac:dyDescent="0.45">
      <c r="K393" s="20"/>
      <c r="L393" s="20"/>
      <c r="M393" s="20"/>
      <c r="N393" s="20"/>
      <c r="O393" s="20"/>
      <c r="P393" s="20"/>
    </row>
    <row r="394" spans="11:16" ht="14.25" hidden="1" x14ac:dyDescent="0.45">
      <c r="K394" s="20"/>
      <c r="L394" s="20"/>
      <c r="M394" s="20"/>
      <c r="N394" s="20"/>
      <c r="O394" s="20"/>
      <c r="P394" s="20"/>
    </row>
    <row r="395" spans="11:16" ht="14.25" hidden="1" x14ac:dyDescent="0.45">
      <c r="K395" s="20"/>
      <c r="L395" s="20"/>
      <c r="M395" s="20"/>
      <c r="N395" s="20"/>
      <c r="O395" s="20"/>
      <c r="P395" s="20"/>
    </row>
    <row r="396" spans="11:16" ht="14.25" hidden="1" x14ac:dyDescent="0.45">
      <c r="K396" s="20"/>
      <c r="L396" s="20"/>
      <c r="M396" s="20"/>
      <c r="N396" s="20"/>
      <c r="O396" s="20"/>
      <c r="P396" s="20"/>
    </row>
    <row r="397" spans="11:16" ht="14.25" hidden="1" x14ac:dyDescent="0.45">
      <c r="K397" s="20"/>
      <c r="L397" s="20"/>
      <c r="M397" s="20"/>
      <c r="N397" s="20"/>
      <c r="O397" s="20"/>
      <c r="P397" s="20"/>
    </row>
    <row r="398" spans="11:16" ht="14.25" hidden="1" x14ac:dyDescent="0.45">
      <c r="K398" s="20"/>
      <c r="L398" s="20"/>
      <c r="M398" s="20"/>
      <c r="N398" s="20"/>
      <c r="O398" s="20"/>
      <c r="P398" s="20"/>
    </row>
    <row r="399" spans="11:16" ht="14.25" hidden="1" x14ac:dyDescent="0.45">
      <c r="K399" s="20"/>
      <c r="L399" s="20"/>
      <c r="M399" s="20"/>
      <c r="N399" s="20"/>
      <c r="O399" s="20"/>
      <c r="P399" s="20"/>
    </row>
    <row r="400" spans="11:16" ht="14.25" hidden="1" x14ac:dyDescent="0.45">
      <c r="K400" s="20"/>
      <c r="L400" s="20"/>
      <c r="M400" s="20"/>
      <c r="N400" s="20"/>
      <c r="O400" s="20"/>
      <c r="P400" s="20"/>
    </row>
    <row r="401" spans="11:16" ht="14.25" hidden="1" x14ac:dyDescent="0.45">
      <c r="K401" s="20"/>
      <c r="L401" s="20"/>
      <c r="M401" s="20"/>
      <c r="N401" s="20"/>
      <c r="O401" s="20"/>
      <c r="P401" s="20"/>
    </row>
    <row r="402" spans="11:16" ht="14.25" hidden="1" x14ac:dyDescent="0.45">
      <c r="K402" s="20"/>
      <c r="L402" s="20"/>
      <c r="M402" s="20"/>
      <c r="N402" s="20"/>
      <c r="O402" s="20"/>
      <c r="P402" s="20"/>
    </row>
    <row r="403" spans="11:16" ht="14.25" hidden="1" x14ac:dyDescent="0.45">
      <c r="K403" s="20"/>
      <c r="L403" s="20"/>
      <c r="M403" s="20"/>
      <c r="N403" s="20"/>
      <c r="O403" s="20"/>
      <c r="P403" s="20"/>
    </row>
    <row r="404" spans="11:16" ht="14.25" hidden="1" x14ac:dyDescent="0.45">
      <c r="K404" s="20"/>
      <c r="L404" s="20"/>
      <c r="M404" s="20"/>
      <c r="N404" s="20"/>
      <c r="O404" s="20"/>
      <c r="P404" s="20"/>
    </row>
    <row r="405" spans="11:16" ht="14.25" hidden="1" x14ac:dyDescent="0.45">
      <c r="K405" s="20"/>
      <c r="L405" s="20"/>
      <c r="M405" s="20"/>
      <c r="N405" s="20"/>
      <c r="O405" s="20"/>
      <c r="P405" s="20"/>
    </row>
    <row r="406" spans="11:16" ht="14.25" hidden="1" x14ac:dyDescent="0.45">
      <c r="K406" s="20"/>
      <c r="L406" s="20"/>
      <c r="M406" s="20"/>
      <c r="N406" s="20"/>
      <c r="O406" s="20"/>
      <c r="P406" s="20"/>
    </row>
    <row r="407" spans="11:16" ht="14.25" hidden="1" x14ac:dyDescent="0.45">
      <c r="K407" s="20"/>
      <c r="L407" s="20"/>
      <c r="M407" s="20"/>
      <c r="N407" s="20"/>
      <c r="O407" s="20"/>
      <c r="P407" s="20"/>
    </row>
    <row r="408" spans="11:16" ht="14.25" hidden="1" x14ac:dyDescent="0.45">
      <c r="K408" s="20"/>
      <c r="L408" s="20"/>
      <c r="M408" s="20"/>
      <c r="N408" s="20"/>
      <c r="O408" s="20"/>
      <c r="P408" s="20"/>
    </row>
    <row r="409" spans="11:16" ht="14.25" hidden="1" x14ac:dyDescent="0.45">
      <c r="K409" s="20"/>
      <c r="L409" s="20"/>
      <c r="M409" s="20"/>
      <c r="N409" s="20"/>
      <c r="O409" s="20"/>
      <c r="P409" s="20"/>
    </row>
    <row r="410" spans="11:16" ht="14.25" hidden="1" x14ac:dyDescent="0.45">
      <c r="K410" s="20"/>
      <c r="L410" s="20"/>
      <c r="M410" s="20"/>
      <c r="N410" s="20"/>
      <c r="O410" s="20"/>
      <c r="P410" s="20"/>
    </row>
    <row r="411" spans="11:16" ht="14.25" hidden="1" x14ac:dyDescent="0.45">
      <c r="K411" s="20"/>
      <c r="L411" s="20"/>
      <c r="M411" s="20"/>
      <c r="N411" s="20"/>
      <c r="O411" s="20"/>
      <c r="P411" s="20"/>
    </row>
    <row r="412" spans="11:16" ht="14.25" hidden="1" x14ac:dyDescent="0.45">
      <c r="K412" s="20"/>
      <c r="L412" s="20"/>
      <c r="M412" s="20"/>
      <c r="N412" s="20"/>
      <c r="O412" s="20"/>
      <c r="P412" s="20"/>
    </row>
    <row r="413" spans="11:16" ht="14.25" hidden="1" x14ac:dyDescent="0.45">
      <c r="K413" s="20"/>
      <c r="L413" s="20"/>
      <c r="M413" s="20"/>
      <c r="N413" s="20"/>
      <c r="O413" s="20"/>
      <c r="P413" s="20"/>
    </row>
    <row r="414" spans="11:16" ht="14.25" hidden="1" x14ac:dyDescent="0.45">
      <c r="K414" s="20"/>
      <c r="L414" s="20"/>
      <c r="M414" s="20"/>
      <c r="N414" s="20"/>
      <c r="O414" s="20"/>
      <c r="P414" s="20"/>
    </row>
    <row r="415" spans="11:16" ht="14.25" hidden="1" x14ac:dyDescent="0.45">
      <c r="K415" s="20"/>
      <c r="L415" s="20"/>
      <c r="M415" s="20"/>
      <c r="N415" s="20"/>
      <c r="O415" s="20"/>
      <c r="P415" s="20"/>
    </row>
    <row r="416" spans="11:16" ht="14.25" hidden="1" x14ac:dyDescent="0.45">
      <c r="K416" s="20"/>
      <c r="L416" s="20"/>
      <c r="M416" s="20"/>
      <c r="N416" s="20"/>
      <c r="O416" s="20"/>
      <c r="P416" s="20"/>
    </row>
    <row r="417" spans="11:16" ht="14.25" hidden="1" x14ac:dyDescent="0.45">
      <c r="K417" s="20"/>
      <c r="L417" s="20"/>
      <c r="M417" s="20"/>
      <c r="N417" s="20"/>
      <c r="O417" s="20"/>
      <c r="P417" s="20"/>
    </row>
    <row r="418" spans="11:16" ht="14.25" hidden="1" x14ac:dyDescent="0.45">
      <c r="K418" s="20"/>
      <c r="L418" s="20"/>
      <c r="M418" s="20"/>
      <c r="N418" s="20"/>
      <c r="O418" s="20"/>
      <c r="P418" s="20"/>
    </row>
    <row r="419" spans="11:16" ht="14.25" hidden="1" x14ac:dyDescent="0.45">
      <c r="K419" s="20"/>
      <c r="L419" s="20"/>
      <c r="M419" s="20"/>
      <c r="N419" s="20"/>
      <c r="O419" s="20"/>
      <c r="P419" s="20"/>
    </row>
    <row r="420" spans="11:16" ht="14.25" hidden="1" x14ac:dyDescent="0.45">
      <c r="K420" s="20"/>
      <c r="L420" s="20"/>
      <c r="M420" s="20"/>
      <c r="N420" s="20"/>
      <c r="O420" s="20"/>
      <c r="P420" s="20"/>
    </row>
    <row r="421" spans="11:16" ht="14.25" hidden="1" x14ac:dyDescent="0.45">
      <c r="K421" s="20"/>
      <c r="L421" s="20"/>
      <c r="M421" s="20"/>
      <c r="N421" s="20"/>
      <c r="O421" s="20"/>
      <c r="P421" s="20"/>
    </row>
    <row r="422" spans="11:16" ht="14.25" hidden="1" x14ac:dyDescent="0.45">
      <c r="K422" s="20"/>
      <c r="L422" s="20"/>
      <c r="M422" s="20"/>
      <c r="N422" s="20"/>
      <c r="O422" s="20"/>
      <c r="P422" s="20"/>
    </row>
    <row r="423" spans="11:16" ht="14.25" hidden="1" x14ac:dyDescent="0.45">
      <c r="K423" s="20"/>
      <c r="L423" s="20"/>
      <c r="M423" s="20"/>
      <c r="N423" s="20"/>
      <c r="O423" s="20"/>
      <c r="P423" s="20"/>
    </row>
    <row r="424" spans="11:16" ht="14.25" hidden="1" x14ac:dyDescent="0.45">
      <c r="K424" s="20"/>
      <c r="L424" s="20"/>
      <c r="M424" s="20"/>
      <c r="N424" s="20"/>
      <c r="O424" s="20"/>
      <c r="P424" s="20"/>
    </row>
    <row r="425" spans="11:16" ht="14.25" hidden="1" x14ac:dyDescent="0.45">
      <c r="K425" s="20"/>
      <c r="L425" s="20"/>
      <c r="M425" s="20"/>
      <c r="N425" s="20"/>
      <c r="O425" s="20"/>
      <c r="P425" s="20"/>
    </row>
    <row r="426" spans="11:16" ht="14.25" hidden="1" x14ac:dyDescent="0.45">
      <c r="K426" s="20"/>
      <c r="L426" s="20"/>
      <c r="M426" s="20"/>
      <c r="N426" s="20"/>
      <c r="O426" s="20"/>
      <c r="P426" s="20"/>
    </row>
    <row r="427" spans="11:16" ht="14.25" hidden="1" x14ac:dyDescent="0.45">
      <c r="K427" s="20"/>
      <c r="L427" s="20"/>
      <c r="M427" s="20"/>
      <c r="N427" s="20"/>
      <c r="O427" s="20"/>
      <c r="P427" s="20"/>
    </row>
    <row r="428" spans="11:16" ht="14.25" hidden="1" x14ac:dyDescent="0.45">
      <c r="K428" s="20"/>
      <c r="L428" s="20"/>
      <c r="M428" s="20"/>
      <c r="N428" s="20"/>
      <c r="O428" s="20"/>
      <c r="P428" s="20"/>
    </row>
    <row r="429" spans="11:16" ht="14.25" hidden="1" x14ac:dyDescent="0.45">
      <c r="K429" s="20"/>
      <c r="L429" s="20"/>
      <c r="M429" s="20"/>
      <c r="N429" s="20"/>
      <c r="O429" s="20"/>
      <c r="P429" s="20"/>
    </row>
    <row r="430" spans="11:16" ht="14.25" hidden="1" x14ac:dyDescent="0.45">
      <c r="K430" s="20"/>
      <c r="L430" s="20"/>
      <c r="M430" s="20"/>
      <c r="N430" s="20"/>
      <c r="O430" s="20"/>
      <c r="P430" s="20"/>
    </row>
    <row r="431" spans="11:16" ht="14.25" hidden="1" x14ac:dyDescent="0.45">
      <c r="K431" s="20"/>
      <c r="L431" s="20"/>
      <c r="M431" s="20"/>
      <c r="N431" s="20"/>
      <c r="O431" s="20"/>
      <c r="P431" s="20"/>
    </row>
    <row r="432" spans="11:16" ht="14.25" hidden="1" x14ac:dyDescent="0.45">
      <c r="K432" s="20"/>
      <c r="L432" s="20"/>
      <c r="M432" s="20"/>
      <c r="N432" s="20"/>
      <c r="O432" s="20"/>
      <c r="P432" s="20"/>
    </row>
    <row r="433" spans="11:16" ht="14.25" hidden="1" x14ac:dyDescent="0.45">
      <c r="K433" s="20"/>
      <c r="L433" s="20"/>
      <c r="M433" s="20"/>
      <c r="N433" s="20"/>
      <c r="O433" s="20"/>
      <c r="P433" s="20"/>
    </row>
    <row r="434" spans="11:16" ht="14.25" hidden="1" x14ac:dyDescent="0.45">
      <c r="K434" s="20"/>
      <c r="L434" s="20"/>
      <c r="M434" s="20"/>
      <c r="N434" s="20"/>
      <c r="O434" s="20"/>
      <c r="P434" s="20"/>
    </row>
    <row r="435" spans="11:16" ht="14.25" hidden="1" x14ac:dyDescent="0.45">
      <c r="K435" s="20"/>
      <c r="L435" s="20"/>
      <c r="M435" s="20"/>
      <c r="N435" s="20"/>
      <c r="O435" s="20"/>
      <c r="P435" s="20"/>
    </row>
    <row r="436" spans="11:16" ht="14.25" hidden="1" x14ac:dyDescent="0.45">
      <c r="K436" s="20"/>
      <c r="L436" s="20"/>
      <c r="M436" s="20"/>
      <c r="N436" s="20"/>
      <c r="O436" s="20"/>
      <c r="P436" s="20"/>
    </row>
    <row r="437" spans="11:16" ht="14.25" hidden="1" x14ac:dyDescent="0.45">
      <c r="K437" s="20"/>
      <c r="L437" s="20"/>
      <c r="M437" s="20"/>
      <c r="N437" s="20"/>
      <c r="O437" s="20"/>
      <c r="P437" s="20"/>
    </row>
    <row r="438" spans="11:16" ht="14.25" hidden="1" x14ac:dyDescent="0.45">
      <c r="K438" s="20"/>
      <c r="L438" s="20"/>
      <c r="M438" s="20"/>
      <c r="N438" s="20"/>
      <c r="O438" s="20"/>
      <c r="P438" s="20"/>
    </row>
    <row r="439" spans="11:16" ht="14.25" hidden="1" x14ac:dyDescent="0.45">
      <c r="K439" s="20"/>
      <c r="L439" s="20"/>
      <c r="M439" s="20"/>
      <c r="N439" s="20"/>
      <c r="O439" s="20"/>
      <c r="P439" s="20"/>
    </row>
    <row r="440" spans="11:16" ht="14.25" hidden="1" x14ac:dyDescent="0.45">
      <c r="K440" s="20"/>
      <c r="L440" s="20"/>
      <c r="M440" s="20"/>
      <c r="N440" s="20"/>
      <c r="O440" s="20"/>
      <c r="P440" s="20"/>
    </row>
    <row r="441" spans="11:16" ht="14.25" hidden="1" x14ac:dyDescent="0.45">
      <c r="K441" s="20"/>
      <c r="L441" s="20"/>
      <c r="M441" s="20"/>
      <c r="N441" s="20"/>
      <c r="O441" s="20"/>
      <c r="P441" s="20"/>
    </row>
    <row r="442" spans="11:16" ht="14.25" hidden="1" x14ac:dyDescent="0.45">
      <c r="K442" s="20"/>
      <c r="L442" s="20"/>
      <c r="M442" s="20"/>
      <c r="N442" s="20"/>
      <c r="O442" s="20"/>
      <c r="P442" s="20"/>
    </row>
    <row r="443" spans="11:16" ht="14.25" hidden="1" x14ac:dyDescent="0.45">
      <c r="K443" s="20"/>
      <c r="L443" s="20"/>
      <c r="M443" s="20"/>
      <c r="N443" s="20"/>
      <c r="O443" s="20"/>
      <c r="P443" s="20"/>
    </row>
    <row r="444" spans="11:16" ht="14.25" hidden="1" x14ac:dyDescent="0.45">
      <c r="K444" s="20"/>
      <c r="L444" s="20"/>
      <c r="M444" s="20"/>
      <c r="N444" s="20"/>
      <c r="O444" s="20"/>
      <c r="P444" s="20"/>
    </row>
    <row r="445" spans="11:16" ht="14.25" hidden="1" x14ac:dyDescent="0.45">
      <c r="K445" s="20"/>
      <c r="L445" s="20"/>
      <c r="M445" s="20"/>
      <c r="N445" s="20"/>
      <c r="O445" s="20"/>
      <c r="P445" s="20"/>
    </row>
    <row r="446" spans="11:16" ht="14.25" hidden="1" x14ac:dyDescent="0.45">
      <c r="K446" s="20"/>
      <c r="L446" s="20"/>
      <c r="M446" s="20"/>
      <c r="N446" s="20"/>
      <c r="O446" s="20"/>
      <c r="P446" s="20"/>
    </row>
    <row r="447" spans="11:16" ht="14.25" hidden="1" x14ac:dyDescent="0.45">
      <c r="K447" s="20"/>
      <c r="L447" s="20"/>
      <c r="M447" s="20"/>
      <c r="N447" s="20"/>
      <c r="O447" s="20"/>
      <c r="P447" s="20"/>
    </row>
    <row r="448" spans="11:16" ht="14.25" hidden="1" x14ac:dyDescent="0.45">
      <c r="K448" s="20"/>
      <c r="L448" s="20"/>
      <c r="M448" s="20"/>
      <c r="N448" s="20"/>
      <c r="O448" s="20"/>
      <c r="P448" s="20"/>
    </row>
  </sheetData>
  <mergeCells count="37">
    <mergeCell ref="A1:P1"/>
    <mergeCell ref="J23:L23"/>
    <mergeCell ref="D21:G21"/>
    <mergeCell ref="B4:G4"/>
    <mergeCell ref="D27:G27"/>
    <mergeCell ref="C16:O16"/>
    <mergeCell ref="L19:N19"/>
    <mergeCell ref="B19:B28"/>
    <mergeCell ref="D28:G28"/>
    <mergeCell ref="A2:P2"/>
    <mergeCell ref="C13:O13"/>
    <mergeCell ref="D20:G20"/>
    <mergeCell ref="J22:O22"/>
    <mergeCell ref="D19:G19"/>
    <mergeCell ref="M26:O26"/>
    <mergeCell ref="C15:O15"/>
    <mergeCell ref="D22:G22"/>
    <mergeCell ref="C14:O14"/>
    <mergeCell ref="M23:O23"/>
    <mergeCell ref="J26:L26"/>
    <mergeCell ref="L20:N20"/>
    <mergeCell ref="M30:O30"/>
    <mergeCell ref="J25:L25"/>
    <mergeCell ref="D23:G23"/>
    <mergeCell ref="J18:J20"/>
    <mergeCell ref="D26:G26"/>
    <mergeCell ref="M29:O29"/>
    <mergeCell ref="J29:L29"/>
    <mergeCell ref="J28:O28"/>
    <mergeCell ref="J30:L30"/>
    <mergeCell ref="D18:G18"/>
    <mergeCell ref="J24:L24"/>
    <mergeCell ref="L18:N18"/>
    <mergeCell ref="D25:G25"/>
    <mergeCell ref="D24:G24"/>
    <mergeCell ref="M25:O25"/>
    <mergeCell ref="M24:O24"/>
  </mergeCells>
  <conditionalFormatting sqref="D19:D28">
    <cfRule type="expression" dxfId="0" priority="1">
      <formula>ISBLANK(D19)</formula>
    </cfRule>
  </conditionalFormatting>
  <printOptions horizontalCentered="1"/>
  <pageMargins left="0.70866141732283472" right="0.70866141732283472" top="0.74803149606299213" bottom="0.74803149606299213" header="0.31496062992125978" footer="0.31496062992125978"/>
  <pageSetup paperSize="9" scale="83" orientation="landscape" blackAndWhite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28</vt:i4>
      </vt:variant>
    </vt:vector>
  </HeadingPairs>
  <TitlesOfParts>
    <vt:vector size="43" baseType="lpstr">
      <vt:lpstr>Scope</vt:lpstr>
      <vt:lpstr>Elements</vt:lpstr>
      <vt:lpstr>Elements_F</vt:lpstr>
      <vt:lpstr>ProjectDef</vt:lpstr>
      <vt:lpstr>HR</vt:lpstr>
      <vt:lpstr>OtherCost</vt:lpstr>
      <vt:lpstr>Profilers</vt:lpstr>
      <vt:lpstr>Shifter</vt:lpstr>
      <vt:lpstr>Risks</vt:lpstr>
      <vt:lpstr>Summary</vt:lpstr>
      <vt:lpstr>LifeCycle</vt:lpstr>
      <vt:lpstr>CL</vt:lpstr>
      <vt:lpstr>CLMin</vt:lpstr>
      <vt:lpstr>Constants</vt:lpstr>
      <vt:lpstr>Pricing</vt:lpstr>
      <vt:lpstr>CompWorkType</vt:lpstr>
      <vt:lpstr>Contracts</vt:lpstr>
      <vt:lpstr>DevItem</vt:lpstr>
      <vt:lpstr>Effects</vt:lpstr>
      <vt:lpstr>EMRange</vt:lpstr>
      <vt:lpstr>Expert</vt:lpstr>
      <vt:lpstr>FinancialStatus</vt:lpstr>
      <vt:lpstr>FiveValueTarrifs</vt:lpstr>
      <vt:lpstr>FreeElements</vt:lpstr>
      <vt:lpstr>Group</vt:lpstr>
      <vt:lpstr>GroupExpert</vt:lpstr>
      <vt:lpstr>Least</vt:lpstr>
      <vt:lpstr>Most</vt:lpstr>
      <vt:lpstr>OtherCost_type</vt:lpstr>
      <vt:lpstr>Elements!Print_Titles</vt:lpstr>
      <vt:lpstr>Elements_F!Print_Titles</vt:lpstr>
      <vt:lpstr>OtherCost!Print_Titles</vt:lpstr>
      <vt:lpstr>Risks!Print_Titles</vt:lpstr>
      <vt:lpstr>project_class</vt:lpstr>
      <vt:lpstr>project_group</vt:lpstr>
      <vt:lpstr>project_methodology</vt:lpstr>
      <vt:lpstr>project_status</vt:lpstr>
      <vt:lpstr>project_type</vt:lpstr>
      <vt:lpstr>Quantity5</vt:lpstr>
      <vt:lpstr>Systems</vt:lpstr>
      <vt:lpstr>SysWorkType</vt:lpstr>
      <vt:lpstr>TarrifTable</vt:lpstr>
      <vt:lpstr>WorkingGroups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Mina Modirizadeh</cp:lastModifiedBy>
  <cp:lastPrinted>2019-10-31T08:38:43Z</cp:lastPrinted>
  <dcterms:created xsi:type="dcterms:W3CDTF">2012-04-12T06:26:05Z</dcterms:created>
  <dcterms:modified xsi:type="dcterms:W3CDTF">2024-07-05T16:43:07Z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0x01010090C9FEF83F6258428ADC46FE4418D477</vt:lpwstr>
  </property>
</Properties>
</file>